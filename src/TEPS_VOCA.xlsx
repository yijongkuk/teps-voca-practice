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JK\Downloads\"/>
    </mc:Choice>
  </mc:AlternateContent>
  <xr:revisionPtr revIDLastSave="0" documentId="13_ncr:1_{C3B92AB2-F754-434D-950B-EA8EBAC76E4E}" xr6:coauthVersionLast="47" xr6:coauthVersionMax="47" xr10:uidLastSave="{00000000-0000-0000-0000-000000000000}"/>
  <bookViews>
    <workbookView xWindow="42150" yWindow="3135" windowWidth="33210" windowHeight="15345" activeTab="1" xr2:uid="{00000000-000D-0000-FFFF-FFFF00000000}"/>
  </bookViews>
  <sheets>
    <sheet name="어휘단어장(통합)" sheetId="1" r:id="rId1"/>
    <sheet name="독해단어장(통합)"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77" i="2" l="1"/>
  <c r="E976" i="2"/>
  <c r="E975" i="2"/>
  <c r="E974" i="2"/>
  <c r="E973" i="2"/>
  <c r="E972" i="2"/>
  <c r="E971" i="2"/>
  <c r="E970" i="2"/>
  <c r="E969" i="2"/>
  <c r="E968" i="2"/>
  <c r="E967" i="2"/>
  <c r="E966" i="2"/>
  <c r="E965" i="2"/>
  <c r="E964" i="2"/>
  <c r="E963" i="2"/>
  <c r="E962" i="2"/>
  <c r="E961" i="2"/>
  <c r="E960" i="2"/>
  <c r="E959" i="2"/>
  <c r="E958" i="2"/>
  <c r="E957" i="2"/>
  <c r="E956" i="2"/>
  <c r="E955" i="2"/>
  <c r="E954" i="2"/>
  <c r="E953" i="2"/>
  <c r="E952" i="2"/>
  <c r="E951" i="2"/>
  <c r="E950" i="2"/>
  <c r="E949" i="2"/>
  <c r="E948" i="2"/>
  <c r="E947" i="2"/>
  <c r="E946" i="2"/>
  <c r="E945" i="2"/>
  <c r="E944" i="2"/>
  <c r="E943" i="2"/>
  <c r="E942" i="2"/>
  <c r="E941" i="2"/>
  <c r="E940" i="2"/>
  <c r="E939" i="2"/>
  <c r="E938" i="2"/>
  <c r="E937" i="2"/>
  <c r="E936" i="2"/>
  <c r="E935" i="2"/>
  <c r="E934" i="2"/>
  <c r="E933" i="2"/>
  <c r="E932" i="2"/>
  <c r="E931" i="2"/>
  <c r="E930" i="2"/>
  <c r="E929" i="2"/>
  <c r="E928" i="2"/>
  <c r="E927" i="2"/>
  <c r="E926" i="2"/>
  <c r="E925" i="2"/>
  <c r="E924" i="2"/>
  <c r="E923" i="2"/>
  <c r="E922" i="2"/>
  <c r="E921" i="2"/>
  <c r="E920" i="2"/>
  <c r="E919" i="2"/>
  <c r="E918" i="2"/>
  <c r="E917" i="2"/>
  <c r="E916" i="2"/>
  <c r="E915" i="2"/>
  <c r="E914" i="2"/>
  <c r="E913" i="2"/>
  <c r="E912" i="2"/>
  <c r="E911" i="2"/>
  <c r="E910" i="2"/>
  <c r="E909" i="2"/>
  <c r="E908" i="2"/>
  <c r="E907" i="2"/>
  <c r="E906" i="2"/>
  <c r="E905" i="2"/>
  <c r="E904" i="2"/>
  <c r="E903" i="2"/>
  <c r="E902" i="2"/>
  <c r="E901" i="2"/>
  <c r="E900" i="2"/>
  <c r="E899" i="2"/>
  <c r="E898" i="2"/>
  <c r="E897" i="2"/>
  <c r="E896" i="2"/>
  <c r="E895" i="2"/>
  <c r="E894" i="2"/>
  <c r="E893" i="2"/>
  <c r="E892" i="2"/>
  <c r="E891" i="2"/>
  <c r="E890" i="2"/>
  <c r="E889" i="2"/>
  <c r="E888" i="2"/>
  <c r="E887" i="2"/>
  <c r="E886" i="2"/>
  <c r="E885" i="2"/>
  <c r="E884" i="2"/>
  <c r="E883" i="2"/>
  <c r="E882" i="2"/>
  <c r="E881" i="2"/>
  <c r="E880" i="2"/>
  <c r="E879" i="2"/>
  <c r="E878" i="2"/>
  <c r="E877" i="2"/>
  <c r="E876" i="2"/>
  <c r="E875" i="2"/>
  <c r="E874" i="2"/>
  <c r="E873" i="2"/>
  <c r="E872" i="2"/>
  <c r="E871" i="2"/>
  <c r="E870" i="2"/>
  <c r="E869" i="2"/>
  <c r="E868" i="2"/>
  <c r="E867" i="2"/>
  <c r="E866" i="2"/>
  <c r="E865" i="2"/>
  <c r="E864" i="2"/>
  <c r="E863" i="2"/>
  <c r="E862" i="2"/>
  <c r="E861" i="2"/>
  <c r="E860" i="2"/>
  <c r="E859" i="2"/>
  <c r="E858" i="2"/>
  <c r="E857" i="2"/>
  <c r="E856" i="2"/>
  <c r="E855" i="2"/>
  <c r="E854" i="2"/>
  <c r="E853" i="2"/>
  <c r="E852" i="2"/>
  <c r="E851" i="2"/>
  <c r="E850" i="2"/>
  <c r="E849" i="2"/>
  <c r="E848" i="2"/>
  <c r="E847" i="2"/>
  <c r="E846" i="2"/>
  <c r="E845" i="2"/>
  <c r="E844" i="2"/>
  <c r="E843" i="2"/>
  <c r="E842" i="2"/>
  <c r="E841" i="2"/>
  <c r="E840" i="2"/>
  <c r="E839" i="2"/>
  <c r="E838" i="2"/>
  <c r="E837" i="2"/>
  <c r="E836" i="2"/>
  <c r="E835" i="2"/>
  <c r="E834" i="2"/>
  <c r="E833" i="2"/>
  <c r="E832" i="2"/>
  <c r="E831" i="2"/>
  <c r="E830" i="2"/>
  <c r="E829" i="2"/>
  <c r="E828" i="2"/>
  <c r="E827" i="2"/>
  <c r="E826" i="2"/>
  <c r="E825" i="2"/>
  <c r="E824" i="2"/>
  <c r="E823" i="2"/>
  <c r="E822" i="2"/>
  <c r="E821" i="2"/>
  <c r="E820" i="2"/>
  <c r="E819" i="2"/>
  <c r="E818" i="2"/>
  <c r="E817" i="2"/>
  <c r="E816" i="2"/>
  <c r="E815" i="2"/>
  <c r="E814" i="2"/>
  <c r="E813" i="2"/>
  <c r="E812" i="2"/>
  <c r="E811" i="2"/>
  <c r="E810" i="2"/>
  <c r="E809" i="2"/>
  <c r="E808" i="2"/>
  <c r="E807" i="2"/>
  <c r="E806" i="2"/>
  <c r="E805" i="2"/>
  <c r="E804" i="2"/>
  <c r="E803" i="2"/>
  <c r="E802" i="2"/>
  <c r="E801" i="2"/>
  <c r="E800" i="2"/>
  <c r="E799" i="2"/>
  <c r="E798" i="2"/>
  <c r="E797" i="2"/>
  <c r="E796" i="2"/>
  <c r="E795" i="2"/>
  <c r="E794" i="2"/>
  <c r="E793" i="2"/>
  <c r="E792" i="2"/>
  <c r="E791" i="2"/>
  <c r="E790" i="2"/>
  <c r="E789" i="2"/>
  <c r="E788" i="2"/>
  <c r="E787" i="2"/>
  <c r="E786" i="2"/>
  <c r="E785" i="2"/>
  <c r="E784" i="2"/>
  <c r="E783" i="2"/>
  <c r="E782" i="2"/>
  <c r="E781" i="2"/>
  <c r="E780" i="2"/>
  <c r="E779" i="2"/>
  <c r="E778" i="2"/>
  <c r="E777" i="2"/>
  <c r="E776" i="2"/>
  <c r="E775" i="2"/>
  <c r="E774" i="2"/>
  <c r="E773" i="2"/>
  <c r="E772" i="2"/>
  <c r="E771" i="2"/>
  <c r="E770" i="2"/>
  <c r="E769" i="2"/>
  <c r="E768" i="2"/>
  <c r="E767" i="2"/>
  <c r="E766" i="2"/>
  <c r="E765" i="2"/>
  <c r="E764" i="2"/>
  <c r="E763" i="2"/>
  <c r="E762" i="2"/>
  <c r="E761" i="2"/>
  <c r="E760" i="2"/>
  <c r="E759" i="2"/>
  <c r="E758" i="2"/>
  <c r="E757" i="2"/>
  <c r="E756" i="2"/>
  <c r="E755" i="2"/>
  <c r="E754" i="2"/>
  <c r="E753" i="2"/>
  <c r="E752" i="2"/>
  <c r="E751" i="2"/>
  <c r="E750" i="2"/>
  <c r="E749" i="2"/>
  <c r="E748" i="2"/>
  <c r="E747" i="2"/>
  <c r="E746" i="2"/>
  <c r="E745" i="2"/>
  <c r="E744" i="2"/>
  <c r="E743" i="2"/>
  <c r="E742" i="2"/>
  <c r="E741" i="2"/>
  <c r="E740" i="2"/>
  <c r="E739" i="2"/>
  <c r="E738" i="2"/>
  <c r="E737" i="2"/>
  <c r="E736" i="2"/>
  <c r="E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7"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alcChain>
</file>

<file path=xl/sharedStrings.xml><?xml version="1.0" encoding="utf-8"?>
<sst xmlns="http://schemas.openxmlformats.org/spreadsheetml/2006/main" count="9081" uniqueCount="7465">
  <si>
    <t>순위</t>
  </si>
  <si>
    <t>그룹</t>
  </si>
  <si>
    <t>단어</t>
  </si>
  <si>
    <t>뜻</t>
  </si>
  <si>
    <t>예문</t>
  </si>
  <si>
    <t>중복 파일 수</t>
  </si>
  <si>
    <t>총 등장 횟수</t>
  </si>
  <si>
    <t>3개 파일 공통</t>
  </si>
  <si>
    <t>feasible</t>
  </si>
  <si>
    <t>가능, 실현 가능, 실용적</t>
  </si>
  <si>
    <t>The new project is feasible, but it will require significant funding.
새로운 프로젝트는 가능하지만, 막대한 예산이 필요합니다.</t>
  </si>
  <si>
    <t>ambiguous</t>
  </si>
  <si>
    <t>모호한, 불분명한, 의문스러운</t>
  </si>
  <si>
    <t>The artist's use of symbolism in the painting made the meaning ambiguous.
그 화가의 상징주의적 표현은 그림의 의미를 모호하게 만들었다.</t>
  </si>
  <si>
    <t>arrange</t>
  </si>
  <si>
    <t>배치하다, 정리하다, 계획하다, 구성하다, 순서를 정하다</t>
  </si>
  <si>
    <t>She will arrange the flowers in a beautiful vase for the wedding.
그녀는 결혼식에 아름다운 꽃병에 꽃을 배치할 것이다.</t>
  </si>
  <si>
    <t>innocuous</t>
  </si>
  <si>
    <t>무해, 무해한, 무난</t>
  </si>
  <si>
    <t>The side effects of the medication were considered innocuous.
의약품의 부작용은 무해하다고 여겨졌다.</t>
  </si>
  <si>
    <t>ominous</t>
  </si>
  <si>
    <t>운신lessness, 위협적, 불길한</t>
  </si>
  <si>
    <t>The dark clouds gathered on the horizon, casting an ominous shadow over the landscape.
어두운 구름이 지평선에 모여 지구에 불길한 그림자를 던졌다.</t>
  </si>
  <si>
    <t>prudent</t>
  </si>
  <si>
    <t>합리적, 현명한, 신중한</t>
  </si>
  <si>
    <t>She made a prudent decision to invest in a diversified portfolio.
그녀는 다양한 포트폴리오에 투자하는 현명한 결정을 내렸다.</t>
  </si>
  <si>
    <t>redundant</t>
  </si>
  <si>
    <t>중복, 불필요, 무의미</t>
  </si>
  <si>
    <t>The company laid off several employees due to redundant positions.
회사에서는 중복된 직책 때문에 몇 명의 직원을 해고했다.</t>
  </si>
  <si>
    <t>release</t>
  </si>
  <si>
    <t>발표, 해방, 출시, 자유, 방출, 발표하다, 해방하다, 출시하다</t>
  </si>
  <si>
    <t>The new software will be released next month.
새로운 소프트웨어는 다음 달에 출시될 것입니다.</t>
  </si>
  <si>
    <t>access</t>
  </si>
  <si>
    <t>접근, 권한, 연결</t>
  </si>
  <si>
    <t>She struggled to access her email account due to the server's technical issues.
서버의 기술적인 문제로 이메일 계정에 접근하기 어려웠다.</t>
  </si>
  <si>
    <t>convoluted</t>
  </si>
  <si>
    <t>복잡한, 얽힌, 어기친</t>
  </si>
  <si>
    <t>The politician's explanation of the scandal was a convoluted attempt to deflect blame.
정치인은 스캔들의 책임을 피하기 위한 복잡한 설명을 내놓았다.</t>
  </si>
  <si>
    <t>deprivation</t>
  </si>
  <si>
    <t>가난, 결핍, 차단</t>
  </si>
  <si>
    <t>The poverty and deprivation in the slums were a stark contrast to the wealth and luxury of the city's upscale neighborhoods.
빈민촌의 가난과 결핍은 도시의 고급 주택가의 부와와는한 대조였다.</t>
  </si>
  <si>
    <t>distribute</t>
  </si>
  <si>
    <t>배포하다, 분배하다, 전파하다</t>
  </si>
  <si>
    <t>The company will distribute the new software to all its employees.
회사에서는 모든 직원에게 새로운 소프트웨어를 배포할 것입니다.</t>
  </si>
  <si>
    <t>evade</t>
  </si>
  <si>
    <t>피하, 회피, 도피, 피하다, 회피하다</t>
  </si>
  <si>
    <t>She tried to evade the question by changing the subject.
그녀는 질문을 피하기 위해 주제를 바꾸었다.</t>
  </si>
  <si>
    <t>indisputable</t>
  </si>
  <si>
    <t>확실한, 불변의, 논란의 여지가 없는</t>
  </si>
  <si>
    <t>The evidence for his guilt is indisputable.
그의 죄가 증명된 것은 분명하다.</t>
  </si>
  <si>
    <t>inspired</t>
  </si>
  <si>
    <t>감동, 영감, 영감을 받다</t>
  </si>
  <si>
    <t>Her art was inspired by the beauty of nature.
그녀의 예술은 자연의 아름다움에 영감을 받았다.</t>
  </si>
  <si>
    <t>rehabilitate</t>
  </si>
  <si>
    <t>재활, 복원, 치료</t>
  </si>
  <si>
    <t>The government has launched a program to rehabilitate the damaged areas after the natural disaster.
정부는 자연재해로 피해를 입은 지역을 재건하기 위해 프로그램을 시작했다.</t>
  </si>
  <si>
    <t>repudiated</t>
  </si>
  <si>
    <t>거부, 부인, 배신</t>
  </si>
  <si>
    <t>The company's claims were repudiated by the court, and they were ordered to pay damages.
법원은 회사측의 주장을 거부하고 배상금을 지불하라고 명령했다.</t>
  </si>
  <si>
    <t>stock</t>
  </si>
  <si>
    <t>주식, 재고, 주주</t>
  </si>
  <si>
    <t>The company's stock price has been steadily increasing over the past year.
지난 1년 동안 회사 주식 가격이 꾸준히 상승했다.</t>
  </si>
  <si>
    <t>2개 파일 공통</t>
  </si>
  <si>
    <t>pass</t>
  </si>
  <si>
    <t>시험, 통과, 통과하다, 시간, 경과, 통과점</t>
  </si>
  <si>
    <t>The bus will pass by the park at 5 o'clock.
버스는 5시에 공원 옆을 지나간다.</t>
  </si>
  <si>
    <t>detach</t>
  </si>
  <si>
    <t>분리, 떼어내다, 독립</t>
  </si>
  <si>
    <t>The company will detach the faulty part from the rest of the machine.
회사에서는 기계의 나머지 부분과 분리하여 결함이 있는 부품을 제거할 것입니다.</t>
  </si>
  <si>
    <t>abundance</t>
  </si>
  <si>
    <t>풍부함, 풍성, 넘치다</t>
  </si>
  <si>
    <t>The region is known for its abundance of natural resources.
이 지역은 자연자원에 풍부하다.</t>
  </si>
  <si>
    <t>barriers</t>
  </si>
  <si>
    <t>장벽, 장애물, 장애</t>
  </si>
  <si>
    <t>The new policy aims to break down cultural barriers between different communities.
새로운 정책은 문화적 장벽을 허물어 내기 위해 다양한 공동체 사이에 있다.</t>
  </si>
  <si>
    <t>book</t>
  </si>
  <si>
    <t>서적, 책, 기록하다</t>
  </si>
  <si>
    <t>She spent most of her afternoon reading a book.
그녀는 오후 대부분을 책을 읽는 시간을 보냈다.</t>
  </si>
  <si>
    <t>confidential</t>
  </si>
  <si>
    <t>비밀의, 비공개의, 비밀스러운</t>
  </si>
  <si>
    <t>The company's financial reports are confidential and not available to the public.
회사 재무 보고서는 비공개로 일반인에게 공개되지 않습니다.</t>
  </si>
  <si>
    <t>discreet</t>
  </si>
  <si>
    <t>신중한, 조심스러운, 은밀한</t>
  </si>
  <si>
    <t>She made a discreet inquiry about the company's financial situation.
그녀는 회사 재정 상태에 대해 조심스럽게 물어보았다.</t>
  </si>
  <si>
    <t>divergent</t>
  </si>
  <si>
    <t>분기점, 갈라지는, 다르다</t>
  </si>
  <si>
    <t>The two theories have divergent views on the cause of the economic crisis.
두 이론은 경제 위기 원인에 대해 다른 의견을 가지고 있다.</t>
  </si>
  <si>
    <t>entry</t>
  </si>
  <si>
    <t>입력, 등록, 항목, 항목등록, 기록</t>
  </si>
  <si>
    <t>The new employee made a successful entry into the company.
새로운 직원이 회사에 성공적으로 입사했습니다.</t>
  </si>
  <si>
    <t>exhibited</t>
  </si>
  <si>
    <t>전시하다, 전시물, 전시회</t>
  </si>
  <si>
    <t>The museum exhibited a rare collection of ancient artifacts.
박물관은 고대 유물의 희귀한 수집품을 전시했다.</t>
  </si>
  <si>
    <t>give</t>
  </si>
  <si>
    <t>주다, 선물, 기부</t>
  </si>
  <si>
    <t>She decided to give up her job to travel the world.
세계를 여행하기 위해 그녀는 직장을 그만두기로 결정했다.</t>
  </si>
  <si>
    <t>granted</t>
  </si>
  <si>
    <t>허가, 승인, 보장 / 허용, 부여, 제공</t>
  </si>
  <si>
    <t>She was granted a full scholarship to study abroad.
그녀는 해외로 유학하기 위해 전액 장학금을 받았다.</t>
  </si>
  <si>
    <t>incipient</t>
  </si>
  <si>
    <t>시작하는, 초기의, 발전하는</t>
  </si>
  <si>
    <t>The incipient stages of the disease are often difficult to diagnose.
이 병의 초기 단계는 종종 진단하기 어렵다.</t>
  </si>
  <si>
    <t>incisive</t>
  </si>
  <si>
    <t>명료한, 날카로운, 정확한</t>
  </si>
  <si>
    <t>Her incisive questions caught the politician off guard.
그녀의 날카로운 질문은 정치인에게 뜻밖의 충격을 주었다.</t>
  </si>
  <si>
    <t>provisions</t>
  </si>
  <si>
    <t>식량, 보급품, 조건</t>
  </si>
  <si>
    <t>The hotel provided a continental breakfast as part of the provisions for the guests.
호텔은 손님들을 위한 식사 조건으로 유럽식 아침 식사를 제공했다.</t>
  </si>
  <si>
    <t>regulate</t>
  </si>
  <si>
    <t>조절, 규제, 관리</t>
  </si>
  <si>
    <t>The government plans to regulate the emission of greenhouse gases to combat climate change.
정부는 기후변화 대응을 위해 온실가스 배출을 조절할 계획이다.</t>
  </si>
  <si>
    <t>scarce</t>
  </si>
  <si>
    <t>부족한, 드문, 소량의</t>
  </si>
  <si>
    <t>The country's natural resources are scarce.
나라의 자연자원은 부족하다.</t>
  </si>
  <si>
    <t>stand up for</t>
  </si>
  <si>
    <t>권리, 변호, 지지, 방어, 옹호, 변호하다</t>
  </si>
  <si>
    <t>She stood up for her friend who was being bullied.
그녀는 친구가 괴롭힘을 당하고 있는 것을 보고 친구를 지지했다.</t>
  </si>
  <si>
    <t>stupendous</t>
  </si>
  <si>
    <t>기상급, 대단한, 경이로운</t>
  </si>
  <si>
    <t>The fireworks display was a stupendous sight to behold.
불꽃놀이는 경이로운 경치였다.</t>
  </si>
  <si>
    <t>sufficiency</t>
  </si>
  <si>
    <t>보장, 충분함, 적절성, 충분히</t>
  </si>
  <si>
    <t>The project's budget was allocated to ensure sufficiency of resources for the entire duration.
이 프로젝트의 예산은 프로젝트 기간 동안 모든 자원을 충분히 확보하기 위해 할당되었습니다.</t>
  </si>
  <si>
    <t>tolerant</t>
  </si>
  <si>
    <t>관용적, 관용하다, 관용성</t>
  </si>
  <si>
    <t>She was a tolerant person who never judged others based on their background.
그녀는 다른 사람들의 배경에 따라 판단하지 않는 관용적인 사람이었다.</t>
  </si>
  <si>
    <t>acquitted</t>
  </si>
  <si>
    <t>면책, 무죄, 무죄판결,</t>
  </si>
  <si>
    <t>The defendant was finally acquitted of all charges after a lengthy trial.
피고인은 장기간의 재판 끝에 모든 혐의에서 무죄 판결을 받았다.</t>
  </si>
  <si>
    <t>adhere</t>
  </si>
  <si>
    <t>의지하다, 부착하다, 지지하다</t>
  </si>
  <si>
    <t>She insisted that her children adhere to a strict bedtime schedule.
그녀는 자녀들이 엄격한 취침 시간을 지키도록 의지했다.</t>
  </si>
  <si>
    <t>adjourned</t>
  </si>
  <si>
    <t>재개정된, 연기된, 휴회된</t>
  </si>
  <si>
    <t>The meeting was adjourned until next week.
회의는 다음 주에 연기되었다.</t>
  </si>
  <si>
    <t>adroit</t>
  </si>
  <si>
    <t>능숙한, 정교한, 유연한</t>
  </si>
  <si>
    <t>She was an adroit negotiator who managed to secure a favorable deal.
그녀는 유연한 협상가로 인해 유리한 계약을 얻을 수 있었다.</t>
  </si>
  <si>
    <t>affirmed</t>
  </si>
  <si>
    <t>확정, 확인, 승인</t>
  </si>
  <si>
    <t>The court affirmed the defendant's right to a fair trial.
법원은 피고인의 공정한 재판권을 인정했다.</t>
  </si>
  <si>
    <t>amenable</t>
  </si>
  <si>
    <t>협조적, 수용적, 유리한</t>
  </si>
  <si>
    <t>The new policy was amenable to the needs of both parties.
새 정책은 양측의 필요에 유리했다.</t>
  </si>
  <si>
    <t>amicable</t>
  </si>
  <si>
    <t>친화적, 화합의, 화합하다</t>
  </si>
  <si>
    <t>The couple's divorce was finalized, but they remained on amicable terms.
부부의 이혼은 완료되었지만, 그들은 여전히 화합의 관계를 유지했다.</t>
  </si>
  <si>
    <t>amplitude</t>
  </si>
  <si>
    <t>진폭, 크기, 강도</t>
  </si>
  <si>
    <t>The amplitude of the sound wave was too high, causing damage to the speakers.
소음파의 진폭이 너무 높아서 스피커에 피해를 입혔다.</t>
  </si>
  <si>
    <t>anecdotal</t>
  </si>
  <si>
    <t>기록적인, 경험에 근거한, 일화상</t>
  </si>
  <si>
    <t>The study's findings were based on anecdotal evidence from a small group of participants.
연구 결과는 참가자들의 일화에 근거한 작은 그룹의 증거에 기반을 두고 있었다.</t>
  </si>
  <si>
    <t>appealed</t>
  </si>
  <si>
    <t>소원, 호소, 항소, 호소력, 호소하다</t>
  </si>
  <si>
    <t>The judge's decision was appealed by the defendant's lawyer.
판사님의 판결은 변호사가 피고인의 항소로 판결을 뒤집었다.</t>
  </si>
  <si>
    <t>archives</t>
  </si>
  <si>
    <t>기록물, 보관소, 역사적 자료</t>
  </si>
  <si>
    <t>The museum's archives contain documents and artifacts from the 19th century.
박물관의 기록물에는 19세기부터의 서류와 유물이 들어 있습니다.</t>
  </si>
  <si>
    <t>argued</t>
  </si>
  <si>
    <t>논의하다, 주장하다, 다투다, 논쟁하다,</t>
  </si>
  <si>
    <t>The two lawyers argued their case before the judge.
두 변호사들은 판사 앞에서 자신의 사안을 주장했다.</t>
  </si>
  <si>
    <t>assign</t>
  </si>
  <si>
    <t>부여하다, 할당하다, 지정하다</t>
  </si>
  <si>
    <t>She was assigned to work on the marketing team for the next quarter.
그녀는 다음 분기에 마케팅 팀에 배정되었습니다.</t>
  </si>
  <si>
    <t>back out of</t>
  </si>
  <si>
    <t>회피하다, 물러나다, 취소하다</t>
  </si>
  <si>
    <t>She decided to back out of the deal at the last minute.
그녀는 마지막 순간에 계약에서 물러났다.</t>
  </si>
  <si>
    <t>barren</t>
  </si>
  <si>
    <t>비옥하지 않은, 비옥하지 않다, 비옥하지 못한</t>
  </si>
  <si>
    <t>The land was barren and unable to support any life.
.land는 생명체를 지지할 수 있는 능력을 갖지 못했다.</t>
  </si>
  <si>
    <t>benign</t>
  </si>
  <si>
    <t>호의적, 무해, 가역적</t>
  </si>
  <si>
    <t>The tumor was benign, and the doctor was able to remove it without any complications.
종양은 무해했으며, 의사는 합병증 없이 제거할 수 있었다.</t>
  </si>
  <si>
    <t>bind</t>
  </si>
  <si>
    <t>묶다, 결합, 결속</t>
  </si>
  <si>
    <t>The rope will bind the package tightly.
dây는 가방을 꽉 묶는다.</t>
  </si>
  <si>
    <t>bland</t>
  </si>
  <si>
    <t>무미건조한, 단조로운, 평범한</t>
  </si>
  <si>
    <t>The food was bland and unappetizing.
음식은 무미건조하고 먹고 싶지 않았다.</t>
  </si>
  <si>
    <t>blatant</t>
  </si>
  <si>
    <t>무시무시한, 명백한, 뻔한</t>
  </si>
  <si>
    <t>The company's blatant disregard for safety regulations led to a series of accidents.
회사측의 안전규정 무시로 인한 사고가 연이어 발생했다.</t>
  </si>
  <si>
    <t>blight</t>
  </si>
  <si>
    <t>재앙, 질병, 해로</t>
  </si>
  <si>
    <t>The drought had brought a blight on the crops, causing widespread famine.
건조가 들에 재앙을 불러온 것이다.</t>
  </si>
  <si>
    <t>bolster</t>
  </si>
  <si>
    <t>보호, 지원, 강화</t>
  </si>
  <si>
    <t>The new policy aims to bolster the economy by investing in renewable energy.
새 정책은 재생 에너지를 투자하여 경제를 강화하고자 한다.</t>
  </si>
  <si>
    <t>bonding</t>
  </si>
  <si>
    <t>결합, 친밀감, 유대감</t>
  </si>
  <si>
    <t>The children's bonding experience with their grandparents helped them develop a stronger sense of family.
어린이들은 할머니 할아버지와의 결합 경험이 가족의 강한 감정을 형성하는 데 도움이 되었다.</t>
  </si>
  <si>
    <t>boundaries</t>
  </si>
  <si>
    <t>경계, 한계, 구분</t>
  </si>
  <si>
    <t>The company needs to establish clear boundaries with its employees to maintain a healthy work environment.
회사에서는 직원들과 명확한 경계를 설정해야만 건강한 업무 환경을 유지할 수 있다.</t>
  </si>
  <si>
    <t>braced</t>
  </si>
  <si>
    <t>보호, 대비, 준비</t>
  </si>
  <si>
    <t>The tree was braced against the strong winds.
강한 바람에 대비한 나무는 흔들리지 않았다.</t>
  </si>
  <si>
    <t>call out</t>
  </si>
  <si>
    <t>주의, 외치다, 외치는 소리, 외치다, 외치는 사람, 외치다, 외치는 목소리</t>
  </si>
  <si>
    <t>The protesters began to call out for justice.
시위자들은 정의를 외치기 시작했다.</t>
  </si>
  <si>
    <t>capable</t>
  </si>
  <si>
    <t>능력있는, 가능하다, 능력</t>
  </si>
  <si>
    <t>She is a capable leader who has inspired her team to achieve great things.
그녀는 팀을 이끄는 능력있는 리더로 팀원들을 큰 성과를 이루도록 격려했다.</t>
  </si>
  <si>
    <t>captured</t>
  </si>
  <si>
    <t>포로, 잡힌, 포획된</t>
  </si>
  <si>
    <t>The photo was captured by a professional photographer.
사진은 전문 사진가에 의해 촬영되었다.</t>
  </si>
  <si>
    <t>chances</t>
  </si>
  <si>
    <t>기회, 운명, 가능성</t>
  </si>
  <si>
    <t>She took a chance and applied for the job, and it turned out to be a great opportunity.
그녀는 기회를 잡고 취업을 지원했는데 그것이 훌륭한 기회로 돌아왔다.</t>
  </si>
  <si>
    <t>clientele</t>
  </si>
  <si>
    <t>고객층, 고객, 고객사</t>
  </si>
  <si>
    <t>The upscale restaurant's clientele is predominantly composed of wealthy business executives.
럭셔리 레스토랑의 고객층은 주로 부유한 사업가들로 구성되어 있다.</t>
  </si>
  <si>
    <t>clogged</t>
  </si>
  <si>
    <t>tắc색된, 막힌, 막다</t>
  </si>
  <si>
    <t>The sink was clogged with hair and soap scum.
세탁기에서 머리카락과 비누가 막혀 있었다.</t>
  </si>
  <si>
    <t>coerced</t>
  </si>
  <si>
    <t>강요된, 강제로 하다, 강압적인</t>
  </si>
  <si>
    <t>The government was accused of coercing citizens to support the new policy.
정부는 시민들을 새로운 정책을 지지하도록 강요했다고 비난받았다.</t>
  </si>
  <si>
    <t>cohesion</t>
  </si>
  <si>
    <t>유기력, 단합, 결속력</t>
  </si>
  <si>
    <t>The team's cohesion was evident in their seamless performance on the field.
팀의 단합은 경기장에서 부드러운 연주를 보여주었다.</t>
  </si>
  <si>
    <t>collided</t>
  </si>
  <si>
    <t>충돌하다, 충격, 사고</t>
  </si>
  <si>
    <t>The two cars collided on the highway.
도로에서 두 대의 자동차가 충돌했다.</t>
  </si>
  <si>
    <t>collocations</t>
  </si>
  <si>
    <t>구어체, 어휘 결합, 의미적 결합 / '구어체, 어휘 결합, 의미적 결합, 의미 결합'</t>
  </si>
  <si>
    <t>The phrase "kick the bucket" is a common idiomatic expression that means to die.
'부엌에 있는 통에 물을 부어 죽은 고기를 씻어내는 것'이라는 구어체 표현은 죽는다는 뜻이다.</t>
  </si>
  <si>
    <t>commit</t>
  </si>
  <si>
    <t>의무, 책임, 약속</t>
  </si>
  <si>
    <t>She was hesitant to commit to a long-term relationship.
그녀는 장기적인 관계에 대한 약속을 하기 망설였다.</t>
  </si>
  <si>
    <t>components</t>
  </si>
  <si>
    <t>부품, 구성 요소, 구성물</t>
  </si>
  <si>
    <t>The new smartphone's components are designed to be more energy-efficient.
새로운 스마트폰의 부품은 에너지 효율성을 높인 디자인입니다.</t>
  </si>
  <si>
    <t>composed</t>
  </si>
  <si>
    <t>계산, 조성, 조용한, 조화로운</t>
  </si>
  <si>
    <t>The orchestra's music was composed by a renowned conductor.
오케스트라의 음악은 유명한 지휘자에 의해 작곡되었다.</t>
  </si>
  <si>
    <t>concise</t>
  </si>
  <si>
    <t>간결한, 간결하다, 단축하다</t>
  </si>
  <si>
    <t>The professor's concise explanation of the complex theory helped the students understand it quickly.
교수님의 복잡한 이론을 간결하게 설명한 것이 학생들이 빠르게 이해할 수 있도록 도와주었다.</t>
  </si>
  <si>
    <t>confront</t>
  </si>
  <si>
    <t>직면하다, 대면하다, 충돌하다</t>
  </si>
  <si>
    <t>She was forced to confront her own fears in order to overcome them.
그녀는 자신의 두려움을 이기기 위해 직면해야 했다.</t>
  </si>
  <si>
    <t>congenial</t>
  </si>
  <si>
    <t>친화적, 우호적, 친밀한</t>
  </si>
  <si>
    <t>The congenial atmosphere of the resort made it an ideal destination for families.
리조트의 친화적 분위기는 가족들에게 이상적인 여행지로 만들었다.</t>
  </si>
  <si>
    <t>congregated</t>
  </si>
  <si>
    <t>모인, 모여들다, 모인 사람들</t>
  </si>
  <si>
    <t>The protesters had congregated in front of the city hall.
시민들은 시청 앞에서 모여들었다.</t>
  </si>
  <si>
    <t>consensus</t>
  </si>
  <si>
    <t>의견일치, 합의, 일치</t>
  </si>
  <si>
    <t>The committee reached a consensus that the project should be delayed.
위원회는 프로젝트를 지연시키는 것이 합의되었다.</t>
  </si>
  <si>
    <t>consolation</t>
  </si>
  <si>
    <t>위로, 위안, 위로받다</t>
  </si>
  <si>
    <t>The news of her recovery brought her family a great consolation.
그녀의 회복 소식은 그녀의 가족에게 큰 위안이 되었다.</t>
  </si>
  <si>
    <t>consummate</t>
  </si>
  <si>
    <t>완벽하다, 완성되다, 최고의</t>
  </si>
  <si>
    <t>She was a consummate actress, able to convey a wide range of emotions with her expressive eyes.
그녀는 눈빛으로 다양한 감정을 표현할 수 있는 완벽한 여배우였다.</t>
  </si>
  <si>
    <t>contentious</t>
  </si>
  <si>
    <t>갈등의, 논쟁의, 분쟁의 , 논쟁적인, 갈등적인, 분쟁적인</t>
  </si>
  <si>
    <t>The debate over the new tax law has been contentious, with many arguing that it unfairly targets low-income families.
신세금법에 대한 토론은 논쟁의 주제로 여겨졌는데, 많은 사람들이 그것이 저소득층을 불공정하게 겨냥하고 있다고 주장했다.</t>
  </si>
  <si>
    <t>contraction</t>
  </si>
  <si>
    <t>축소, 단축, 압축</t>
  </si>
  <si>
    <t>The muscle contraction was so intense that it caused her to lose her breath.
근육의 수축이 너무 강해서 숨을 못 쉬게 되었다.</t>
  </si>
  <si>
    <t>contradict</t>
  </si>
  <si>
    <t>거부하다, 반대하다, 모순되다</t>
  </si>
  <si>
    <t>Her statement contradicted the evidence she had presented earlier.
그녀의 발언은 그녀가 이전에 제시한 증거와 모순되었다.</t>
  </si>
  <si>
    <t>contribute</t>
  </si>
  <si>
    <t>기여하다, 기여, 공헌</t>
  </si>
  <si>
    <t>The new employee's innovative ideas will contribute to the company's success.
새로운 직원의 혁신적인 아이디어는 회사 성공에 기여할 것입니다.</t>
  </si>
  <si>
    <t>conundrums</t>
  </si>
  <si>
    <t>수수께끼, 난제, 의문</t>
  </si>
  <si>
    <t>The mystery of the missing treasure has been a conundrum for the detective for months.
수수께끼로 남아 있는 보물의 행방은 수개월 동안 탐정에게 난제였다.</t>
  </si>
  <si>
    <t>correlation</t>
  </si>
  <si>
    <t>상관성, 관련성, 연관성</t>
  </si>
  <si>
    <t>The study found a strong correlation between the amount of exercise and overall health.
연구 결과 운동량과 전체적인 건강과의 관련성이 강했다.</t>
  </si>
  <si>
    <t>corroborate</t>
  </si>
  <si>
    <t>증명, 확인, 뒷받침</t>
  </si>
  <si>
    <t>The new evidence helped to corroborate the suspect's alibi.
새로운 증거는 용의자의 변명에 대한 뒷받침을 주었다.</t>
  </si>
  <si>
    <t>cried</t>
  </si>
  <si>
    <t>울음, 울다, 울적한</t>
  </si>
  <si>
    <t>She cried when she heard the sad news.
그녀는 슬픈 소식을 듣고 울었다.</t>
  </si>
  <si>
    <t>crux</t>
  </si>
  <si>
    <t>주요한 부분, 핵심, 문제의 핵심</t>
  </si>
  <si>
    <t>The crux of the matter is that we need more funding to complete the project.
문제의 핵심은 우리가 프로젝트를 완성하기 위해 더 많은 자금이 필요하다는 것이다.</t>
  </si>
  <si>
    <t>debilitation</t>
  </si>
  <si>
    <t>장애, 약화, 불능</t>
  </si>
  <si>
    <t>The prolonged illness caused significant debilitation in her physical abilities.
장기간의 질병으로 그녀의 신체 능력에 큰 약화를 일으켰다.</t>
  </si>
  <si>
    <t>decorous</t>
  </si>
  <si>
    <t>예의바른, 품위있는, 정중한</t>
  </si>
  <si>
    <t>The guests were asked to behave in a decorous manner during the formal dinner.
손님들은 공식 저녁식사 중 예의바른 태도를 유지하도록 요청받았다.</t>
  </si>
  <si>
    <t>deflection</t>
  </si>
  <si>
    <t>회피, 방향전환, 피하</t>
  </si>
  <si>
    <t>The spacecraft's deflection from its original course was caused by a sudden gravitational pull.
공간선상의 기체의 원래 경로에서 방향을 전환한 것은 갑작스러운 중력의 영향 때문이었다.</t>
  </si>
  <si>
    <t>delineated</t>
  </si>
  <si>
    <t>분명히 구분된, 명확히 정의된, 경계를 그은</t>
  </si>
  <si>
    <t>The map clearly delineated the border between the two countries.
지도는 두 나라의 경계를 분명히 그렸다.</t>
  </si>
  <si>
    <t>deluged</t>
  </si>
  <si>
    <t>침수, 물에 잠기다, 폭우에 잠기다</t>
  </si>
  <si>
    <t>The city was deluged with water after the heavy rainfall.
도시가 폭우로 물에 잠겼다.</t>
  </si>
  <si>
    <t>demolition</t>
  </si>
  <si>
    <t>파괴, 철거, 파괴하다</t>
  </si>
  <si>
    <t>The city council approved the demolition of the old factory to make way for a new shopping center.
시정회는 새로운 상업시설을 위해 옛 공장을 철거하도록 승인했다.</t>
  </si>
  <si>
    <t>despondent</t>
  </si>
  <si>
    <t>무기력, 절망적, 절망스럽다</t>
  </si>
  <si>
    <t>The despondent look on her face was heartbreaking.
그녀의 얼굴에 무기력한 표정이 마음을 아프게 했다.</t>
  </si>
  <si>
    <t>destitution</t>
  </si>
  <si>
    <t>빈곤, 궁핍, 절박</t>
  </si>
  <si>
    <t>The city's poverty and destitution were a stark contrast to the wealth and opulence of the surrounding countryside.
도시의 빈곤과 궁핍함은 주변의 풍요와 부호와는한 대조였다.</t>
  </si>
  <si>
    <t>devious</t>
  </si>
  <si>
    <t>착한, 사악한, 유도하다</t>
  </si>
  <si>
    <t>The company's devious marketing strategy was exposed by a whistleblower.
회사에 속은 마케팅 전략이 폭로되었습니다.</t>
  </si>
  <si>
    <t>devout</t>
  </si>
  <si>
    <t>신심, 정진, 성실</t>
  </si>
  <si>
    <t>She was a devout follower of the spiritual leader.
그녀는 영적 지도자의 열렬한 신도였다.</t>
  </si>
  <si>
    <t>digesting</t>
  </si>
  <si>
    <t>식성, 소화하다, 이해하다</t>
  </si>
  <si>
    <t>The audience was still digesting the shocking news when the presenter took the stage.
시청자들은 충격적인 뉴스를 아직 소화하고 있을 때 진행자가 무대에 올라왔다.</t>
  </si>
  <si>
    <t>discharged</t>
  </si>
  <si>
    <t>면책, 해임, 해임당하다, 해임된</t>
  </si>
  <si>
    <t>The patient was discharged from the hospital after a week of treatment.
환자는 일주일간의 치료 후 병원에서 퇴원했다.</t>
  </si>
  <si>
    <t>dismissed</t>
  </si>
  <si>
    <t>해임, 해고, 무효</t>
  </si>
  <si>
    <t>The company's CEO was dismissed after the scandal broke.
사건이 터지자 회사의 CEO는 해임되었다.</t>
  </si>
  <si>
    <t>disregard</t>
  </si>
  <si>
    <t>무시, 무시하다, 무시할 것</t>
  </si>
  <si>
    <t>She deliberately disregarded the warning signs and drove too fast.
그녀는 경고판을 무시하고 너무 빠르게 운전했다.</t>
  </si>
  <si>
    <t>dissipated</t>
  </si>
  <si>
    <t>흩어지다, 흩어져 있는 것, 무질서한 사람들</t>
  </si>
  <si>
    <t>The partygoers had all dissipated by the time the police arrived.
경찰이 도착했을 때는 모든 사람들께서 흩어져 있었어요.</t>
  </si>
  <si>
    <t>docile</t>
  </si>
  <si>
    <t>조용한, 순한, 온화한</t>
  </si>
  <si>
    <t>The lion was a docile creature that allowed children to pet it.
사자들은 어린이를 쓰다듬을 수 있는 온화한 동물이었다.</t>
  </si>
  <si>
    <t>donated</t>
  </si>
  <si>
    <t>기부하다, 기증, 자선</t>
  </si>
  <si>
    <t>The company donated a significant amount of money to the local charity.
회사에서는 지역 자선단체에 많은 돈을 기부했다.</t>
  </si>
  <si>
    <t>drowned</t>
  </si>
  <si>
    <t>잠수하다, 익사, 물에 빠지다</t>
  </si>
  <si>
    <t>The child was swept away by the strong current and drowned in the river.
강의 강력한 유속에 의해 아이가 강에 빠져 익사했다.</t>
  </si>
  <si>
    <t>dwindling</t>
  </si>
  <si>
    <t>감소하는, 줄어드는, 소멸하는</t>
  </si>
  <si>
    <t>The city's population is dwindling due to the lack of job opportunities.
도시 인구가 취업 기회가 부족한 데다로 줄어들고 있다.</t>
  </si>
  <si>
    <t>elaborating</t>
  </si>
  <si>
    <t>설명하다, 구체화하다, 세부적으로 설명하다</t>
  </si>
  <si>
    <t>The professor spent the entire class elaborating on the complex mathematical concepts.
교수는 복잡한 수학 개념에 대해 수업 전체를 들여다보며 설명했다.</t>
  </si>
  <si>
    <t>elasticity</t>
  </si>
  <si>
    <t>탄력성, 유연성, 강도</t>
  </si>
  <si>
    <t>The fabric's elasticity made it suitable for a wide range of applications.
물질의 탄력성이 다양한 용도로 적합했다.</t>
  </si>
  <si>
    <t>embarking</t>
  </si>
  <si>
    <t>출발하다, 여행을 시작하다, 사업을 시작하다</t>
  </si>
  <si>
    <t>She's embarking on a new career as a writer.
그녀는 작가로 새로운 경력을 시작합니다.</t>
  </si>
  <si>
    <t>emblazoned</t>
  </si>
  <si>
    <t>보호, 장식, 장식된</t>
  </si>
  <si>
    <t>The family crest was emblazoned on the shield.
가문 상징은 방패에 새겨져 있었다.</t>
  </si>
  <si>
    <t>establish</t>
  </si>
  <si>
    <t>기본, 설립, 확립, 공식화, 정착</t>
  </si>
  <si>
    <t>The company will establish its headquarters in New York next year.
회사은 내년 뉴욕에 본사를 설립할 것입니다.</t>
  </si>
  <si>
    <t>euphemisms</t>
  </si>
  <si>
    <t>이유식 표현, 은어, 겸손한 표현</t>
  </si>
  <si>
    <t>The politician used euphemisms to avoid offending his constituents.
정치인은 자신의 지지자들을 상하게 하지 않기 위해 이유식 표현을 사용했다.</t>
  </si>
  <si>
    <t>events</t>
  </si>
  <si>
    <t>행사, 사건, 발생</t>
  </si>
  <si>
    <t>The company will be hosting a series of events to celebrate its 10th anniversary.
회사에서는 10주년을 기념하기 위해 여러 행사를 개최할 것입니다.</t>
  </si>
  <si>
    <t>evident</t>
  </si>
  <si>
    <t>명백, 분명, 증명</t>
  </si>
  <si>
    <t>The evidence was evident in the suspicious behavior of the accused.
증거는 용의자의 수상한 행동에서 명백했다.</t>
  </si>
  <si>
    <t>exasperated</t>
  </si>
  <si>
    <t>고통스럽다, 지치다, 분노스럽다</t>
  </si>
  <si>
    <t>She was exasperated by her child's constant whining.
그녀는 아이의 끊임없는 비명소리 때문에 고통스러웠다.</t>
  </si>
  <si>
    <t>excuse</t>
  </si>
  <si>
    <t>면책, 사유, 사유하다, 사유를 들어</t>
  </si>
  <si>
    <t>She apologized and offered an excuse for being late.
그녀는 늦은 것을 사과하고 사유를 들어갔다.</t>
  </si>
  <si>
    <t>exemplified</t>
  </si>
  <si>
    <t>예시로 들어낸 것, 표본, 모델  / 보여주다, 나타내다  / 특징을 나타내는  / 자세히 보여주다</t>
  </si>
  <si>
    <t>The company's commitment to sustainability has been exemplified by its recent investments in renewable energy.
기업의 지속가능성에 대한 약속은 재생가능한 에너지에 대한 최근 투자로 나타났다.</t>
  </si>
  <si>
    <t>exercise</t>
  </si>
  <si>
    <t>운동, 훈련, 체조</t>
  </si>
  <si>
    <t>Regular exercise can help prevent chronic diseases.
정규적인 운동은 만성 질병을 예방할 수 있다.</t>
  </si>
  <si>
    <t>exonerate</t>
  </si>
  <si>
    <t>면책, 무죄, 증명</t>
  </si>
  <si>
    <t>The court's decision to exonerate the accused was met with widespread relief.
법원은 피고인의 무죄를 선고함으로써 널리 환영받았다.</t>
  </si>
  <si>
    <t>exposure</t>
  </si>
  <si>
    <t>노출, 노출되다, 취약점</t>
  </si>
  <si>
    <t>The photographer's exposure of the city's poverty sparked a heated debate.
사진 작가의 도시 빈곤의 노출이 뜨거운 논쟁을 불러일으켰다.</t>
  </si>
  <si>
    <t>expounded</t>
  </si>
  <si>
    <t>설명, 해설, 확장</t>
  </si>
  <si>
    <t>The professor carefully expounded the complex theory to her students.
교수는 학생들에게 복잡한 이론을 신중하게 설명했다.</t>
  </si>
  <si>
    <t>extraneous</t>
  </si>
  <si>
    <t>무의미한, 불필요한, 외래의</t>
  </si>
  <si>
    <t>The extraneous details in the report made it difficult to understand the main point.
보고서에 있는 무의미한 부분들이 주된 내용을 이해하기 어렵게 했다.</t>
  </si>
  <si>
    <t>extravagant</t>
  </si>
  <si>
    <t>무리한, 과도한, 화려한</t>
  </si>
  <si>
    <t>The couple's extravagant wedding ceremony was covered by all major newspapers.
부부의 화려한 결혼식은 모든 주요 신문에 보도되었다.</t>
  </si>
  <si>
    <t>extruded</t>
  </si>
  <si>
    <t>엑스트루드된, 엑스트루드하다, 엑스트루드된 제품</t>
  </si>
  <si>
    <t>The pasta was extruded through a machine to create uniform shapes.
파스타는 기계를 통해 균일한 모양으로 만들어지는 엑스트루드되었다.</t>
  </si>
  <si>
    <t>familiar</t>
  </si>
  <si>
    <t>친숙, 친밀, 익숙</t>
  </si>
  <si>
    <t>She felt familiar with the city after living there for a few months.
그녀는 몇 달 동안 살면서 도시를 익숙하게 느꼈다.</t>
  </si>
  <si>
    <t>featuring</t>
  </si>
  <si>
    <t>기능, 특징, 출연</t>
  </si>
  <si>
    <t>The new album is featuring a collaboration with a famous artist.
새 앨범은 유명한 아티스트와의 협업을 특징으로 한다.</t>
  </si>
  <si>
    <t>feckless</t>
  </si>
  <si>
    <t>무능력자, 무책임한 사람, 무능력하다</t>
  </si>
  <si>
    <t>The politician's feckless response to the crisis only fueled public outrage.
정치인의 무능력한 대응은 시민들의 분노를 더욱 거세게 만들었다.</t>
  </si>
  <si>
    <t>fill</t>
  </si>
  <si>
    <t>물, 채우다, 가득하다, 충만하다, 충분하다, 채우기, 가득히</t>
  </si>
  <si>
    <t>She carefully filled the empty bottle with water.
그녀는 물을 조심스럽게 빈 병에 채웠다.</t>
  </si>
  <si>
    <t>fluent</t>
  </si>
  <si>
    <t>유창한, 말하기, 이해하기</t>
  </si>
  <si>
    <t>She became fluent in Spanish after living in Spain for a year.
그녀는 스페인에서 1년 동안 지내면서 스페인어를 유창하게 배웠다.</t>
  </si>
  <si>
    <t>gather</t>
  </si>
  <si>
    <t>모임, 모으다, 모여들다</t>
  </si>
  <si>
    <t>The family will gather for dinner tonight.
가족은 오늘 저녁에 모여 식사를 하러 갑니다.</t>
  </si>
  <si>
    <t>generated</t>
  </si>
  <si>
    <t>생성된, 생성, 자동생성</t>
  </si>
  <si>
    <t>The new software was generated from a combination of human and artificial intelligence.
새로운 소프트웨어는 인간과 인공지능의 조합으로 생성되었다.</t>
  </si>
  <si>
    <t>goods</t>
  </si>
  <si>
    <t>물건, 상품, 재화</t>
  </si>
  <si>
    <t>The store sells a variety of goods from around the world.
그 상점은 전 세계에서 온 다양한 물건을 판매합니다.</t>
  </si>
  <si>
    <t>gregarious</t>
  </si>
  <si>
    <t>사회적, 사회성 있는, 모임을 좋아하는</t>
  </si>
  <si>
    <t>The professor was a gregarious man who loved nothing more than hosting dinner parties for his colleagues.
교수는 동료들을 위해 저녁 파티를 열어주기를 좋아하는 사회적인 사람이었다.</t>
  </si>
  <si>
    <t>guessed</t>
  </si>
  <si>
    <t>추측, 예상, 맞힌 것</t>
  </si>
  <si>
    <t>She guessed the password correctly on the first try.
그녀는 첫 번째 시도에서 비밀번호를 정확하게 맞힌다.</t>
  </si>
  <si>
    <t>habits</t>
  </si>
  <si>
    <t>습관, 습관이 되다, 습관적인</t>
  </si>
  <si>
    <t>She tried to break her bad habits of procrastination and overeating.
그녀는 게으름과 과식의 습관을 버려고 노력했다.</t>
  </si>
  <si>
    <t>halt</t>
  </si>
  <si>
    <t>정지, 멈추다, 중단</t>
  </si>
  <si>
    <t>The police ordered the protesters to halt their march.
경찰은 시위대를 행진을 멈추라고 명령했다.</t>
  </si>
  <si>
    <t>heresy</t>
  </si>
  <si>
    <t>이교도, 이단, 반역</t>
  </si>
  <si>
    <t>The church condemned the heresy as a threat to its authority.
교회는 권위에 대한 위협으로 이교도를 비난했다.</t>
  </si>
  <si>
    <t>hiatus</t>
  </si>
  <si>
    <t>휴식, 중단, 간격</t>
  </si>
  <si>
    <t>The company's financial struggles led to a hiatus in production.
회사 재정난으로 인해 생산이 중단되었습니다.</t>
  </si>
  <si>
    <t>hyperboles</t>
  </si>
  <si>
    <t>말장난, 과장, 극언</t>
  </si>
  <si>
    <t>The politician's hyperbole about the country's economic growth was widely criticized by the media.
정치인의 국가 경제 성장에 대한 과장된 말은 언론에서 널리 비판을 받았다.</t>
  </si>
  <si>
    <t>imitate</t>
  </si>
  <si>
    <t>모사하다, 따라하다, 유사하다</t>
  </si>
  <si>
    <t>She tried to imitate the singer's voice, but it sounded awkward.
그녀는 가수의 목소리를 따라했지만 어색하게 들렸다.</t>
  </si>
  <si>
    <t>immunity</t>
  </si>
  <si>
    <t>면책권, 면역력, 보장</t>
  </si>
  <si>
    <t>The vaccine provided immunity against the deadly virus.
백신은 치명적인 바이러스에 대한 면역력을 제공했다.</t>
  </si>
  <si>
    <t>impervious</t>
  </si>
  <si>
    <t>보호막, 면책, 물리적 방어력</t>
  </si>
  <si>
    <t>The city's flood defenses proved impervious to the storm's fury.
도시의 홍수 방어시스템은 폭풍의 격렬함에 저항하지 못했다.</t>
  </si>
  <si>
    <t>implausible</t>
  </si>
  <si>
    <t>의심스럽다, 불가능하다, 상상하기 어려워</t>
  </si>
  <si>
    <t>The story was so implausible that it was hard to believe.
이야기는 너무 의심스럽게 들려서 믿기 어려웠다.</t>
  </si>
  <si>
    <t>inaugurated</t>
  </si>
  <si>
    <t>신임, 취임, 공식 시작</t>
  </si>
  <si>
    <t>The new president was inaugurated in a grand ceremony.
신임 대통령은 велич스러운 행사에서 취임식을 열었다.</t>
  </si>
  <si>
    <t>included</t>
  </si>
  <si>
    <t>포함, 포함되다, 광범위한, 전체적인</t>
  </si>
  <si>
    <t>The cost of the trip was included in the price.
여행 비용은 가격에 포함되어 있었다.</t>
  </si>
  <si>
    <t>incongruent</t>
  </si>
  <si>
    <t>불일치, 불일치하다, 불일치감</t>
  </si>
  <si>
    <t>The colors of the painting were incongruent with the serene atmosphere of the room.
그림의 색상은 방의 평온한 분위기에 맞지 않는다.</t>
  </si>
  <si>
    <t>infringing</t>
  </si>
  <si>
    <t>침해, 위반, 침해하는</t>
  </si>
  <si>
    <t>The company was sued for infringing on the patent of a rival firm.
회사에서는 경쟁사 특허를 침해한 혐의로 소송을 당했다.</t>
  </si>
  <si>
    <t>ingrained</t>
  </si>
  <si>
    <t>습득된, 내재된, 깊이 박힌</t>
  </si>
  <si>
    <t>Her ingrained habit of checking her phone before bed was affecting her sleep.
그녀의 깊이 박힌 습관은 잠을 방해했다.</t>
  </si>
  <si>
    <t>innate</t>
  </si>
  <si>
    <t>본성, 본래의 성질, 내재하는 성질</t>
  </si>
  <si>
    <t>Her innate kindness towards animals was evident in the way she cared for the stray cat.
그녀는 애완 동물에 대한 본성을 보이듯 가로등 밑에 있는 고양이를 돌보았다.</t>
  </si>
  <si>
    <t>inscrutable</t>
  </si>
  <si>
    <t>비밀스러운, 이해하기 어려운, 불가해하다</t>
  </si>
  <si>
    <t>The ancient hieroglyphics on the temple walls were inscrutable to the archaeologists.
성벽에 새겨진 고대 문양은 고고학자들에게 이해하기 어려웠다.</t>
  </si>
  <si>
    <t>insidious</t>
  </si>
  <si>
    <t>유독한, 은밀한, 사악한</t>
  </si>
  <si>
    <t>The company's financial troubles were insidious, and it took years for the employees to realize the extent of their losses.
회사에 있는 금전적인 문제는 은밀하게 진행되어 몇 년 동안 직원들은 손실의 정도를 깨닫지 못했다.</t>
  </si>
  <si>
    <t>instigating</t>
  </si>
  <si>
    <t>자극하는, 자극하다, 유혹하는</t>
  </si>
  <si>
    <t>The politician's inflammatory speech was widely criticized for instigating the violent protests.
정치인의 격분한 연설은 폭력적인 시위에 자극하는 것으로 널리 비판받았다.</t>
  </si>
  <si>
    <t>issuing</t>
  </si>
  <si>
    <t>출판, 발행, 문제</t>
  </si>
  <si>
    <t>The company is facing criticism for issuing misleading advertisements.
회사은 허위 광고를 내는 것에 대해 비판을 받고 있다.</t>
  </si>
  <si>
    <t>lavishness</t>
  </si>
  <si>
    <t>장식, 화려함, 과시</t>
  </si>
  <si>
    <t>The couple's lavishness was evident in the expensive decorations and elaborate wedding cake.
부부의 화려함은 비싼 장식과 복잡한 웨딩 케이크로 드러났다.</t>
  </si>
  <si>
    <t>liability</t>
  </si>
  <si>
    <t>손해배상, 책임, 부담</t>
  </si>
  <si>
    <t>The company's liability for the environmental damage was estimated to be in the millions.
환경 피해로 인한 회사 책임은 수십억 원에 달했다.</t>
  </si>
  <si>
    <t>liable</t>
  </si>
  <si>
    <t>책임, 책임져야 할 사람, 법적 책임</t>
  </si>
  <si>
    <t>The company is liable for any damages caused by the faulty product.
회사에서는 제품의 결함으로 인한 모든 손해에 책임을 지고 있습니다.</t>
  </si>
  <si>
    <t>limitations</t>
  </si>
  <si>
    <t>제한, 한계, 한정</t>
  </si>
  <si>
    <t>The new policy has several limitations that restrict the company's ability to expand its operations.
새로운 정책은 여러 제한으로 인해 회사 운영 확장의 능력을 제한한다.</t>
  </si>
  <si>
    <t>magnitude</t>
  </si>
  <si>
    <t>크기, 정도, 강도</t>
  </si>
  <si>
    <t>The earthquake's magnitude was estimated to be around 7.0 on the Richter scale.
지진의 크기는 리처드 규모에서 7.0으로 추정되었다.</t>
  </si>
  <si>
    <t>maniacal</t>
  </si>
  <si>
    <t>광기적인, 광기, 광기적인 사람, 광기스럽다</t>
  </si>
  <si>
    <t>The clown's maniacal laughter echoed through the empty hall.
클라운의 광기적인 웃음이 텅 빈 홀을 통해 울려 퍼졌다.</t>
  </si>
  <si>
    <t>manuscripts</t>
  </si>
  <si>
    <t>수첩, 필사본, 원고</t>
  </si>
  <si>
    <t>The museum is home to a vast collection of ancient manuscripts.
박물관에는 오래된 원고가 수많은 수첩으로 보관되어 있다.</t>
  </si>
  <si>
    <t>margins</t>
  </si>
  <si>
    <t>수익마진, 경계선, 여유</t>
  </si>
  <si>
    <t>The company operates on thin margins, barely making a profit.
회사은익마진이 좁아서 겨우 이익을 남기고 있다.</t>
  </si>
  <si>
    <t>mend</t>
  </si>
  <si>
    <t>수리하다, 보수하다, 손상된 것을 고치다</t>
  </si>
  <si>
    <t>The doctor will mend the broken bone.
의사는 부러진 뼈를 고치겠습니다.</t>
  </si>
  <si>
    <t>merchandise</t>
  </si>
  <si>
    <t>상품, 물건, 판매물건</t>
  </si>
  <si>
    <t>The store sells a wide variety of merchandise related to the popular cartoon.
스토어는 인기 애니메이션 관련 다양한 상품을 판매합니다.</t>
  </si>
  <si>
    <t>meticulous</t>
  </si>
  <si>
    <t>정성스러운, 세심한, 꼼꼼한</t>
  </si>
  <si>
    <t>She spent hours crafting a meticulous plan to ensure the event's success.
그녀는 성공적인 행사를 위해 계획을 세심하게 몇 시간 동안 만들었다.</t>
  </si>
  <si>
    <t>monotonous</t>
  </si>
  <si>
    <t>기하한, 반복적, 지루한</t>
  </si>
  <si>
    <t>The lecturer's monotonous voice put the students to sleep.
강사님의 지루한 목소리가 학생들을 잠들게 했다.</t>
  </si>
  <si>
    <t>monuments</t>
  </si>
  <si>
    <t>기념물, 기념비, 유적지</t>
  </si>
  <si>
    <t>The ancient city is famous for its numerous historical monuments.
고대 도시가 많은 역사적인 기념물을 가지고 있어 유명하다.</t>
  </si>
  <si>
    <t>motions</t>
  </si>
  <si>
    <t>움직임, 동작, 운동</t>
  </si>
  <si>
    <t>The new dance routine included a series of complex motions that required precise timing.
새로운 댄스 루틴에는 정확한 타이밍이 필요한 복잡한 움직임이 포함되어 있었다.</t>
  </si>
  <si>
    <t>mute</t>
  </si>
  <si>
    <t>음소, 침묵, 무음, 침묵하다</t>
  </si>
  <si>
    <t>The audience was instructed to remain silent and keep their microphones mute during the surprise announcement.
시청자들은 충격적인 발표를 위해 마이크를 무음으로 유지하고 침묵하도록 지시받았다.</t>
  </si>
  <si>
    <t>obliterate</t>
  </si>
  <si>
    <t>삭제하다, 소멸시키다, 완전히 지우다</t>
  </si>
  <si>
    <t>The city was almost completely obliterated by the devastating earthquake.
도시가 거의 완전히 파괴된 지진으로 소멸되었다.</t>
  </si>
  <si>
    <t>obstructed</t>
  </si>
  <si>
    <t>장애, 방해, 막힘</t>
  </si>
  <si>
    <t>The construction project was delayed due to the obstructed traffic on the main road.
주요 도로의 교통이 막힘으로 인해 건설 프로젝트가 지연되었습니다.</t>
  </si>
  <si>
    <t>omission</t>
  </si>
  <si>
    <t>잠재, 누락, 생략, 무시</t>
  </si>
  <si>
    <t>The omission of this crucial detail led to a major misunderstanding.
이 중요한 세부사항의 누락으로 큰 오해가 생겼다.</t>
  </si>
  <si>
    <t>opaque</t>
  </si>
  <si>
    <t>투명하지 않은, 불투명, 불투명하다</t>
  </si>
  <si>
    <t>The glass was opaque, making it impossible to see what was inside.
유리는 투명하지 않아 내부를 볼 수 없었다.</t>
  </si>
  <si>
    <t>open</t>
  </si>
  <si>
    <t>열린, 개방, 공개</t>
  </si>
  <si>
    <t>The store will be open on Sundays.
일요일에는 매장이 열립니다.</t>
  </si>
  <si>
    <t>ostracized</t>
  </si>
  <si>
    <t>배제된, 고립된, 사회적으로 외면된</t>
  </si>
  <si>
    <t>She felt ostracized by her community after she spoke out against the corrupt politician.
그녀는 부패 정치인에 대한 그녀의 목소리를 내자 사회적으로 외면되었다.</t>
  </si>
  <si>
    <t>outwit</t>
  </si>
  <si>
    <t>속여 이기다, 속임수를 쓰다, 속임수 당기다</t>
  </si>
  <si>
    <t>She outwitted her opponent by pretending to be weak.
그녀는 약한 척 하며 상대방을 속여 이겼다.</t>
  </si>
  <si>
    <t>overlooked</t>
  </si>
  <si>
    <t>잊어버린, 무시한, 무시되다</t>
  </si>
  <si>
    <t>The company's innovative product was overlooked by investors, leading to a significant loss.
투자자들의 눈에 띄지 않아 회사 제품의 혁신성이 무시되어 큰 손실을 입었다.</t>
  </si>
  <si>
    <t>overt</t>
  </si>
  <si>
    <t>보이는, 명백한, 공개적인</t>
  </si>
  <si>
    <t>The company's overt attempt to manipulate public opinion was widely criticized.
회사측의 명백한 의도는 대중의 의견을 조작하려는 것이었다.</t>
  </si>
  <si>
    <t>passage</t>
  </si>
  <si>
    <t>길, 통로, 통과, 통과하다, 통과점</t>
  </si>
  <si>
    <t>The tourists had to buy a ticket to pass through the narrow passage.
관광객들은 좁은 통로를 통과하기 위해 티켓을 구매해야 했다.</t>
  </si>
  <si>
    <t>pause</t>
  </si>
  <si>
    <t>정지, 멈추다, 잠시 멈추다</t>
  </si>
  <si>
    <t>The music paused for a moment before continuing.
음악은 잠시 멈추고 다시 시작했다.</t>
  </si>
  <si>
    <t>perplex</t>
  </si>
  <si>
    <t>어지러움, 혼란스럽다, 이해할 수 없다</t>
  </si>
  <si>
    <t>The detective was perplexed by the cryptic message.
수사관은 암호 메시지를 이해할 수 없었다.</t>
  </si>
  <si>
    <t>persistent</t>
  </si>
  <si>
    <t>고집, 지속, 끈기있는</t>
  </si>
  <si>
    <t>She was a persistent advocate for environmental protection.
그녀는 환경보호를 위해 끈기있게 활동했다.</t>
  </si>
  <si>
    <t>pertinent</t>
  </si>
  <si>
    <t>관련성, 관련된, 중요하다</t>
  </si>
  <si>
    <t>The new evidence is pertinent to the ongoing investigation.
새로운 증거는 현재 진행 중인 수사에 관련되어 있다.</t>
  </si>
  <si>
    <t>pious</t>
  </si>
  <si>
    <t>신의,한, 종교적</t>
  </si>
  <si>
    <t>She was a pious woman who attended church every Sunday.
그녀는 매주 일요일마다 교회에 다니는한 여인이었다.</t>
  </si>
  <si>
    <t>pique</t>
  </si>
  <si>
    <t>상처, 관심을 끌다, 관심을 불러일으키다, 질투</t>
  </si>
  <si>
    <t>Her curiosity was piqued by the mysterious letter.
그녀의 관심은 신비로운 편지로 불타올랐다.</t>
  </si>
  <si>
    <t>predicated</t>
  </si>
  <si>
    <t>예측, 가정, 기대</t>
  </si>
  <si>
    <t>The company's success was predicated on the strength of its management team.
회사 성공은 경영진의 강점에 기반을 두고 있었다.</t>
  </si>
  <si>
    <t>prerequisite</t>
  </si>
  <si>
    <t>조건, 선행조건, 필수조건</t>
  </si>
  <si>
    <t>To be eligible for the scholarship, a minimum GPA of 3.5 is a prerequisite.
장학금을 받으려면 3.5 이상의 학점을 유지하는 것이 선행조건입니다.</t>
  </si>
  <si>
    <t>presaged</t>
  </si>
  <si>
    <t>예고, 예감, 선조상</t>
  </si>
  <si>
    <t>The company's financial troubles had long presaged the eventual bankruptcy.
회사 재정난은 결국 파산에 이르게 한 것을 예고하고 있었다.</t>
  </si>
  <si>
    <t>prevent</t>
  </si>
  <si>
    <t>예방, 방지, 차단</t>
  </si>
  <si>
    <t>The new safety measures were put in place to prevent accidents.
새로운 안전 조치가 사고를 예방하기 위해 시행되었다.</t>
  </si>
  <si>
    <t>pristine</t>
  </si>
  <si>
    <t>깨끗한, 순수한, 원초적</t>
  </si>
  <si>
    <t>The pristine waters of the lake were home to a variety of fish species.
호수의 깨끗한 물은 다양한 물고기 종을 거느렸다.</t>
  </si>
  <si>
    <t>privilege</t>
  </si>
  <si>
    <t>권리, 특권, 면책권 / 특혜, 우대, 보장</t>
  </si>
  <si>
    <t>She felt guilty about the privilege she had enjoyed without working hard for it.
그녀는 자신의 노력 없이 누린 특혜에 대해 죄책감을 느꼈다.</t>
  </si>
  <si>
    <t>professed</t>
  </si>
  <si>
    <t>신앙, 선언, 자칭</t>
  </si>
  <si>
    <t>She professed to be an expert in the field, but her credentials were questionable.
그녀는 자신이 분야의 전문가라고 선언했지만, 그녀의 자격증은 의심스럽다.</t>
  </si>
  <si>
    <t>prosperous</t>
  </si>
  <si>
    <t>번영하는, 번영하다, 번영스럽다</t>
  </si>
  <si>
    <t>The city's economy has been prosperous for decades, attracting businesses and talent from all over the world.
이 도시의 경제는 수십 년 동안 번영해 왔으며, 전 세계에서 기업과 인재를 끌어들였다.</t>
  </si>
  <si>
    <t>proxy</t>
  </si>
  <si>
    <t>대리, 대리인, 대리권, 대리자</t>
  </si>
  <si>
    <t>The company's CEO will act as a proxy for the absent board member at the meeting.
회장님은 부재중인 이사님의 대리로 회의에 참석할 것입니다.</t>
  </si>
  <si>
    <t>reclusive</t>
  </si>
  <si>
    <t>혼자만의, 은둔적인, 고립된</t>
  </si>
  <si>
    <t>The famous author was a reclusive person who rarely gave interviews.
유명한 작가는 인터뷰를 거의 하지 않는 은둔적인 사람이었다.</t>
  </si>
  <si>
    <t>recompensed</t>
  </si>
  <si>
    <t>보상, 손해배상, 보장</t>
  </si>
  <si>
    <t>The company recompensed its employees for the damages caused by the natural disaster.
사고로 인한 손해를 보상해 주었다.</t>
  </si>
  <si>
    <t>reflexive</t>
  </si>
  <si>
    <t>반사적, 자기-centered, 자기 자신을 중심으로 하는</t>
  </si>
  <si>
    <t>The artist's latest work is a reflexive exploration of her own identity.
가수는 자신의 정체성을 반영하는 작품을 발표했다.</t>
  </si>
  <si>
    <t>refute</t>
  </si>
  <si>
    <t>거부하다, 부인하다, 반박하다</t>
  </si>
  <si>
    <t>The scientist was unable to refute the claims made by the rival researcher.
과학자는 경쟁자 연구원의 주장을 거부할 수 없었다.</t>
  </si>
  <si>
    <t>regimen</t>
  </si>
  <si>
    <t>운동 계획, 규칙, 체계</t>
  </si>
  <si>
    <t>She followed a strict regimen of diet and exercise to lose weight.
그녀는 체중 감량을 위해 엄격한 식사와 운동 계획을 따랐다.</t>
  </si>
  <si>
    <t>reluctant</t>
  </si>
  <si>
    <t>반대, 저항, 꺼림칙 / 반대하다, 저항하다, 꺼림칙하다</t>
  </si>
  <si>
    <t>She was reluctant to accept the job offer due to the long working hours.
그녀는 긴 근무 시간 때문에 일자리를 받아들이기를 꺼렸다.</t>
  </si>
  <si>
    <t>renounced</t>
  </si>
  <si>
    <t>거부, 포기, 사임</t>
  </si>
  <si>
    <t>She renounced her claim to the throne after the scandal.
그녀는 스캔들 후 왕위 요구를 포기했다.</t>
  </si>
  <si>
    <t>repercussions</t>
  </si>
  <si>
    <t>영향, 결과, 보복</t>
  </si>
  <si>
    <t>The company faced severe repercussions for its role in the environmental disaster.
회사에 대한 환경재난에서의 역할로 심각한 결과를 맞이했다.</t>
  </si>
  <si>
    <t>resilient</t>
  </si>
  <si>
    <t>강건한, 회복력 있는, 내구성 있는</t>
  </si>
  <si>
    <t>The city's resilient residents rebuilt their homes and businesses after the devastating hurricane.
도시의 강건한 주민들은 엄청난 허리케인 이후 집과 사업을 다시 세웠다.</t>
  </si>
  <si>
    <t>resorted</t>
  </si>
  <si>
    <t>재정비하다, 다시 정리하다, 이전에 사용하던 방식으로 돌아가다</t>
  </si>
  <si>
    <t>The company had to resorted to outsourcing due to a shortage of skilled workers.
회사에서는 숙련된 인력 부족으로 인해 이전에 사용하던 방식으로 돌아가야 했다.</t>
  </si>
  <si>
    <t>retain</t>
  </si>
  <si>
    <t>보존하다, 유지하다, 기억하다, 보장, 유지</t>
  </si>
  <si>
    <t>She will retain her title as the company's CEO until the end of the year.
그녀는 이 해 말까지 회사의 CEO 지위를 유지할 것이다.</t>
  </si>
  <si>
    <t>rigorous</t>
  </si>
  <si>
    <t>엄격한, 철저한, 엄격하게</t>
  </si>
  <si>
    <t>The professor's rigorous standards for grading were widely respected by her students.
교수님의 엄격한 평가 기준은 학생들로부터 널리 존경받았다.</t>
  </si>
  <si>
    <t>salient</t>
  </si>
  <si>
    <t>주요,, 눈에 띄는</t>
  </si>
  <si>
    <t>The most striking feature of the new policy is its emphasis on environmental protection.
새로운 정책의 가장 눈에 띄는 특징은 환경보호에 중점을 둔 것이다.</t>
  </si>
  <si>
    <t>scrawny</t>
  </si>
  <si>
    <t>마른, 연약한, 비쩍 마른</t>
  </si>
  <si>
    <t>The scrawny dog ran quickly around the corner.
마른 개가 급히 모퉁이를 돌아갔다.</t>
  </si>
  <si>
    <t>scrupulous</t>
  </si>
  <si>
    <t>정직한, 성실한, 엄격한</t>
  </si>
  <si>
    <t>She was a scrupulous researcher, double-checking every fact before publishing her findings.
그녀는 엄격한 연구자로, 모든 사실을 출판하기 전에 두 번 확인했다.</t>
  </si>
  <si>
    <t>secluded</t>
  </si>
  <si>
    <t>고립된, 고립시키다, 고립된 장소</t>
  </si>
  <si>
    <t>The village was a secluded spot, far from the hustle and bustle of city life.
마을은 시끄러운 도시 생활에서 멀리 떨어진 고립된 장소였다.</t>
  </si>
  <si>
    <t>segregated</t>
  </si>
  <si>
    <t>분리된, 격리된, 분리하다</t>
  </si>
  <si>
    <t>The community center has separate facilities for men and women, but the restrooms are segregated.
커뮤니티 센터에는 남녀가 별도의 시설을 가지고 있지만 화장실은 분리되어 있습니다.</t>
  </si>
  <si>
    <t>served</t>
  </si>
  <si>
    <t>서비스, 제공, 충족</t>
  </si>
  <si>
    <t>The waiter served us a delicious meal.
웨이터가 우리에게 맛있는 식사를 제공했다.</t>
  </si>
  <si>
    <t>set</t>
  </si>
  <si>
    <t>세트, 설정, 정해지다, 고정시키다, 준비되다</t>
  </si>
  <si>
    <t>The concert is set to start at 8pm.
공연은 8시부터 시작합니다.</t>
  </si>
  <si>
    <t>spurious</t>
  </si>
  <si>
    <t>허위의, 가짜의, 위조의</t>
  </si>
  <si>
    <t>The company was accused of selling spurious products that were not manufactured by them.
회사에서는 자신이 제조하지 않은 허위 제품을 판매한 혐의를 받았다.</t>
  </si>
  <si>
    <t>squeezed</t>
  </si>
  <si>
    <t>압박, 좁혀지다, 힘들어하다</t>
  </si>
  <si>
    <t>The crowd was squeezed into the small elevator.
사람들이 작은 엘리베이터에 밀려 들어갔다.</t>
  </si>
  <si>
    <t>stigma</t>
  </si>
  <si>
    <t>차별, 비난의 대상, 부정적 이미지를 가진 사람</t>
  </si>
  <si>
    <t>The disease has a stigma attached to it, and many people are reluctant to discuss it openly.
이 병에는 부정적 이미지가 붙어 있어 많은 사람들이 공개적으로 논의하기를 꺼려한다.</t>
  </si>
  <si>
    <t>store</t>
  </si>
  <si>
    <t>점포, 판매점, 보관하다</t>
  </si>
  <si>
    <t>She stopped by the store to pick up some milk on her way home.
집에 가는 길에 우유를 사러 가는 길에 점포에 들렀다.</t>
  </si>
  <si>
    <t>submissions</t>
  </si>
  <si>
    <t>제안서, 제출물, 제출</t>
  </si>
  <si>
    <t>The conference organizers received numerous submissions from around the world.
세계 곳곳에서 많은 제안서가 개최되는 회의의 조직위원회에 제출되었다.</t>
  </si>
  <si>
    <t>submit</t>
  </si>
  <si>
    <t>제안, 제출, 승인, 제출하다, 승인하다, 제출물</t>
  </si>
  <si>
    <t>The company will submit its quarterly report to the stock exchange by the end of the month.
회사에서는 이 달 말까지 주식 거래소에 분기별 보고서를 제출할 예정입니다.</t>
  </si>
  <si>
    <t>subordinate</t>
  </si>
  <si>
    <t>부하, 하위, 종속</t>
  </si>
  <si>
    <t>The manager is a subordinate of the CEO.
매니저는 CEO의 하위이다.</t>
  </si>
  <si>
    <t>superstitions</t>
  </si>
  <si>
    <t>신앙, 관습, 오컬트</t>
  </si>
  <si>
    <t>The village was plagued by a variety of superstitions that had been passed down through generations.
마을은 여러 가지 전통적인 믿음과 관습으로 괴로워했다.</t>
  </si>
  <si>
    <t>supplied</t>
  </si>
  <si>
    <t>제공된, 제공하다, 충분한</t>
  </si>
  <si>
    <t>The company supplied the necessary equipment for the project.
회사에서는 프로젝트를 위해 필요한 장비를 제공했다.</t>
  </si>
  <si>
    <t>suppression</t>
  </si>
  <si>
    <t>억압, 억제, 억압력, 억제력</t>
  </si>
  <si>
    <t>The government's suppression of the protests led to widespread outrage.
정부의 시위 억압으로 인해 광범위한 분노가 일었다.</t>
  </si>
  <si>
    <t>surpass</t>
  </si>
  <si>
    <t>초과, 능가, 능히</t>
  </si>
  <si>
    <t>She has always been determined to surpass her own records.
그녀는 항상 자신의 기록을 능가하기 위해 노력했다.</t>
  </si>
  <si>
    <t>surrogate</t>
  </si>
  <si>
    <t>보장, 대리인, 대체품, 대리자</t>
  </si>
  <si>
    <t>The company used a surrogate mother to carry the child.
회사에서는 대리모를 통해 아이를 임신시켰다.</t>
  </si>
  <si>
    <t>synthetic</t>
  </si>
  <si>
    <t>합성, 인공, 가공</t>
  </si>
  <si>
    <t>The new fabric is made from synthetic materials.
새로운 직물은 합성 재료로 만들어졌다.</t>
  </si>
  <si>
    <t>tactful</t>
  </si>
  <si>
    <t>묵묵, 예의바른, 조심스러운</t>
  </si>
  <si>
    <t>She was a tactful diplomat who managed to resolve the conflict without escalating tensions.
그녀는 조심스러운 외교관으로써 충돌을 격화시키지 않고 해결할 수 있었다.</t>
  </si>
  <si>
    <t>tactless</t>
  </si>
  <si>
    <t>무례한, 무감각한, 무심한</t>
  </si>
  <si>
    <t>Her tactless comment about his weight made him feel embarrassed.
그의 무례한 말로 그의 체중에 대해 말한 것이 그를 당황하게 만들었다.</t>
  </si>
  <si>
    <t>tarnished</t>
  </si>
  <si>
    <t>tarnished, tarnish, tarnishing, tarnishable, tarnishingly</t>
  </si>
  <si>
    <t>Her reputation was tarnished by the scandal.
그녀의 명성은 스캔들로 훼손되었다.</t>
  </si>
  <si>
    <t>tempting</t>
  </si>
  <si>
    <t>유혹적, 유혹하다, 매력적</t>
  </si>
  <si>
    <t>The smell of freshly baked cookies was tempting, but she tried to resist the temptation.
새로 구운 쿠키의 냄새가 유혹적이었지만 그녀는 유혹을 뿌리려고 했다.</t>
  </si>
  <si>
    <t>tenure</t>
  </si>
  <si>
    <t>임기, 재직, 지위</t>
  </si>
  <si>
    <t>The university professor's tenure was finally approved after a long and difficult process.
대학 교수의 임기가 마침내 긴 시간과 어려운 절차를 거쳐 승인되었다.</t>
  </si>
  <si>
    <t>tone down</t>
  </si>
  <si>
    <t>감소하다, 조절하다, 온화하다</t>
  </si>
  <si>
    <t>The company was asked to tone down its aggressive marketing campaign.
회사에 강도 높은 마케팅 캠페인을 온화하게 하라고 요구했다.</t>
  </si>
  <si>
    <t>traction</t>
  </si>
  <si>
    <t>력, 끌림, 추진력</t>
  </si>
  <si>
    <t>The new marketing campaign gained significant traction on social media.
새로운 마케팅 캠페인은 소셜 미디어에서 큰 인기를 얻었다.</t>
  </si>
  <si>
    <t>transient</t>
  </si>
  <si>
    <t>임시, 유동적, 일시적</t>
  </si>
  <si>
    <t>The city's vibrant nightlife is a transient phenomenon that only appears after dark.
도시의 활기찬 밤문화는 어둠이 찾아올 때만 나타나는 일시적인 현상이다.</t>
  </si>
  <si>
    <t>transmit</t>
  </si>
  <si>
    <t>전송, 송신, 통신</t>
  </si>
  <si>
    <t>The signal was transmitted through the satellite to the receiving station.
신호는 위성을 통해 수신국으로 전송되었다.</t>
  </si>
  <si>
    <t>traversed</t>
  </si>
  <si>
    <t>경로를 통과하다, 통과, 거쳐간</t>
  </si>
  <si>
    <t>The hikers traversed the steep mountain trail in just a few hours.
등산객들은 단 2시간 만에 험난한 산길을 통과했다.</t>
  </si>
  <si>
    <t>trek</t>
  </si>
  <si>
    <t>산행, 여행, 산책</t>
  </si>
  <si>
    <t>The hikers set out on a challenging trek across the mountain range.
등산객들은 어려운 산행을 시작했다.</t>
  </si>
  <si>
    <t>undermined</t>
  </si>
  <si>
    <t>파괴, 손상, 약화</t>
  </si>
  <si>
    <t>The company's financial troubles have undermined investor confidence.
회사 재정난으로 투자자들의 신뢰가 흔들렸다.</t>
  </si>
  <si>
    <t>unintuitive</t>
  </si>
  <si>
    <t>비직관적, 직관적이지 않다, 이해하기 어려운</t>
  </si>
  <si>
    <t>The new interface was designed to be more intuitive, but the company's decision to remove the navigation bar was surprisingly unintuitive.
새로운 인터페이스는 더 직관적이었지만 회사에서 탐색바를 제거한 결정은 놀랍게도 비직관적이었다.</t>
  </si>
  <si>
    <t>unpersuasive</t>
  </si>
  <si>
    <t>무력한, 설득력이 없을, 설득력이 떨어지는</t>
  </si>
  <si>
    <t>The politician's speech was unconvincing and failed to sway the audience.
정치인의 연설은 청중을 설득하지 못했다.</t>
  </si>
  <si>
    <t>untenable</t>
  </si>
  <si>
    <t>불합리한, 불가능한, 비합리적인</t>
  </si>
  <si>
    <t>The company's defense of its actions was untenable in the face of mounting evidence.
회사측의 행동을 옹호하는 것은 증거가 쌓이면서 불가능했다.</t>
  </si>
  <si>
    <t>vacuous</t>
  </si>
  <si>
    <t>공허한, 무의미한, 비어 있는</t>
  </si>
  <si>
    <t>The politician's speech was criticized for being vacuous and lacking substance.
정치인의 연설은 공허한 내용으로 비판을 받았다.</t>
  </si>
  <si>
    <t>versatile</t>
  </si>
  <si>
    <t>광범위한, 다양한, 유연한</t>
  </si>
  <si>
    <t>The new smartphone is a versatile device that can be used for both work and play.
새로운 스마트폰은 일과 놀이 모두 사용할 수 있는 유용한 장치이다.</t>
  </si>
  <si>
    <t>void</t>
  </si>
  <si>
    <t>공허, 무효, 공백, 무의미, 비어 있는</t>
  </si>
  <si>
    <t>The contract was declared void due to a technicality.
계약은 기술적 사유로 무효가 선언되었다.</t>
  </si>
  <si>
    <t>weary</t>
  </si>
  <si>
    <t>피곤, 지친, 지루</t>
  </si>
  <si>
    <t>After a long and tiring journey, she felt weary and decided to take a rest.
긴 여행을 마치고 피곤해져서 그녀는 휴식을 취하기로 결정했다.</t>
  </si>
  <si>
    <t>worried</t>
  </si>
  <si>
    <t>걱정, 우려, 불안</t>
  </si>
  <si>
    <t>She was worried about the safety of her children during the storm.
태풍 아이들의 안전에 대해 걱정했다.</t>
  </si>
  <si>
    <t>단일 파일</t>
  </si>
  <si>
    <t>accommodate</t>
  </si>
  <si>
    <t>숙박, 수용, 조절</t>
  </si>
  <si>
    <t>The hotel staff will do their best to accommodate your special requests.
호텔 직원들은 당신의 특별한 요구를 최선을 다해 만족시켜 줄 것입니다.</t>
  </si>
  <si>
    <t>baffled</t>
  </si>
  <si>
    <t>어리둥절, 당황, 혼란스럽다</t>
  </si>
  <si>
    <t>She was completely baffled by the complex math problem.
그녀는 복잡한 수학 문제에 완전히 어리둥절했다.</t>
  </si>
  <si>
    <t>blunt</t>
  </si>
  <si>
    <t>무난, 무난하다, 무난한</t>
  </si>
  <si>
    <t>The doctor warned her that the knife was too blunt to make a clean cut.
의사는 칼이 너무 무난해서 깨끗한 절단이 어려울 거라고 경고했다.</t>
  </si>
  <si>
    <t>circuitous</t>
  </si>
  <si>
    <t>회로가 복잡한, 곡선이 많은, 간접적인</t>
  </si>
  <si>
    <t>The hikers had to navigate a circuitous route through the dense forest to reach the summit.
등산객들은 숲이 густ하고 어두운 산 정상에 도달하기 위해 회로가 복잡한 길을 따라야 했다.</t>
  </si>
  <si>
    <t>contained</t>
  </si>
  <si>
    <t>보호, 포함, 제한</t>
  </si>
  <si>
    <t>The fire was contained within the firebreak.
화재는 방화벽 내에서만 제한되었다.</t>
  </si>
  <si>
    <t>desires</t>
  </si>
  <si>
    <t>욕망, 바람,, 원하는 것</t>
  </si>
  <si>
    <t>Her desires were to travel the world and experience different cultures.
그의 욕망은 세계를 여행하고 다양한 문화를 경험하는 것이었다.</t>
  </si>
  <si>
    <t>deviant</t>
  </si>
  <si>
    <t>비정상, 비례하지 않다, 비례하지 않는 사람</t>
  </si>
  <si>
    <t>The deviant behavior was a major concern for the community.
그들의 비정상적인 행동은 지역 사회의 큰 우려가 되었다.</t>
  </si>
  <si>
    <t>dismiss</t>
  </si>
  <si>
    <t>해임, 해고, 무시하다, 무시</t>
  </si>
  <si>
    <t>The judge dismissed the case due to lack of evidence.
판사는 증거가 부족하다고 판결을 무효로 했다.</t>
  </si>
  <si>
    <t>dubious</t>
  </si>
  <si>
    <t>의심스러운, 의심되다, 불확실한</t>
  </si>
  <si>
    <t>The company's financial reports were dubious, and investors began to lose confidence.
회사 재무보고서가 의심스러운데, 투자자들은 자신감을 잃기 시작했다.</t>
  </si>
  <si>
    <t>duped</t>
  </si>
  <si>
    <t>속아, 속아내다, 속아내는</t>
  </si>
  <si>
    <t>She was duped into investing in a fake business.
그녀는 가짜 사업에 투자하게 속아냈다.</t>
  </si>
  <si>
    <t>estimated</t>
  </si>
  <si>
    <t>예상치 못한, 예상, 추정치</t>
  </si>
  <si>
    <t>The new development is estimated to cost around $10 million.
새로운 개발은 10억 달러 정도 예상된다.</t>
  </si>
  <si>
    <t>extracted</t>
  </si>
  <si>
    <t>추출된, 추출하다, 추출물</t>
  </si>
  <si>
    <t>The researchers were able to extract valuable information from the ancient texts.
연구자들은 고대 텍스트에서 귀중한 정보를 추출할 수 있었다.</t>
  </si>
  <si>
    <t>garrulous</t>
  </si>
  <si>
    <t>말많은, 말 많은 사람, 말다툼</t>
  </si>
  <si>
    <t>Her garrulous aunt dominated the conversation at the family reunion.
가족 회의에서 말많은 할머니가 대화를 지배했다.</t>
  </si>
  <si>
    <t>incarcerated</t>
  </si>
  <si>
    <t>구금된, 감옥에 있는, 형을 받은</t>
  </si>
  <si>
    <t>The prisoner was incarcerated for 10 years for his role in the crime.
범인은 범죄에 대한 그의 역할로 10년 동안 구금되었다.</t>
  </si>
  <si>
    <t>insert</t>
  </si>
  <si>
    <t>삽입, 삽입하다, 삽입물</t>
  </si>
  <si>
    <t>The new software allows users to insert images directly into their documents.
새로운 소프트웨어는 사용자가 문서에 이미지를 직접 삽입할 수 있도록 허용합니다.</t>
  </si>
  <si>
    <t>instilling</t>
  </si>
  <si>
    <t>교육, 심어주다, 가르치다,</t>
  </si>
  <si>
    <t>The teacher's patience and kindness were instilling a sense of confidence in the young student.
선생님의 인내심과 친절함은 어린 학생에게 자신감을 심어주고 있었다.</t>
  </si>
  <si>
    <t>lugged</t>
  </si>
  <si>
    <t>짐을 끌다, 끌고 다니다, 무거운 물건을 끌다</t>
  </si>
  <si>
    <t>She lugged her heavy suitcase up the stairs.
그녀는 무거운 가방을 계단을 오르다 못해 힘을 쓰고 올라갔다.</t>
  </si>
  <si>
    <t>merge</t>
  </si>
  <si>
    <t>합병, 통합, 합쳐지다</t>
  </si>
  <si>
    <t>The company plans to merge with its rival to increase market share.
회사에서는 시장 점유율을 늘리기 위해 경쟁사와 합병할 계획이다.</t>
  </si>
  <si>
    <t>naughty</t>
  </si>
  <si>
    <t>잘못된, 나쁜, 어린애</t>
  </si>
  <si>
    <t>The children were being naughty and refused to go to bed.
아이가 나쁘게 행동하여 잠자리에 들기를 거부했다.</t>
  </si>
  <si>
    <t>plunged</t>
  </si>
  <si>
    <t>잠수하다, 추락하다, 깊숙이 빠지다</t>
  </si>
  <si>
    <t>The economy plunged into a deep recession after the financial crisis.
경제는 금융 위기 이후 심각한 경제 위기에 빠졌다.</t>
  </si>
  <si>
    <t>possible</t>
  </si>
  <si>
    <t>가능, 가능성, 가능하다</t>
  </si>
  <si>
    <t>It's possible that she's already gone home.
그녀가 이미 집에 가 있을 가능성이 있다.</t>
  </si>
  <si>
    <t>postponed</t>
  </si>
  <si>
    <t>연기된, 지연된, 미루어진</t>
  </si>
  <si>
    <t>The meeting was postponed due to the bad weather.
비가 나서 회의가 연기되었다.</t>
  </si>
  <si>
    <t>refrain</t>
  </si>
  <si>
    <t>거절하다, 중단하다, 재차하지 않다</t>
  </si>
  <si>
    <t>She tried to refrain from eating sweets, but the cake looked irresistible.
그녀는 과자 먹지 않으려고 애쓰지만 케이크는 너무 매력적이었다.</t>
  </si>
  <si>
    <t>remove</t>
  </si>
  <si>
    <t>제거하다, 없애다, 제거</t>
  </si>
  <si>
    <t>The company will remove the old equipment from the factory.
회사에서는 공장에서 오래된 장비를 제거할 것입니다.</t>
  </si>
  <si>
    <t>reverberant</t>
  </si>
  <si>
    <t>강성한, 울림이 있는, 울리는</t>
  </si>
  <si>
    <t>The sound of the bell was reverberant in the stillness of the night.
밤의 조용함 속에서 종소리는 울려 퍼졌다.</t>
  </si>
  <si>
    <t>skimpy</t>
  </si>
  <si>
    <t>적은, 저렴한, 부족한</t>
  </si>
  <si>
    <t>The hotel's breakfast was a skimpy affair, with only toast and coffee available.
호텔의 아침 식사는 토스트와 커피만 제공되었습니다.</t>
  </si>
  <si>
    <t>squandered</t>
  </si>
  <si>
    <t>시간낭비, 낭비, 허투루 쓰다</t>
  </si>
  <si>
    <t>She had squandered her inheritance on lavish parties and expensive vacations.
그녀는 부모님께서 남긴 재산을 과시를 위해 낭비했다.</t>
  </si>
  <si>
    <t>survey</t>
  </si>
  <si>
    <t>조사, 조사하다, 조사 결과</t>
  </si>
  <si>
    <t>The company conducted a survey to determine the public's opinion on the new product.
회사에서는 새로운 제품에 대한 일반인의 의견을 조사하기 위해 조사했다.</t>
  </si>
  <si>
    <t>tacky</t>
  </si>
  <si>
    <t>어질당, 불어울리다, 불어울린, 불어울리는</t>
  </si>
  <si>
    <t>The decorations in the hotel lobby were tacky and over-the-top.
호텔 로비의 장식은 어질당하고 과장되게 꾸며져 있었다.</t>
  </si>
  <si>
    <t>tedious</t>
  </si>
  <si>
    <t>지루하다, 반복적, 시간이 오래 걸리는</t>
  </si>
  <si>
    <t>The meeting was tedious and dragged on for hours.
회의는 지루했고 몇 시간 동안 계속되었다.</t>
  </si>
  <si>
    <t>a blessing in disguise</t>
  </si>
  <si>
    <t>복수, 은총, 은밀한 보복</t>
  </si>
  <si>
    <t>She initially thought the layoff was a disaster, but it turned out to be a blessing in disguise, as it led her to start her own business.
그녀는 일단 해고를 재난으로 생각했지만, 결국은 그녀의 자신의 사업을 시작하게 하는 은총이 되었다.</t>
  </si>
  <si>
    <t>a dime a dozen</t>
  </si>
  <si>
    <t>무가치, 흔한, 저렴한</t>
  </si>
  <si>
    <t>The skills required for the job are a dime a dozen, but finding someone with the right attitude is a different story.
이런 일은 아무나 할 수 있는 일이라서, 적격자 찾기가 쉽지 않다.</t>
  </si>
  <si>
    <t>a drop in the bucket</t>
  </si>
  <si>
    <t>물고기 한 마리, 작은 돈, 미미한 효과</t>
  </si>
  <si>
    <t>The donation was a drop in the bucket compared to the massive reconstruction costs.
기부는 막대한 복구 비용에 비해 한 방울에 불과했다.</t>
  </si>
  <si>
    <t>abated</t>
  </si>
  <si>
    <t>감소하다, 완화되다, 약해지다</t>
  </si>
  <si>
    <t>The storm finally began to abate, and the sun broke through the clouds.
폭풍은 마침내 가라앉아 하늘에 햇살이 비치기 시작했다.</t>
  </si>
  <si>
    <t>aberrant</t>
  </si>
  <si>
    <t>이상행위, 비정상적, 이상하다</t>
  </si>
  <si>
    <t>The aberrant behavior of the child was a cause for concern among the parents.
아동의 이상행위는 부모님 사이에서 큰 우려의 대상이 되었다.</t>
  </si>
  <si>
    <t>abnegated</t>
  </si>
  <si>
    <t>거부, 배제, 포기</t>
  </si>
  <si>
    <t>The company's profits were abnegated by the high costs of the project.
회사 수익은 프로젝트의 높은 비용으로 인해 소멸했다.</t>
  </si>
  <si>
    <t>abolished</t>
  </si>
  <si>
    <t>폐지된, 폐지하다, 폐지된 법률</t>
  </si>
  <si>
    <t>The law was abolished in 1990.
법률은 1990년에 폐지되었다.</t>
  </si>
  <si>
    <t>abolition</t>
  </si>
  <si>
    <t>해체, 폐지, 해산</t>
  </si>
  <si>
    <t>The government announced the abolition of the outdated tax law.
정부는 폐지된 세법을 발표했다.</t>
  </si>
  <si>
    <t>abominable</t>
  </si>
  <si>
    <t>어두운, 비열한, 혐오스러운</t>
  </si>
  <si>
    <t>The company's treatment of its employees was abominable, and many quit in protest.
회사 직원들을 대하는 그들의 태도는 혐오스럽고 많은 직원들이 항의하며 퇴사했습니다.</t>
  </si>
  <si>
    <t>abomination</t>
  </si>
  <si>
    <t>혐오, 악행, 비난</t>
  </si>
  <si>
    <t>The treatment of prisoners in the concentration camp was an abomination to human rights.
수용소에서 수감자들을 대우하는 것은 인권에 대한 비난이다.</t>
  </si>
  <si>
    <t>abrasive</t>
  </si>
  <si>
    <t>가소롭다, 가소로운, 가소롭게</t>
  </si>
  <si>
    <t>Her abrasive personality made it difficult for her to make friends.
그녀의 가소로운 성격으로 인해 친구를 사귈 게 어려웠다.</t>
  </si>
  <si>
    <t>abreast</t>
  </si>
  <si>
    <t>함께, 동시에, 선상</t>
  </si>
  <si>
    <t>The two ships sailed abreast of each other.
두 척의 선박은 서로 함께 항해했다.</t>
  </si>
  <si>
    <t>absolute</t>
  </si>
  <si>
    <t>완전한, 보장, 절대적</t>
  </si>
  <si>
    <t>The new policy has an absolute ban on smoking in all public places.
새 정책은 모든 공공 장소에서 흡연을 완전히 금지합니다.</t>
  </si>
  <si>
    <t>absorb</t>
  </si>
  <si>
    <t>흡수하다, 흡수, 물리적흡수</t>
  </si>
  <si>
    <t>The sponge will absorb the water in a few seconds.
spons가 물을 몇 초 안에 흡수한다.</t>
  </si>
  <si>
    <t>abstention</t>
  </si>
  <si>
    <t>abstain, 거부, 피하기</t>
  </si>
  <si>
    <t>The voter's abstention from the election was seen as a protest against the government.
투표에서 abstain한 표는 정부에 대한 항의로 여겨졌다.</t>
  </si>
  <si>
    <t>accept</t>
  </si>
  <si>
    <t>수락, 승인, 받아들이다, 받아들이다, 인정하다</t>
  </si>
  <si>
    <t>She finally accepted his apology and they were able to move forward.
그녀는 결국 그의 사과를 받아들이고 그들은 앞으로 나아갈 수 있었다.</t>
  </si>
  <si>
    <t>accepts</t>
  </si>
  <si>
    <t>수용하다, 승인하다, 받다</t>
  </si>
  <si>
    <t>She accepts the invitation to the wedding.
그녀는 결혼식 초대장을 받았다.</t>
  </si>
  <si>
    <t>acclaimed</t>
  </si>
  <si>
    <t>명예의 자리, 명성, 찬사 / 명예의 자리를 차지하다, 찬양하다, 높이 평가하다 / 유명한, 명성 높은</t>
  </si>
  <si>
    <t>The film received widespread critical acclaim and won several awards.
이 영화는 널리 찬사를 받았고 여러 상을 수상했다.</t>
  </si>
  <si>
    <t>accompanied</t>
  </si>
  <si>
    <t>동행, 동반, 동반되다</t>
  </si>
  <si>
    <t>She was accompanied by her parents to the party.
그녀는 부모님과 함께 파티에 갔다.</t>
  </si>
  <si>
    <t>accorded</t>
  </si>
  <si>
    <t>권한, 승인, 존경</t>
  </si>
  <si>
    <t>She was accorded a warm welcome by the local community.
그녀는 지역 사회로부터 따뜻한 환영을 받았다.</t>
  </si>
  <si>
    <t>accredited</t>
  </si>
  <si>
    <t>인증받은, 승인받은, 전문가</t>
  </si>
  <si>
    <t>The university is accredited by the national education board.
대학은 국가 교육청으로부터 인증을 받았다.</t>
  </si>
  <si>
    <t>accretend</t>
  </si>
  <si>
    <t>없음, accretion, accumulation</t>
  </si>
  <si>
    <t>The company's profits have accreted significantly over the past year.
지난 1년 동안 회사의 이익은 크게 쌓였다.</t>
  </si>
  <si>
    <t>accrue</t>
  </si>
  <si>
    <t>이자, 누적, 증가</t>
  </si>
  <si>
    <t>The company's profits will accrue to the shareholders.
회사 수익은 주주에게 돌아갈 것이다.</t>
  </si>
  <si>
    <t>accumulate</t>
  </si>
  <si>
    <t>자산, 축적, 쌓이다, 축적되다</t>
  </si>
  <si>
    <t>The company's profits will accumulate over the next few years.
회사 수익은 다음 몇 년 동안 쌓여갈 것입니다.</t>
  </si>
  <si>
    <t>accurate</t>
  </si>
  <si>
    <t>정확한, 정확히 하다, 정확도</t>
  </si>
  <si>
    <t>The new GPS system provides accurate directions to the destination.
새로운 GPS 시스템은 정확한 지도를 제공합니다.</t>
  </si>
  <si>
    <t>accusing</t>
  </si>
  <si>
    <t>고발하다, 비난하다, 의혹을 제기하다</t>
  </si>
  <si>
    <t>The police officer was accused of mishandling the evidence, but he was not accusing anyone of the crime.
경찰관은 증거를 잘못 처리한 혐의를 받았지만 범죄를 저지른 사람을 고발하지 않았다.</t>
  </si>
  <si>
    <t>achieved</t>
  </si>
  <si>
    <t>성공, 달성, 실현</t>
  </si>
  <si>
    <t>She has achieved great success in her career.
그녀는 그녀의 경력에서 큰 성공을 달성했습니다.</t>
  </si>
  <si>
    <t>acquired</t>
  </si>
  <si>
    <t>습득한, 획득한, 보유한</t>
  </si>
  <si>
    <t>She acquired a new skill through online courses.
그녀는 온라인 강의를 통해 새로운 기술을 습득했다.</t>
  </si>
  <si>
    <t>acquiring</t>
  </si>
  <si>
    <t>획득, 보유, 소유</t>
  </si>
  <si>
    <t>The company is constantly acquiring new technologies to stay competitive in the market.
회사에서는 시장에서 경쟁력을 유지하기 위해 항상 새로운 기술을 획득하고 있습니다.</t>
  </si>
  <si>
    <t>acrimonious</t>
  </si>
  <si>
    <t>비난의, 비난하는, 악의적인</t>
  </si>
  <si>
    <t>The debate between the two politicians ended in an acrimonious exchange of insults.
두 정치인 사이의 토론은 비난의 말싸움으로 끝났다.</t>
  </si>
  <si>
    <t>activated</t>
  </si>
  <si>
    <t>활성화된, 활성화, 활성</t>
  </si>
  <si>
    <t>The new software was activated on the server.
서버에 새로운 소프트웨어가 활성화되었습니다.</t>
  </si>
  <si>
    <t>activity</t>
  </si>
  <si>
    <t>활동, 행동, 기능</t>
  </si>
  <si>
    <t>The company's main activity is manufacturing electronic devices.
이 회사의 주요 활동은 전자 장치 제조입니다.</t>
  </si>
  <si>
    <t>acute</t>
  </si>
  <si>
    <t>각성, 급성, 날카로움</t>
  </si>
  <si>
    <t>The patient's symptoms worsened due to an acute case of food poisoning.
환자의 증상은 급성 식중독으로 악화되었다.</t>
  </si>
  <si>
    <t>adamant</t>
  </si>
  <si>
    <t>불굴의, 강경한, 확고한</t>
  </si>
  <si>
    <t>She remained adamant that she would not back down from the negotiation.
그녀는 협상에서 물러설 수 없다고 확실히 말했다.</t>
  </si>
  <si>
    <t>additional</t>
  </si>
  <si>
    <t>추가, 보충, 부가</t>
  </si>
  <si>
    <t>The company will provide additional training for all employees.
회사에서는 모든 직원에게 추가 교육을 제공할 것입니다.</t>
  </si>
  <si>
    <t>addressed</t>
  </si>
  <si>
    <t>주소, 다루다, 다루어진, 다루어진다</t>
  </si>
  <si>
    <t>The letter was addressed to her.
그 편지는 그녀에게 보내졌다.</t>
  </si>
  <si>
    <t>adequate</t>
  </si>
  <si>
    <t>적절, 충분, 적합</t>
  </si>
  <si>
    <t>The hotel's facilities were adequate for our needs.
호텔의 시설은 우리의 필요에 적절했다.</t>
  </si>
  <si>
    <t>adjust</t>
  </si>
  <si>
    <t>조절, 적응, 조정, 조율</t>
  </si>
  <si>
    <t>She needs to adjust her schedule to accommodate the meeting.
회의를 맞추기 위해 그녀의 일정을 조절해야 한다.</t>
  </si>
  <si>
    <t>adjustable</t>
  </si>
  <si>
    <t>조절할 수 있는, 조절할 수 있는 장치, 조절 가능</t>
  </si>
  <si>
    <t>The backpack has an adjustable shoulder strap to fit different body sizes.
백팩에는 다양한 체형에 맞는 어깨 스트랩이 조절할 수 있다.</t>
  </si>
  <si>
    <t>adjusting</t>
  </si>
  <si>
    <t>조정, 조절, 적응</t>
  </si>
  <si>
    <t>The company is currently adjusting its production schedule to meet the increased demand.
회사에서는 수요가 증가한 것을 맞춰서 생산 일정을 조정하고 있습니다.</t>
  </si>
  <si>
    <t>administers</t>
  </si>
  <si>
    <t>행정, 관리하다, 관리자</t>
  </si>
  <si>
    <t>The hospital administrator oversees the entire medical staff.
병원 관리자는 전반적인 의료진을 감독한다.</t>
  </si>
  <si>
    <t>admissible</t>
  </si>
  <si>
    <t>허용할 수 있는, 증명할 수 있는, 입증할 수 있는</t>
  </si>
  <si>
    <t>The new evidence was deemed admissible in the trial.
새로운 증거는 재판에서 허용되었다.</t>
  </si>
  <si>
    <t>admits</t>
  </si>
  <si>
    <t>입장, 인정하다, 허용하다</t>
  </si>
  <si>
    <t>The company admits that their product has some quality issues.
회사에서는 제품이 품질 문제가 있다는 것을 인정했다.</t>
  </si>
  <si>
    <t>admonish</t>
  </si>
  <si>
    <t>경고하다, 비난하다, 경고</t>
  </si>
  <si>
    <t>The teacher tried to admonish the student for his misbehavior, but he refused to listen.
선생님은 학생의 행동을 비난하려 했지만 학생은 듣지 않았다.</t>
  </si>
  <si>
    <t>adorned</t>
  </si>
  <si>
    <t>장식된, 장식하다, 아름답다</t>
  </si>
  <si>
    <t>The temple was adorned with intricate carvings and colorful murals.
성당은 세밀한 조각과 아름다운 벽화로 장식되어 있었다.</t>
  </si>
  <si>
    <t>advance</t>
  </si>
  <si>
    <t>진행, 앞서, 진전</t>
  </si>
  <si>
    <t>The company will advance the payment to the supplier next week.
회사에서는 다음 주에 공급자에게 지불을 앞서 하기로 결정했다.</t>
  </si>
  <si>
    <t>adverse</t>
  </si>
  <si>
    <t>부정적, 반대, 불리한</t>
  </si>
  <si>
    <t>The company's financial situation became adverse after the economic downturn.
경제적 위기 이후 회사의 재정 상황이 악화되었습니다.</t>
  </si>
  <si>
    <t>adversity</t>
  </si>
  <si>
    <t>난관, 어려움, 불운</t>
  </si>
  <si>
    <t>She drew strength from her past experiences of adversity.
그녀는 과거의 어려움에서 힘을 얻었다.</t>
  </si>
  <si>
    <t>advised</t>
  </si>
  <si>
    <t>권고, 권장, 조언</t>
  </si>
  <si>
    <t>The doctor advised her to take more rest.
의사는 그녀에게 더 많은 휴식을 취해야 한다고 권고했다.</t>
  </si>
  <si>
    <t>affable</t>
  </si>
  <si>
    <t>친절한, 유머러스한, 친근한</t>
  </si>
  <si>
    <t>The professor was an affable man who made everyone feel at ease in his lectures.
교수는 학생들을 편안하게 느끼게 하는 친절한 사람이었다.</t>
  </si>
  <si>
    <t>affection</t>
  </si>
  <si>
    <t>사랑, 애정, 친절</t>
  </si>
  <si>
    <t>Her affection for her children was evident in the way she cared for them.
그녀는 아이들을 돌보는 모습에서 애정이 느껴졌다.</t>
  </si>
  <si>
    <t>affiliated</t>
  </si>
  <si>
    <t>관련된, 관련, 협력</t>
  </si>
  <si>
    <t>The company is affiliated with several major universities for research collaborations.
회사은 여러 대학교와 연구 협력에 관련되어 있습니다.</t>
  </si>
  <si>
    <t>affixed</t>
  </si>
  <si>
    <t>붙여진, 부착된, 고정된</t>
  </si>
  <si>
    <t>The company's logo was affixed to the side of the building.
회사 로고가 건물 옆에 붙어 있었다.</t>
  </si>
  <si>
    <t>afflicted</t>
  </si>
  <si>
    <t>병든, 고통받다, 고통스러운</t>
  </si>
  <si>
    <t>The city was afflicted by a severe drought that lasted for several years.
도시가 수년간 지속된 심각한 기상 악화로 고통받았다.</t>
  </si>
  <si>
    <t>affliction</t>
  </si>
  <si>
    <t>난관, 고통, 질병</t>
  </si>
  <si>
    <t>The city's poverty and lack of access to healthcare have become a major affliction for its residents.
도시의 빈곤과 의료 접근의 부족이 주민들에게 큰 고통이 되었다.</t>
  </si>
  <si>
    <t>affluent</t>
  </si>
  <si>
    <t>부유한, 부호, 재정적으론 풍부하다</t>
  </si>
  <si>
    <t>The affluent neighborhood was filled with expensive cars and luxurious mansions.
부유한 동네는 고가의 자동차와 럭셔리한 대지에 가득했다.</t>
  </si>
  <si>
    <t>afford</t>
  </si>
  <si>
    <t>가격할 수 있다, 부담할 수 있지 않다, 경제적으로 지원할 수 있다</t>
  </si>
  <si>
    <t>She couldn't afford to buy a new car.
그녀는 새로운 차를 살 수 없었다.</t>
  </si>
  <si>
    <t>affront</t>
  </si>
  <si>
    <t>공격, 모욕, 도전</t>
  </si>
  <si>
    <t>Her careless comment was an affront to the grieving family.
그의 무심한 말은 슬픔에 빠진 가족에게 큰 모욕이었다.</t>
  </si>
  <si>
    <t>aggregate</t>
  </si>
  <si>
    <t>합성, 집합, 총괄</t>
  </si>
  <si>
    <t>The company's financial reports showed a significant aggregate loss for the quarter.
회사 재무 보고서에 따르면 그 분기 동안 합계 적자가 크게 나타났다.</t>
  </si>
  <si>
    <t>agrees</t>
  </si>
  <si>
    <t>동의, 동의하다, 합의, 협의</t>
  </si>
  <si>
    <t>She agrees with her sister on the plan.
그녀는 сест러와 계획에 동의한다.</t>
  </si>
  <si>
    <t>alarming</t>
  </si>
  <si>
    <t>경고성, 위협적, 두려운</t>
  </si>
  <si>
    <t>The rising crime rate is an alarming trend that needs to be addressed.
범죄율이 급증하는 경향은 경고성이 있어 해결해야 한다.</t>
  </si>
  <si>
    <t>alienate</t>
  </si>
  <si>
    <t>이상화하다, 이방인, 이방인화</t>
  </si>
  <si>
    <t>The company's decision to relocate its headquarters to a different city may alienate its loyal customers.
회사 본사를 다른 도시로 이전하는 결정은 회사에 충성하는 고객들을 떠나게 할 것이다.</t>
  </si>
  <si>
    <t>alienated</t>
  </si>
  <si>
    <t>외면당한, 외면시키다, 외면적인</t>
  </si>
  <si>
    <t>She felt alienated from her family after the argument.
그녀는 논쟁 후 가족과 외면당한 기분이 들었다.</t>
  </si>
  <si>
    <t>alleviate</t>
  </si>
  <si>
    <t>위로하다, 경감시키다, 완화시키다</t>
  </si>
  <si>
    <t>The new policy aims to alleviate the financial burden on low-income families.
새 정책은 저소득층 가족의 경제적 부담을 완화시키기 위해 있다.</t>
  </si>
  <si>
    <t>alleviated</t>
  </si>
  <si>
    <t>부담이 줄어들다, 경감, 완화</t>
  </si>
  <si>
    <t>The new policy alleviated the financial burden on low-income families.
새 정책은 저소득층 가족의 경제적 부담을 완화했다.</t>
  </si>
  <si>
    <t>allies</t>
  </si>
  <si>
    <t>동맹, 동맹국, 동료</t>
  </si>
  <si>
    <t>The two countries have been allies since the end of the war.
전쟁이 끝난 후 두 국가가 동맹국이 되었다.</t>
  </si>
  <si>
    <t>alterations</t>
  </si>
  <si>
    <t>변경, 개정, 수정</t>
  </si>
  <si>
    <t>The store offered free alterations on all purchases made during the holiday sale.
점주는 휴일 세일 기간 동안 모든 구매에 대한 무료 수선 서비스를 제공했다.</t>
  </si>
  <si>
    <t>alternative</t>
  </si>
  <si>
    <t>대안, 선택, 대체</t>
  </si>
  <si>
    <t>She considered various alternative routes to avoid the traffic jam.
그녀는 교통 정체를 피하기 위해 여러 대안을 고려했다.</t>
  </si>
  <si>
    <t>altitude</t>
  </si>
  <si>
    <t>고도, 고상, 고위</t>
  </si>
  <si>
    <t>The plane flew at an altitude of 30,000 feet.
비행기 는 9,144 미터의 고도 에 비행했다.</t>
  </si>
  <si>
    <t>ambiance</t>
  </si>
  <si>
    <t>어메이닝스, 분위기, 분위기적인</t>
  </si>
  <si>
    <t>The restaurant's ambiance was perfect for a romantic dinner.
레스토랑의 분위기는 로맨틱한 저녁 식사에 완벽했다.</t>
  </si>
  <si>
    <t>ambient</t>
  </si>
  <si>
    <t>소음, 환경, 배경음</t>
  </si>
  <si>
    <t>The ambient noise of the city was almost deafening.
도시의 배경음은 거의 귀를 찢을 정도였다.</t>
  </si>
  <si>
    <t>ambiguities</t>
  </si>
  <si>
    <t>의문점, 모호성, 불명확성</t>
  </si>
  <si>
    <t>The new policy has created several ambiguities in the existing law.
새로운 정책은 기존의 법률에 여러 의문점을 만들었다.</t>
  </si>
  <si>
    <t>ambiguity</t>
  </si>
  <si>
    <t>의도적 모호성, 모호함, 불명확성</t>
  </si>
  <si>
    <t>The lawyer argued that the contract's ambiguity made it impossible to determine the client's liability.
변호사는 계약의 모호함이 고객의 책임을 판단할 수 없게 한다고 주장했다.</t>
  </si>
  <si>
    <t>amity</t>
  </si>
  <si>
    <t>친선, 우정, 화합</t>
  </si>
  <si>
    <t>The two countries have a long history of amity and cooperation.
두 국가 사이에는 오랜 친선과 협력의 역사가 있다.</t>
  </si>
  <si>
    <t>anecdote</t>
  </si>
  <si>
    <t>이야기, 일화, 경험담, 이야기하다</t>
  </si>
  <si>
    <t>The professor shared an anecdote about his first day of teaching.
교수는 그의 첫 수업일 이야기를 나누었다.</t>
  </si>
  <si>
    <t>anesthetic</t>
  </si>
  <si>
    <t>마취제, 마취시키다, 마취 효과</t>
  </si>
  <si>
    <t>The dentist administered an anesthetic to the patient before the surgery.
치과 의사는 수술 전에 환자에게 마취제를 투여했다.</t>
  </si>
  <si>
    <t>annul</t>
  </si>
  <si>
    <t>취소, 무효, 해제</t>
  </si>
  <si>
    <t>The judge decided to annul the marriage due to the husband's bigamy.
법원은 남편의 이혼이 아닌 다른 결혼을 한 것을 이유로 이혼을 취소했다.</t>
  </si>
  <si>
    <t>antagonize</t>
  </si>
  <si>
    <t>상대방과 충돌시키다, 반대되게 만들다, 적대시하다</t>
  </si>
  <si>
    <t>Her presence was enough to antagonize the entire audience.
그녀의 존재가 전체 관객을 적대시하게 만들었다.</t>
  </si>
  <si>
    <t>antagonized</t>
  </si>
  <si>
    <t>반대되다, 반발, 적대감</t>
  </si>
  <si>
    <t>The crowd was antagonized by the team's decision to cancel the concert.
관중들은 콘서트를 취소한 팀의 결정에 반대되다.</t>
  </si>
  <si>
    <t>antecedents</t>
  </si>
  <si>
    <t>사전적 전제, 유래, 기원</t>
  </si>
  <si>
    <t>The company's antecedents in the industry date back to the 19th century.
이 회사의 산업에서 전통은 19세기까지 거슬러 올라간다.</t>
  </si>
  <si>
    <t>antidote</t>
  </si>
  <si>
    <t>구제물, 역효과를 막는 약, 역효과를 막는 방법</t>
  </si>
  <si>
    <t>The new medicine proved to be an antidote for the deadly virus.
새로운 약이 치명적인 바이러스의 역효과를 막는 약물로 밝혀졌다.</t>
  </si>
  <si>
    <t>apathy</t>
  </si>
  <si>
    <t>무관심, 무감정, 무관심함</t>
  </si>
  <si>
    <t>Her apathy towards the social cause was evident in her lack of participation in the protests.
그녀는 사회 운동에 대한 무관심이 그녀의 시위에 참여하지 않는 것에서 드러났다.</t>
  </si>
  <si>
    <t>aphorism</t>
  </si>
  <si>
    <t>속담, 격언, 명언</t>
  </si>
  <si>
    <t>The philosopher's aphorism has been widely debated among scholars.
철학자의 격언은 학자들 사이에서 널리 논의되었다.</t>
  </si>
  <si>
    <t>appear</t>
  </si>
  <si>
    <t>표현, 나타나다, 보이기</t>
  </si>
  <si>
    <t>The stars will appear in the night sky.
밤하늘에 별이 나타납니다.</t>
  </si>
  <si>
    <t>appearance</t>
  </si>
  <si>
    <t>외모, 모습, 출현</t>
  </si>
  <si>
    <t>Her appearance at the party was a surprise to everyone.
그녀의 파티에 나타난 모습이 모든 사람에게 놀랄만했다.</t>
  </si>
  <si>
    <t>appearing</t>
  </si>
  <si>
    <t>표현되는 것, 나타나는 것, 출현하는 것</t>
  </si>
  <si>
    <t>The new employee was appearing nervous during the interview.
신입 직원은 면접 중에 긴장한 모습을 나타냈다.</t>
  </si>
  <si>
    <t>appeased</t>
  </si>
  <si>
    <t>만족시킨, 화해시킨, 진정시킨</t>
  </si>
  <si>
    <t>The crowd's anger was appeased by the mayor's apology.
시민들의 분노는 시장의 사과로 진정되었다.</t>
  </si>
  <si>
    <t>appetizing</t>
  </si>
  <si>
    <t>식욕을 자극하는 것, 맛있는 것, 유혹적인 것</t>
  </si>
  <si>
    <t>The aroma of freshly baked cookies wafted through the air, making the appetizing treats even more irresistible.
새로 구운 쿠키의 향기가 공기를 통해 퍼져나가면서 식욕을 자극하는 그 맛있는 음식이 더욱 유혹적이었다.</t>
  </si>
  <si>
    <t>applied</t>
  </si>
  <si>
    <t>응용된, 실용적인, 적용된</t>
  </si>
  <si>
    <t>The new technology has been applied to various fields, including medicine and transportation.
새로운 기술은 의료와 교통 등 다양한 분야에 응용되었다.</t>
  </si>
  <si>
    <t>appraised</t>
  </si>
  <si>
    <t>가치평가한, 평가받은, 평가된</t>
  </si>
  <si>
    <t>The company's stock price was appraised at $50 per share.
회사 주식 가격은 5만 달러로 평가되었다.</t>
  </si>
  <si>
    <t>appreciable</t>
  </si>
  <si>
    <t>감정할 수 있는, 인식할 수 있는, 가치 있는</t>
  </si>
  <si>
    <t>The company's profits have been appreciable over the past year.
지난 한 해 동안 회사의 이익은 감당할 수 있는 수준이었다.</t>
  </si>
  <si>
    <t>approach</t>
  </si>
  <si>
    <t>접근, 접근법, 가까이 다가가다</t>
  </si>
  <si>
    <t>The company will approach the project with a fresh perspective.
회사은 새로운 시각으로 프로젝트에 접근할 것입니다.</t>
  </si>
  <si>
    <t>approached</t>
  </si>
  <si>
    <t>근접했다 , 접근했다 , 가까이 다가갔다</t>
  </si>
  <si>
    <t>The police approached the suspect cautiously.
경찰은 용의자를 조심스럽게 다가갔다.</t>
  </si>
  <si>
    <t>appropriations</t>
  </si>
  <si>
    <t>예산편성, 기부금, 사용허가</t>
  </si>
  <si>
    <t>The government allocated $1 billion in appropriations for disaster relief.
정부는 재난구호를 위한 예산편성이 10억 달러로 결정되었다.</t>
  </si>
  <si>
    <t>approved</t>
  </si>
  <si>
    <t>승인된, 허가된, 합격한</t>
  </si>
  <si>
    <t>The new policy has been approved by the board of directors.
신규 정책은 이사회에서 승인되었다.</t>
  </si>
  <si>
    <t>approves</t>
  </si>
  <si>
    <t>승인한다, 동의한다, 좋다</t>
  </si>
  <si>
    <t>The committee approves the new project proposal.
위원회는 새로운 프로젝트 제안서를 승인했다.</t>
  </si>
  <si>
    <t>arranged</t>
  </si>
  <si>
    <t>정리된, 계획된, 준비된</t>
  </si>
  <si>
    <t>The flowers were arranged in a beautiful pattern on the table.
꽃들은 테이블 위에 아름다운 패턴으로 정리되어 있었다.</t>
  </si>
  <si>
    <t>arrested</t>
  </si>
  <si>
    <t>기소된, 체포된, 구금된</t>
  </si>
  <si>
    <t>The police arrested the suspect at the scene of the crime.
경찰은 범죄 현장에서 용의자를 체포했다.</t>
  </si>
  <si>
    <t>ascend</t>
  </si>
  <si>
    <t>상승하다, 오르다, 위로 올라가다</t>
  </si>
  <si>
    <t>The plane began to ascend into the clouds.
비구름 속으로 오르기 시작했다.</t>
  </si>
  <si>
    <t>ascendant</t>
  </si>
  <si>
    <t>상승하는 것, 위상이 높아지는 것, 위세가 있는 사람</t>
  </si>
  <si>
    <t>The ascendant star in the constellation was shining brightly in the night sky.
별자리 안의 상승하는 별은 밤하늘에서 밝게 빛나고 있었다.</t>
  </si>
  <si>
    <t>ascertains</t>
  </si>
  <si>
    <t>확인한다, 확실히 하다, 명확히 하다</t>
  </si>
  <si>
    <t>The investigation ascertains that the company was involved in the scandal.
수사 결과 회사와 관련된 스캔들이 밝혀졌다.</t>
  </si>
  <si>
    <t>ascetic</t>
  </si>
  <si>
    <t>아세틱 , 아세틱한 , 아세틱주의자</t>
  </si>
  <si>
    <t>The monk lived an ascetic life, renouncing all worldly possessions.
선비는 모든 세속적인 물질을 버리고 아세틱한 삶을 살았다.</t>
  </si>
  <si>
    <t>aspects</t>
  </si>
  <si>
    <t>관점, 측면, 특징</t>
  </si>
  <si>
    <t>The company's financial aspects were thoroughly examined by the auditors.
회사의 재정면이 철저히 감사사원에 의해 조사되었다.</t>
  </si>
  <si>
    <t>aspire</t>
  </si>
  <si>
    <t>꿈꾸다, 높이む, 높은 이상을 추구하다</t>
  </si>
  <si>
    <t>She aspired to become a renowned artist.
그녀는 유명한 예술가가 되기를 꿈꾸었다.</t>
  </si>
  <si>
    <t>aspired</t>
  </si>
  <si>
    <t>꿈꾸다, 도전을 하다, 높은 목표를 가지고 있다</t>
  </si>
  <si>
    <t>She had always aspired to be a successful businesswoman.
그녀는 항상 성공적인 사업가가 되기를 꿈꾸었다.</t>
  </si>
  <si>
    <t>assaulted</t>
  </si>
  <si>
    <t>공격 당한 것, 폭행 당한 것, 공격을 받은 것</t>
  </si>
  <si>
    <t>The victim was assaulted by a group of teenagers.
피해자는 청소년들에 의해 폭행 당했습니다.</t>
  </si>
  <si>
    <t>assemble</t>
  </si>
  <si>
    <t>구성하다, 모으다, 조립하다</t>
  </si>
  <si>
    <t>The team will assemble the new furniture in the living room.
팀은 거실에서 새로운 가구를 조립할 것입니다.</t>
  </si>
  <si>
    <t>assiduous</t>
  </si>
  <si>
    <t>고집스럽다, 열심히 하다, 정성스럽다</t>
  </si>
  <si>
    <t>She was an assiduous student who always studied hard and achieved excellent grades.
그녀는 항상 열심히 공부하여 우수한 성적을 얻는 열정적인 학생이었다.</t>
  </si>
  <si>
    <t>assistance</t>
  </si>
  <si>
    <t>도움, 보조, 지원</t>
  </si>
  <si>
    <t>The company provided assistance to the victims of the natural disaster.
회사에서는 자연재해의 피해자에게 도움을 제공했다.</t>
  </si>
  <si>
    <t>assuage</t>
  </si>
  <si>
    <t>감소하다, 위안을 주다, 위안을 주는 것</t>
  </si>
  <si>
    <t>The doctor's words were meant to assuage the patient's fears, but they only seemed to make her more anxious.
의사는 환자의 두려움을 달래기 위해 말을 했지만, 그 말들은 그녀를 더 두려워하게만 했다.</t>
  </si>
  <si>
    <t>assured</t>
  </si>
  <si>
    <t>확신의 상태, 확신, 확실한, 확신의</t>
  </si>
  <si>
    <t>She was assured that the job would be hers if she accepted the offer.
그녀는 자신이 그 직업을 받을 것이라는 것을 확신했다.</t>
  </si>
  <si>
    <t>atoned</t>
  </si>
  <si>
    <t>구제된, 용서받은, 사과한</t>
  </si>
  <si>
    <t>She felt a sense of relief after atoning for her past mistakes.
그녀는 과거의 실수를 용서받은 후에 안도감을 느꼈다.</t>
  </si>
  <si>
    <t>attainability</t>
  </si>
  <si>
    <t>도달 가능성, 달성 가능성, 실현 가능성</t>
  </si>
  <si>
    <t>The project's attainability was questioned due to the lack of resources.
프로젝트의 도달 가능성이 자원 부족으로 의심받았다.</t>
  </si>
  <si>
    <t>attentive</t>
  </si>
  <si>
    <t>주의력 있는, 주의 깊은, 주의를 기울이는, 주의 깊은, 주의를 기울이는, 주의를 기울이는</t>
  </si>
  <si>
    <t>She was an attentive listener, and her thoughtful questions helped the speaker feel more at ease.
그녀는 주의 깊은 청취자였고, 그녀가 던진 생각 깊은 질문으로 말하는 사람의 마음을 편안하게 해주었다.</t>
  </si>
  <si>
    <t>audit</t>
  </si>
  <si>
    <t>감사, 감사보고서, 감사회</t>
  </si>
  <si>
    <t>The company will undergo a thorough audit to ensure compliance with all regulations.
회사에서는 모든 규정을 준수하기 위해 철저한 감사 절차를 거치게 됩니다.</t>
  </si>
  <si>
    <t>austere</t>
  </si>
  <si>
    <t>절제된, 단순한, 엄격한</t>
  </si>
  <si>
    <t>The monastery's austere surroundings were a perfect setting for meditation.
기숙사 앞의 절제된 환경은 완벽한 명상 장소였다.</t>
  </si>
  <si>
    <t>austerity</t>
  </si>
  <si>
    <t>절약성, 절제, 절약</t>
  </si>
  <si>
    <t>The government's decision to cut public spending was met with widespread criticism due to the austerity measures.
정부가 공공 예산을 줄이기로 결정한 것은 절약 정책에 대한 광범위한 비판에 직면했다.</t>
  </si>
  <si>
    <t>authorizing</t>
  </si>
  <si>
    <t>권한 부여, 승인, 허가</t>
  </si>
  <si>
    <t>The company's CEO was authorizing the new project, despite concerns from several board members.
사장님은 여러 이사들의 우려에도 불구하고 새로운 프로젝트를 승인했습니다.</t>
  </si>
  <si>
    <t>autopsy</t>
  </si>
  <si>
    <t>시체검사, 사후검사, 내과적 시체검사</t>
  </si>
  <si>
    <t>The coroner ordered an autopsy to determine the cause of death.
검사관은 사망의 원인을 확인하기 위해 시체검사를 명령했다.</t>
  </si>
  <si>
    <t>available</t>
  </si>
  <si>
    <t>1. 사용 가능한 , 2. 준비된 , 3. 이용할 수 있는</t>
  </si>
  <si>
    <t>The new policy will be available online starting next month.
새 정책은 다음 달부터 온라인으로 이용할 수 있습니다.</t>
  </si>
  <si>
    <t>averse</t>
  </si>
  <si>
    <t>부정적, 반대하는, 거부하는</t>
  </si>
  <si>
    <t>She was averse to taking risks in her business.
그녀는 사업에서 위험을 감수하는 것을 싫어했다.</t>
  </si>
  <si>
    <t>avert</t>
  </si>
  <si>
    <t>예방하다, 피하다, 방지하다</t>
  </si>
  <si>
    <t>She tried to avert her eyes from the gruesome scene.
그녀는 끔찍한 장면을 피하기 위해 시선을 돌렸다.</t>
  </si>
  <si>
    <t>avid</t>
  </si>
  <si>
    <t>관심있는, 열정적인, 열심히 하는</t>
  </si>
  <si>
    <t>She's an avid reader and has read over a hundred books this year.
그녀는 책을 매우 좋아하여 올해 100권 이상을 읽었습니다.</t>
  </si>
  <si>
    <t>awed</t>
  </si>
  <si>
    <t>무어, 경외, 경탄</t>
  </si>
  <si>
    <t>The tourists were awed by the grandeur of the ancient temple.
관광객들은 옛 성당의 웅장함에 경외했다.</t>
  </si>
  <si>
    <t>awkward</t>
  </si>
  <si>
    <t>부조리, 어색, 불편</t>
  </si>
  <si>
    <t>She felt awkward when her date asked her to dance in front of everyone.
그녀는 모든 사람들이 보는 앞에서 그 남자친구가 그녀에게 춤을 춰달라고 하면 부조리하게 느꼈다.</t>
  </si>
  <si>
    <t>axiom</t>
  </si>
  <si>
    <t>기본정리, 공리, 기본원리</t>
  </si>
  <si>
    <t>The theory that all matter is composed of atoms is an axiom of modern physics.
현대물리학의 기본원리 중 하나인 모든 물질은 원자로 구성된다는 이론이다.</t>
  </si>
  <si>
    <t>back to square one</t>
  </si>
  <si>
    <t>1. 원점으로 돌아가다 , 2. 처음으로 돌아가다 , 3. 처음으로 돌아간다</t>
  </si>
  <si>
    <t>After months of planning, the project was back to square one due to a lack of funding.
개월간의 계획 끝에, 프로젝트는 자금 부족으로 원점으로 돌아갔다.</t>
  </si>
  <si>
    <t>balance</t>
  </si>
  <si>
    <t>정형 , 균형 , 균일 , 균형을 유지하다 , 균형을 맞추다</t>
  </si>
  <si>
    <t>She struggled to balance her work and family responsibilities.
그녀는 직업과 가족의 책임을 균형을 맞추기 위해 애썼다.</t>
  </si>
  <si>
    <t>balked</t>
  </si>
  <si>
    <t>장애물, 반대, 거부</t>
  </si>
  <si>
    <t>The team's plans to expand were balked by the city's refusal to grant them a permit.
팀의 확장 계획은 시의 허가 부여 거부로 막혔다.</t>
  </si>
  <si>
    <t>banned</t>
  </si>
  <si>
    <t>금지된, 금지, 금지된 것</t>
  </si>
  <si>
    <t>The movie was banned in several countries due to its explicit content.
영화는 많은 국가에서 성적인 내용으로 인해 금지되었다.</t>
  </si>
  <si>
    <t>banter</t>
  </si>
  <si>
    <t>말싸움, 유머, 농담</t>
  </si>
  <si>
    <t>The two friends engaged in playful banter as they waited for their food to arrive.
친구들은 음식을 기다리며 유쾌한 농담을 나누었다.</t>
  </si>
  <si>
    <t>barbarous</t>
  </si>
  <si>
    <t>무도한, 야만적, 무자비한</t>
  </si>
  <si>
    <t>The barbarous treatment of the prisoners was widely condemned.
포로들의 무도한 대우는 널리 비난을 받았다.</t>
  </si>
  <si>
    <t>bark up the wrong tree</t>
  </si>
  <si>
    <t>잘못된 나무를 물리치다, 잘못된 방향으로 노려보다, 잘못된 정보를 얻다</t>
  </si>
  <si>
    <t>The detective had been barking up the wrong tree by suspecting the wrong person.
수사관은 잘못된 사람을 의심하고 있었는데.</t>
  </si>
  <si>
    <t>beaten</t>
  </si>
  <si>
    <t>피함, 패배한, 무릎꿇은</t>
  </si>
  <si>
    <t>The boxer was beaten in the first round.
복서가 첫 라운드에서 패했다.</t>
  </si>
  <si>
    <t>beating around the bush</t>
  </si>
  <si>
    <t>회피, 회피하는 것, 회피하는 말, 회피하는 행동, 회피하는 방식,</t>
  </si>
  <si>
    <t>He was beating around the bush when I asked him directly about his plans.
그는 직접 계획에 대해 물었을 때 회피하는 말만 했다.</t>
  </si>
  <si>
    <t>beckoning</t>
  </si>
  <si>
    <t>부르는 것, 부르는 듯한 것, 부르는 듯한 표정</t>
  </si>
  <si>
    <t>The old mansion stood beckoning at the end of the deserted street.
이미 오래된 저택은 황무지의 끝에서 부르는 듯한 모습을 하고 있었다.</t>
  </si>
  <si>
    <t>bedrock</t>
  </si>
  <si>
    <t>바닥, 기초, 토대</t>
  </si>
  <si>
    <t>The company's financial stability is its bedrock.
회사의 안정은 그들의 바닥이다.</t>
  </si>
  <si>
    <t>beguiling</t>
  </si>
  <si>
    <t>유혹적인, 매혹적인, 유쾌한</t>
  </si>
  <si>
    <t>Her beguiling smile could disarm even the most skeptical of strangers.
그녀의 유혹적인 미소로 심각한 사람조차도 무방비하게 만들었다.</t>
  </si>
  <si>
    <t>belching</t>
  </si>
  <si>
    <t>거품 내기, 구역질, 구역질 내기</t>
  </si>
  <si>
    <t>The belching of the old man was so loud that it startled everyone in the restaurant.
그の 구역질은 너무나도 크게 나서 식당에 있는 모든 사람들이 놀랐습니다.</t>
  </si>
  <si>
    <t>beleaguer</t>
  </si>
  <si>
    <t>위협하다, 공격받다, 고립되다</t>
  </si>
  <si>
    <t>The city has been beleaguered by a severe drought for months.
도시가 몇 달 동안 심각한사태로 고립되었습니다.</t>
  </si>
  <si>
    <t>belong</t>
  </si>
  <si>
    <t>소속되다, 속한 곳, 소속</t>
  </si>
  <si>
    <t>The book belongs to my sister.
그 책은 내 누나의 책입니다.</t>
  </si>
  <si>
    <t>besmirch</t>
  </si>
  <si>
    <t>1.  - 명예를 훼손하다, 비난하다, 비방하다, 
2.  - 더럽게 만들다, 훼손하다</t>
  </si>
  <si>
    <t>Her reputation was besmirched by the scandal.
그녀의 명예는 스캔들로 훼손되었다.</t>
  </si>
  <si>
    <t>bigotry</t>
  </si>
  <si>
    <t>차별주의, 편견, 혐오</t>
  </si>
  <si>
    <t>The politician's remarks were widely criticized for promoting bigotry and intolerance.
정치인들의 발언은 차별주의와 혐오를 조장하는 것으로 널리 비판받았다.</t>
  </si>
  <si>
    <t>bitter</t>
  </si>
  <si>
    <t>냄새, 쓴맛, 아픔, 쓴</t>
  </si>
  <si>
    <t>The medicine had a bitter taste.
의약품은 쓴맛이 나요.</t>
  </si>
  <si>
    <t>blaming</t>
  </si>
  <si>
    <t>부인, 비난, 책임지다</t>
  </si>
  <si>
    <t>The manager was blaming the employee for the mistake.
매니저는 사고를 이유로 직원을 비난했다.</t>
  </si>
  <si>
    <t>blessing</t>
  </si>
  <si>
    <t>기쁨, 축복, 선물</t>
  </si>
  <si>
    <t>The couple's love was a blessing to their community.
그들의 사랑은 그들의 사회에 축복이 되었다.</t>
  </si>
  <si>
    <t>blowouts</t>
  </si>
  <si>
    <t>파티 , 폭발 , 터진다</t>
  </si>
  <si>
    <t>The car suffered a blowout on the highway, forcing the driver to pull over.
차가 고속도로에서 터지면서 운전자가 차를 멈추게 되었다.</t>
  </si>
  <si>
    <t>blunder</t>
  </si>
  <si>
    <t>실수, 실수, 실수, 실수</t>
  </si>
  <si>
    <t>She made a blunder in her presentation that cost her the job.
그녀는 발표에서 실수를 저질러서 일자리를 잃었다.</t>
  </si>
  <si>
    <t>booked</t>
  </si>
  <si>
    <t>예약된, 예약, 예약된 시간</t>
  </si>
  <si>
    <t>She booked a flight to Paris for next week.
그녀는 다음 주 파리행 비행기를 예약했다.</t>
  </si>
  <si>
    <t>boorish</t>
  </si>
  <si>
    <t>무례한, 무식한, 무례함</t>
  </si>
  <si>
    <t>He was known for his boorish behavior at social gatherings.
그는 사회적 모임에서 무례한 행동으로 유명했다.</t>
  </si>
  <si>
    <t>boost</t>
  </si>
  <si>
    <t>파워, 증가, 도움</t>
  </si>
  <si>
    <t>The new policy will boost the economy by creating more jobs.
새 정책은 더 많은 일자리를 창출하여 경제를 부양할 것입니다.</t>
  </si>
  <si>
    <t>bound</t>
  </si>
  <si>
    <t>바운드 , 바인드 , 제한된</t>
  </si>
  <si>
    <t>The book was bound in leather.
책은 가죽으로 묶여 있었다.</t>
  </si>
  <si>
    <t>boundlessly</t>
  </si>
  <si>
    <t>무제한적으로, 무한정, 끝없이</t>
  </si>
  <si>
    <t>She explored the city boundlessly, discovering new cafes and hidden gems every day.
그녀는 무제한적으로 도시를 탐험하며 매일 새로운 카페와 숨겨진 보석들을 발견했다.</t>
  </si>
  <si>
    <t>brandishing</t>
  </si>
  <si>
    <t>장검을 휘두르는 것, 무기를 휘두르는 것, 위협적으로 들고 있는 것</t>
  </si>
  <si>
    <t>The police officer was brandishing his gun at the crowd.
경찰관은 군대를 위협하듯 총을 들고 있었다.</t>
  </si>
  <si>
    <t>brawniest</t>
  </si>
  <si>
    <t>가장 근육질의, 가장 힘이 센, 가장 강한</t>
  </si>
  <si>
    <t>The champion was considered the brawniest man in the competition.
선수들은 그 선수를 가장 근육질의 선수로 여겼다.</t>
  </si>
  <si>
    <t>brighter</t>
  </si>
  <si>
    <t>빛나는, 밝아지는, 밝은, 더 밝은</t>
  </si>
  <si>
    <t>The new LED light bulbs will make the room brighter.
LED 조명이 방을 밝게 합니다.</t>
  </si>
  <si>
    <t>brilliant</t>
  </si>
  <si>
    <t>명랑한, 훌륭한, 빛나는</t>
  </si>
  <si>
    <t>The fireworks exploded in a brilliant display of color and light.
불꽃은 색과 빛으로 찬란한 모습을 보여주었다.</t>
  </si>
  <si>
    <t>bring it up</t>
  </si>
  <si>
    <t>1.  - noun,  - verb phrase, 
2.  - noun,  - idiomatic expression</t>
  </si>
  <si>
    <t>Can we bring it up in the meeting tomorrow?
내일 회의에서 그것을 거론해 볼 수 있을까요?</t>
  </si>
  <si>
    <t>broached</t>
  </si>
  <si>
    <t>주제, 문제, 논제 , 제기하다 , 논의된</t>
  </si>
  <si>
    <t>The sensitive topic of her past was broached at the dinner party.
그녀의 과거에 대한 민감한 주제가 저녁 파티에서 논의되었다.</t>
  </si>
  <si>
    <t>budget</t>
  </si>
  <si>
    <t>예산, 지출 계획, 비용</t>
  </si>
  <si>
    <t>The company will have to cut back on its expenses to stay within its budget.
회사에서는 예산을 지키기 위해 지출을 줄여야 한다.</t>
  </si>
  <si>
    <t>buffed</t>
  </si>
  <si>
    <t>부드럽다, 부드러운, 부드럽게</t>
  </si>
  <si>
    <t>The new shoes were buffed to a high shine.
신발은 매우 반짝거리는 상태로 다듬겨졌다.</t>
  </si>
  <si>
    <t>bulging</t>
  </si>
  <si>
    <t>부풀어 오르다 , 부풀어 오른 것 , 부풀어 오른 상태</t>
  </si>
  <si>
    <t>The balloon was bulging with air.
풍선은 공기를 가득 채워 부풀어 오른 상태였다.</t>
  </si>
  <si>
    <t>bulkiest</t>
  </si>
  <si>
    <t>가장 무거운, 가장 크고 무거운, 가장 큰</t>
  </si>
  <si>
    <t>The bulkiest package weighed over 50 pounds.
가장 큰 패키지는 50파운드 이상이었다.</t>
  </si>
  <si>
    <t>burn</t>
  </si>
  <si>
    <t>피, 타, 화재, 연소, 불타는,</t>
  </si>
  <si>
    <t>The fire will burn for hours if we don't put it out.
화재는 우리가 끄지 않으면 몇 시간 동안 계속 타버릴 것이다.</t>
  </si>
  <si>
    <t>calamity</t>
  </si>
  <si>
    <t>재난, 재앙, 재난상태</t>
  </si>
  <si>
    <t>The hurricane brought a calamity to the coastal town.
태풍은 해안 마을에 재난을 가져왔다.</t>
  </si>
  <si>
    <t>calibrating</t>
  </si>
  <si>
    <t>계속 조정하는 것, 조준하는 것, 맞춤하는 것</t>
  </si>
  <si>
    <t>The company is calibrating its marketing strategy to better reach its target audience.
회사에서는 고객층을 더 잘 타겟팅하기 위해 마케팅 전략을 계속 조정하고 있습니다.</t>
  </si>
  <si>
    <t>call</t>
  </si>
  <si>
    <t>고객, 전화, 부르기, 호출, 이름,</t>
  </si>
  <si>
    <t>She made a call to her friend to wish her a happy birthday.
그녀는 친구에게 생일을 축하하기 위해 전화했다.</t>
  </si>
  <si>
    <t>call it out</t>
  </si>
  <si>
    <t>부르다 + 그것을 + 말하다 : 부르다 , 말하다 , 그것을</t>
  </si>
  <si>
    <t>She called out the company's hypocrisy in their advertising campaign.
그녀는 그 회사의 광고 캠페인의 이중성을 부인하지 못했다.</t>
  </si>
  <si>
    <t>callouts</t>
  </si>
  <si>
    <t>리뷰, 주의사항, 호출</t>
  </si>
  <si>
    <t>The new video game features several callouts to classic titles from the 90s.
새로운 비디오 게임에는 90년대 클래식 타이틀에 대한 여러 호출이 포함되어 있습니다.</t>
  </si>
  <si>
    <t>candid</t>
  </si>
  <si>
    <t>직설의, 솔직한, 진솔한</t>
  </si>
  <si>
    <t>The politician's candid response to the scandal surprised everyone.
정치인은 스캔들의 솔직한 대답으로 모든 사람들이 놀랐습니다.</t>
  </si>
  <si>
    <t>cantankerous</t>
  </si>
  <si>
    <t>고집불통, 성질이 급한 사람, 성질이 나쁜 사람</t>
  </si>
  <si>
    <t>The cantankerous old man complained about everything.
고집불통한 그 노인은 모든 것에 대해 불평했다.</t>
  </si>
  <si>
    <t>capped</t>
  </si>
  <si>
    <t>마감된, 정해진, 상한</t>
  </si>
  <si>
    <t>The company's stock price capped at $50 per share.
회사 주식 가격은 5만 달러로 정해졌다.</t>
  </si>
  <si>
    <t>capricious</t>
  </si>
  <si>
    <t>잠재적, 변덕스러운, 무심한</t>
  </si>
  <si>
    <t>Her capricious behavior made it difficult for her friends to plan a surprise party.
그녀의 변덕스러운 행동으로 인해 친구들은 그녀의 생일 파티를 계획하기가 어려웠다.</t>
  </si>
  <si>
    <t>careless</t>
  </si>
  <si>
    <t>무심한, 무책임한, 주의하지 않는</t>
  </si>
  <si>
    <t>She was careless with her belongings and often lost them.
그녀는 물건을 잘 챙기지 않아 자주 잃었다.</t>
  </si>
  <si>
    <t>carry over</t>
  </si>
  <si>
    <t>기존의 것, 이전의 것, 이전에 남은 것 , 이전에 남겨두다 , 이전의 것에 대한 영향</t>
  </si>
  <si>
    <t>The company will carry over the profits from last year to this year.
회사에서는 작년의 이익을 올해로 넘길 예정입니다.</t>
  </si>
  <si>
    <t>catches</t>
  </si>
  <si>
    <t>수집하다, 잡다, 잡히다,</t>
  </si>
  <si>
    <t>The new policy catches many people off guard.
새 정책이 많은 사람들을 당황하게 한다.</t>
  </si>
  <si>
    <t>caught</t>
  </si>
  <si>
    <t>감시하다, 잡히다, 발견하다</t>
  </si>
  <si>
    <t>She was caught in the rain on her way home.
집으로 가는 길에 비에 젖어 들었다.</t>
  </si>
  <si>
    <t>caustic</t>
  </si>
  <si>
    <t>고약한, 화학약품, 비꼬는</t>
  </si>
  <si>
    <t>Her caustic remarks about his cooking skills left him feeling hurt.
그의 요리 실력에 대한 그녀의 비꼬는 말들이 그를 상처주었다.</t>
  </si>
  <si>
    <t>cautious</t>
  </si>
  <si>
    <t>주의적, 경계적, 신중한</t>
  </si>
  <si>
    <t>She was cautious not to reveal her true intentions.
그녀는 자신의 진정한 의도를 밝히지 않기 위해 주의를 기울였다.</t>
  </si>
  <si>
    <t>celestial</t>
  </si>
  <si>
    <t>하늘의, 천상의, 우주적</t>
  </si>
  <si>
    <t>The stars shone brightly in the celestial expanse.
별들은 하늘의 광활한 공간에서 밝게 빛났다.</t>
  </si>
  <si>
    <t>ceremonial</t>
  </si>
  <si>
    <t>식전, 의식, 의식적</t>
  </si>
  <si>
    <t>The wedding ceremony was a grand, ceremonial affair with hundreds of guests in attendance.
결혼식은 수백 명의 손님들이 참석한 대규모 의식적 행사였다.</t>
  </si>
  <si>
    <t>certified</t>
  </si>
  <si>
    <t>인증된, 전문적으로 인증받은, 공식적으로 승인된</t>
  </si>
  <si>
    <t>The company's certified public accountant was responsible for auditing the financial reports.
회사에 속한 인증된 공인회계사는 재무보고서를 감사하는 책임을 지고 있었다.</t>
  </si>
  <si>
    <t>certifying</t>
  </si>
  <si>
    <t>인증하는, 확인하는, 공식적으로 인정하는</t>
  </si>
  <si>
    <t>The company is in the process of certifying its new product.
회사에서는 새로운 제품을 공식적으로 인증 중입니다.</t>
  </si>
  <si>
    <t>challenge</t>
  </si>
  <si>
    <t>도전, 도전하다, 어려운 일</t>
  </si>
  <si>
    <t>The company issued a challenge to its employees to come up with innovative solutions.
회사에서는 직원들에게 혁신적인 해결책을 내놓도록 도전했다.</t>
  </si>
  <si>
    <t>charge</t>
  </si>
  <si>
    <t>수수료, 징수, 공격, 징집</t>
  </si>
  <si>
    <t>The police officer was injured while trying to subdue the suspect who was making a charge at her.
경찰관은 그녀를 공격하는 용의자를 진압하려고 할 때 부상했다.</t>
  </si>
  <si>
    <t>charters</t>
  </si>
  <si>
    <t>차트 , 계약 , 특허</t>
  </si>
  <si>
    <t>The company issued special charters to the ships that sailed through the treacherous waters.
회사에서는 난해한 바다를 항해하는 선박에 특수한 허가증을 발급했다.</t>
  </si>
  <si>
    <t>chase</t>
  </si>
  <si>
    <t>도망치다, 추적하다, 경주하다</t>
  </si>
  <si>
    <t>The police began to chase the speeding car down the highway.
경찰은 고속도로에서 속도가 빠른 차를 추적하기 시작했다.</t>
  </si>
  <si>
    <t>chastened</t>
  </si>
  <si>
    <t>감람된, 고쳐진, 고치어진</t>
  </si>
  <si>
    <t>Her chastened expression made her appear much older.
그녀의 감람된 표정으로 그녀는 훨씬 나이가 많아 보였다.</t>
  </si>
  <si>
    <t>check</t>
  </si>
  <si>
    <t>계산, 확인, 체크카드, 체크, 확인서, 체크리스트</t>
  </si>
  <si>
    <t>She double-checked the math problem before submitting it.
그녀는 문제를 제출하기 전에 다시 계산을 확인했다.</t>
  </si>
  <si>
    <t>cherishes</t>
  </si>
  <si>
    <t>사랑한다, 존중한다, 귀중하게 여긴다</t>
  </si>
  <si>
    <t>She cherishes the memories of her childhood.
그녀는 어린 시절의 추억을 사랑한다.</t>
  </si>
  <si>
    <t>chintzy</t>
  </si>
  <si>
    <t>가난한, 저렴한, 부자연한</t>
  </si>
  <si>
    <t>The decorations were a bit too chintzy for a high-end hotel.
호텔의 고급스러운 분위기에 어울리지 않는다며 장식이 너무 가난한 느낌이었다.</t>
  </si>
  <si>
    <t>chronic</t>
  </si>
  <si>
    <t>장기적인, 만성적인, 지속적인</t>
  </si>
  <si>
    <t>The patient's chronic illness made it difficult for her to maintain a regular job.
환자의 만성적인 질병으로 인해 그녀는 정기적인 일자리를 유지하기 어렵게 되었다.</t>
  </si>
  <si>
    <t>churn out</t>
  </si>
  <si>
    <t>생산하다, 많은 양을 빠르게 만들다, 끊임없이 만들다</t>
  </si>
  <si>
    <t>The factory churned out thousands of units every hour.
공장에서는 매 시간 수천 개의 단위를 생산했다.</t>
  </si>
  <si>
    <t>circumstances</t>
  </si>
  <si>
    <t>시정, 상황, 환경</t>
  </si>
  <si>
    <t>The company's financial situation was complicated by the economic circumstances.
회사 상황은 경제적 상황으로 복잡해졌다.</t>
  </si>
  <si>
    <t>cite</t>
  </si>
  <si>
    <t>참조하다, 인용하다, 인용문</t>
  </si>
  <si>
    <t>The professor asked the student to cite the source of the information in her research paper.
교수님은 학생에게 연구 논문의 정보의 출처를 인용하라고 했습니다.</t>
  </si>
  <si>
    <t>claim</t>
  </si>
  <si>
    <t>1. 청구, 청구하다, 
2. 주장, 주장하다, 
3. 요구, 요구하다</t>
  </si>
  <si>
    <t>She made a claim for compensation after the accident.
그녀는 사고 이후 보상 청구를 하였다.</t>
  </si>
  <si>
    <t>clandestine</t>
  </si>
  <si>
    <t>비밀스러운, 은밀한, 사적인</t>
  </si>
  <si>
    <t>The company's clandestine dealings with the rival firm were exposed by a whistleblower.
회사와 경쟁사 사이의 비밀스러운 거래는 밀고 당한 인물에 의해 드러났다.</t>
  </si>
  <si>
    <t>clashes</t>
  </si>
  <si>
    <t>충돌, 충돌, 충돌 - 명령형, 충돌 - 형용사</t>
  </si>
  <si>
    <t>The two politicians' opposing views often lead to clashes at public debates.
두 정치인들의 반대 의견은 종종 공공 토론에서 충돌을 일으킨다.</t>
  </si>
  <si>
    <t>clattered</t>
  </si>
  <si>
    <t>소음, 소리, 부딪힘</t>
  </si>
  <si>
    <t>The dishes clattered as she loaded them into the dishwasher.
그녀가 세탁기를 채우면서 그릇들이 소리가 나며 부딪혔다.</t>
  </si>
  <si>
    <t>clearing</t>
  </si>
  <si>
    <t>정리, 정리하다, 명확</t>
  </si>
  <si>
    <t>The hikers had to navigate through a dense clearing to reach the summit.
등산객들은 산 정상에 도달하기 위해 밀집한 숲을 통과해야 했습니다.</t>
  </si>
  <si>
    <t>clerical</t>
  </si>
  <si>
    <t>서무의, 행정의, 사무의</t>
  </si>
  <si>
    <t>The clerical staff handled the paperwork efficiently.
서무 직원들은 서류를 효율적으로 처리했다.</t>
  </si>
  <si>
    <t>clumsy</t>
  </si>
  <si>
    <t>무지성, 어리석은, 무지한</t>
  </si>
  <si>
    <t>She tripped over her own feet and spilled her coffee, looking very clumsy.
그녀는 자신의 발을 밟고 커피를 쏟으며 매우 무지한 표정을 지었다.</t>
  </si>
  <si>
    <t>clustered</t>
  </si>
  <si>
    <t>단단히 모인 것, 군집된 것, 밀집된 것</t>
  </si>
  <si>
    <t>The trees were clustered together at the edge of the forest.
숲 가장자리에 나무들이 단단히 모여 있었다.</t>
  </si>
  <si>
    <t>coagulated</t>
  </si>
  <si>
    <t>고체화된, 응집된, 응축된</t>
  </si>
  <si>
    <t>The milk had coagulated on the bottom of the pan.
우유는 냄비의 바닥에 고체화되어 있었다.</t>
  </si>
  <si>
    <t>coalesce</t>
  </si>
  <si>
    <t>합쳐지다, 하나로 합쳐지다, 단결하다</t>
  </si>
  <si>
    <t>The different factions within the party began to coalesce around a single candidate.
당내의 다른 세력들은 하나의 후보로 단결하기 시작했다.</t>
  </si>
  <si>
    <t>coalitions</t>
  </si>
  <si>
    <t>연합체, 동맹, 협력</t>
  </si>
  <si>
    <t>The two parties formed a fragile coalition to pass the contentious legislation.
두 당은 논쟁적인 법안을 통과시키기 위해 취약한 연합체를 형성했다.</t>
  </si>
  <si>
    <t>coarse</t>
  </si>
  <si>
    <t>가스름, 거친, 거칠음</t>
  </si>
  <si>
    <t>The sandpaper was too coarse for the delicate surface.
가스름한 사포가 부드러운 표면에 너무 거칠었다.</t>
  </si>
  <si>
    <t>coax</t>
  </si>
  <si>
    <t>고무하다, 설득하다, 유혹하다</t>
  </si>
  <si>
    <t>She tried to coax the cat out from under the bed.
그녀는 침대 밑에서 고양이를 유혹해 내려고 했다.</t>
  </si>
  <si>
    <t>coercive</t>
  </si>
  <si>
    <t>강요적인, 강제적인, 압박적인</t>
  </si>
  <si>
    <t>The government's coercive policies have been criticized for infringing on individual freedoms.
정부의 강요적인 정책은 개인의 자유를 침해하는 것으로 비판받고 있다.</t>
  </si>
  <si>
    <t>cognitive</t>
  </si>
  <si>
    <t>지각적, 인지력, 지능</t>
  </si>
  <si>
    <t>The new research highlights the importance of cognitive development in early childhood.
새로운 연구는 어린 시절의 인지 발달이 얼마나 중요한지 강조한다.</t>
  </si>
  <si>
    <t>collapses</t>
  </si>
  <si>
    <t>부실하다, 무너지다, 무너짐</t>
  </si>
  <si>
    <t>The economy collapses if the government fails to implement effective policies.
정부가 효과적인 정책을 시행하지 못하면 경제가 무너진다.</t>
  </si>
  <si>
    <t>colloquium</t>
  </si>
  <si>
    <t>학술회의, 토론회, 학술대회</t>
  </si>
  <si>
    <t>The conference will feature a colloquium on the latest research in the field.
이 학술회의에서는 최근 연구 분야에 대한 최신 연구에 대한 토론회를 개최합니다.</t>
  </si>
  <si>
    <t>come down with</t>
  </si>
  <si>
    <t>감기 걸리다, 병 걸리다, 내려앉다</t>
  </si>
  <si>
    <t>She came down with a bad cold and had to stay in bed for a week.
그녀는 갑자기 감기가 걸려 침대에 누워 일주일 동안 쉬었다.</t>
  </si>
  <si>
    <t>comedowns</t>
  </si>
  <si>
    <t>내리막, 하락, 감소</t>
  </si>
  <si>
    <t>The comedowns from the party were brutal, with everyone crashing at the same time.
파티에서 돌아온 내리막은 모두가 동시에 쓰러지는 끔찍한 상황이었다.</t>
  </si>
  <si>
    <t>comforting</t>
  </si>
  <si>
    <t>안타깝게 여겨주다, 위로하다, 안심시키다</t>
  </si>
  <si>
    <t>Her warm smile was a comforting presence in the cold, dark room.
그녀의 따뜻한 미소는 차가운 어둡고 어두운 방에서 위안이 되는 존재였다.</t>
  </si>
  <si>
    <t>comment</t>
  </si>
  <si>
    <t>댓글, 의견, 주석</t>
  </si>
  <si>
    <t>The professor asked the students to write a comment on the assigned reading.
교수님은 학생들에게 할당된 책에 대한 의견을 쓰라고 했습니다.</t>
  </si>
  <si>
    <t>commission</t>
  </si>
  <si>
    <t>수수료, 위임, 위원회</t>
  </si>
  <si>
    <t>The company paid a 10% commission to the salesperson for each sale.
회사에서는 매출에 따라 판매자에게 10%의 수수료를 지불했다.</t>
  </si>
  <si>
    <t>commissions</t>
  </si>
  <si>
    <t>수수료, 위촉, 위임</t>
  </si>
  <si>
    <t>The company will pay a commission to the salesperson for each sale made.
회사에서는 판매원이 매출을 낸 대가로 수수료를 지불합니다.</t>
  </si>
  <si>
    <t>commits</t>
  </si>
  <si>
    <t>1. 명령, 약속, 의무  - , 
2. 제출, 제출물  - , 
3. 약속, 의무  -</t>
  </si>
  <si>
    <t>The company will commit to reducing its carbon footprint by 50% within the next five years.
회사에서는 내년 5년 내에 50%의 탄소 발자국을 줄이기로 약속했다.</t>
  </si>
  <si>
    <t>committed</t>
  </si>
  <si>
    <t>1.  - 약속을 지키는, 책임을 지는, 
2.  - 확고한, 단호한, 
3.  - 약속, 의무</t>
  </si>
  <si>
    <t>She has committed to volunteering at the local animal shelter for the next year.
그녀는 향후 1년 동안 현지 동물 보호소에서 자원 봉사하기로 약속했다.</t>
  </si>
  <si>
    <t>commodious</t>
  </si>
  <si>
    <t>대용량의, 넓고 편리한, 넓은</t>
  </si>
  <si>
    <t>The hotel's commodious lobby was a great place to relax and socialize.
호텔의 넓고 편리한 로비는 휴식과 사회 활동하기에 좋은 곳이었다.</t>
  </si>
  <si>
    <t>compares</t>
  </si>
  <si>
    <t>비교하다, 비교, 비교할 수 있는</t>
  </si>
  <si>
    <t>The new smartphone compares favorably to its predecessor in terms of performance.
새로운 스마트폰은 성능면에서 전작과 비교해 잘나간다.</t>
  </si>
  <si>
    <t>compelled</t>
  </si>
  <si>
    <t>강요받다, 강제로 하다, 강박스러운</t>
  </si>
  <si>
    <t>She was compelled to leave the party early due to a family emergency.
가족 사정으로 인해 그녀는 파티를 일찍 떠나야 했다.</t>
  </si>
  <si>
    <t>compendium</t>
  </si>
  <si>
    <t>서적, 자료집, 총서</t>
  </si>
  <si>
    <t>The professor spent years compiling a comprehensive compendium of historical events.
교수는 수년 동안 역사적 사건의한 자료집을 만들기 위해 노력했습니다.</t>
  </si>
  <si>
    <t>compensate</t>
  </si>
  <si>
    <t>보상하다, 보상, 보상금</t>
  </si>
  <si>
    <t>The company will compensate its employees for the lost wages.
회사에서는 임금을 잃어버린 직원들에게 보상을 해줄 것입니다.</t>
  </si>
  <si>
    <t>compiled</t>
  </si>
  <si>
    <t>서적, 자료, 프로그램, 수집하다, 정리하다,</t>
  </si>
  <si>
    <t>The company has compiled a comprehensive report on the market trends.
회사에서는 시장 동향에 대한한 보고서를 만들었습니다.</t>
  </si>
  <si>
    <t>complacent</t>
  </si>
  <si>
    <t>서푼, 무심한, 만족한</t>
  </si>
  <si>
    <t>The company's complacent attitude towards the changing market led to its downfall.
회사에 변화하는 시장에 대한 무심한 태도가 회사의 몰락으로 이어졌다.</t>
  </si>
  <si>
    <t>completed</t>
  </si>
  <si>
    <t>완료된 것, 완료, 끝났다</t>
  </si>
  <si>
    <t>The project was completed on time.
프로젝트는 정해진 시간에 끝났습니다.</t>
  </si>
  <si>
    <t>compliance</t>
  </si>
  <si>
    <t>감사 , 준수 , 순응</t>
  </si>
  <si>
    <t>The company's compliance with the new regulations was thoroughly reviewed.
회사에서는 새로운 규정에 대한 감사의 준수를 철저히 검토했다.</t>
  </si>
  <si>
    <t>compliant</t>
  </si>
  <si>
    <t>유합적, 준수하는, 협조적</t>
  </si>
  <si>
    <t>The company must be compliant with all relevant laws and regulations.
회사은 모든 관련 법률과 규정을 준수해야 한다.</t>
  </si>
  <si>
    <t>compromise</t>
  </si>
  <si>
    <t>해결, 타협, 양보</t>
  </si>
  <si>
    <t>The two parties were forced to reach a compromise on the disputed territory.
두 당사자가 논란의 여지가 있는 영토에 대한 타협을 강제로 이뤄냈다.</t>
  </si>
  <si>
    <t>compulsions</t>
  </si>
  <si>
    <t>obsessive desires, 강박관념, 강박적 행동</t>
  </si>
  <si>
    <t>Her compulsions to collect rare stamps had become an all-consuming hobby.
그녀의 희귀한 우표 수집의 강박관념은 모든 것을 삼켜버린 취미가 되었다.</t>
  </si>
  <si>
    <t>conceal</t>
  </si>
  <si>
    <t>숨기다, 감추다, 은폐하다</t>
  </si>
  <si>
    <t>The company tried to conceal the financial losses from its investors.
회사에서는 투자자들에게 재정적 손실을 숨기려고 했다.</t>
  </si>
  <si>
    <t>conceived</t>
  </si>
  <si>
    <t>생각한 것, 계획한 것, 아이디어가 나온다</t>
  </si>
  <si>
    <t>The idea was conceived by a team of innovative designers.
팀의 혁신적인 디자이너들이 아이디어를 생각해 냈습니다.</t>
  </si>
  <si>
    <t>concepts</t>
  </si>
  <si>
    <t>이론, 개념, 관념</t>
  </si>
  <si>
    <t>The new curriculum focuses on abstract concepts rather than practical skills.
새로운 교과서는 추상적인 개념에 초점을 맞추고 실무 기술에 초점을 맞추지 않았다.</t>
  </si>
  <si>
    <t>concession</t>
  </si>
  <si>
    <t>승인, 양보, 양해</t>
  </si>
  <si>
    <t>The company made a concession to its employees, agreeing to a 10% raise.
회사에서는 직원들에게 10% 인상에 대한 승인을 내렸다.</t>
  </si>
  <si>
    <t>concluded</t>
  </si>
  <si>
    <t>결론을 내었다, 끝났다, 완료되었다</t>
  </si>
  <si>
    <t>The negotiations concluded with a signed agreement.
협상은 서명한 합의서로 끝났다.</t>
  </si>
  <si>
    <t>concocted</t>
  </si>
  <si>
    <t>사전적 의미, 허위, 가짜, 조작된</t>
  </si>
  <si>
    <t>The company's financial reports were concocted to deceive investors.
회사 재무보고서가 투자자들을 속이기 위해 조작되었다.</t>
  </si>
  <si>
    <t>concord</t>
  </si>
  <si>
    <t>화합, 조화, 조화로운</t>
  </si>
  <si>
    <t>The concord between the two nations has led to a significant reduction in tensions.
두 국가 사이의 화합은 긴장감이 크게 줄어들었다.</t>
  </si>
  <si>
    <t>condensed</t>
  </si>
  <si>
    <t>가압축된, 압축된, 간결한</t>
  </si>
  <si>
    <t>The company condensed its operations to reduce costs.
회사에서는 비용을 줄이기 위해 운영을 가속화했다.</t>
  </si>
  <si>
    <t>condoned</t>
  </si>
  <si>
    <t>허용했다, 승인했다, 용서했다</t>
  </si>
  <si>
    <t>The company's decision to condone the employee's behavior was widely criticized by the public.
회사 직원의 행동을 승인한 결정은 대중으로부터 널리 비판을 받았다.</t>
  </si>
  <si>
    <t>conducive</t>
  </si>
  <si>
    <t>환경적, 도움이 되는, 적합한</t>
  </si>
  <si>
    <t>The city's vibrant cultural scene is conducive to attracting young artists and entrepreneurs.
도시의 활기찬 문화 장면은 젊은 예술가들과 기업가들을 끌어들이는 데 적합하다.</t>
  </si>
  <si>
    <t>conferred</t>
  </si>
  <si>
    <t>명예 박사 학위가 수여되었습니다, 권한을 부여했습니다, 협의했습니다,</t>
  </si>
  <si>
    <t>The award was conferred upon her in recognition of her outstanding contributions to the field.
그녀의 뛰어난 업적을 인정하여 그에게 상을 수여했습니다.</t>
  </si>
  <si>
    <t>confess</t>
  </si>
  <si>
    <t>고백하다, 자백하다, 고백</t>
  </si>
  <si>
    <t>She finally confessed her love to him after years of secret longing.
그녀는 여러 해 동안 비밀스럽게 사랑을 느꼈지만 결국 그에게 고백했다.</t>
  </si>
  <si>
    <t>configurated</t>
  </si>
  <si>
    <t>설정된, 구성된, 설정한</t>
  </si>
  <si>
    <t>The system was configurated to automatically update software at night.
시스템은 밤에 자동으로 소프트웨어를 업데이트하도록 설정되었다.</t>
  </si>
  <si>
    <t>confine</t>
  </si>
  <si>
    <t>가두하다, 제한하다, 한정시키다</t>
  </si>
  <si>
    <t>The new policy aims to confine the use of single-use plastics to only essential items.
새 정책은 일회용 플라스틱의 사용을 필수품에 한정시키기 위해 있다.</t>
  </si>
  <si>
    <t>confirmed</t>
  </si>
  <si>
    <t>확인된, 확정된, 확실한</t>
  </si>
  <si>
    <t>The doctor confirmed that the patient was in stable condition.
의사는 환자가 안정된 상태라는 것을 확인했다.</t>
  </si>
  <si>
    <t>confirming</t>
  </si>
  <si>
    <t>확인하는, 확인, 확실한</t>
  </si>
  <si>
    <t>The company is confirming the details of the new contract.
회사에서는 새로운 계약의 세부사항을 확인하고 있습니다.</t>
  </si>
  <si>
    <t>confronts</t>
  </si>
  <si>
    <t>명중하다, 직면하다, 대면하다</t>
  </si>
  <si>
    <t>The protesters will confront the police at the city hall.
시위자들은 시청에서 경찰과 마주칠 것이다.</t>
  </si>
  <si>
    <t>conglobated</t>
  </si>
  <si>
    <t>모아진 것, 모여들어 합쳐진 것, 모여서 하나로 합쳐진 것</t>
  </si>
  <si>
    <t>The snowflakes conglobated into a single large snowball.
눈 crystals가 모여서 하나로 합쳐진 큰 눈구슬이 되었다.</t>
  </si>
  <si>
    <t>congruent</t>
  </si>
  <si>
    <t>1. 일치하는, 일치하는 관계의 , 
2. 일치하는, 일치하는 부분의 , 
3. 일치하는, 일치하는 방식의</t>
  </si>
  <si>
    <t>The two triangles are congruent, so they have the same area.
두 삼각형은 일치하므로 같은 면적을 가지고 있다.</t>
  </si>
  <si>
    <t>conjectures</t>
  </si>
  <si>
    <t>설정, 추측, 추정</t>
  </si>
  <si>
    <t>The detective's conjectures about the crime scene were later proven to be incorrect.
탐정의 범인에 대한 추측은 나중에 잘못되었다.</t>
  </si>
  <si>
    <t>conjugal</t>
  </si>
  <si>
    <t>혼인적, 결혼적, 부부의</t>
  </si>
  <si>
    <t>The couple's conjugal relationship was put to the test by their financial struggles.
부부의 결혼 관계는 재정난으로 시험을 받았다.</t>
  </si>
  <si>
    <t>conjugated</t>
  </si>
  <si>
    <t>품어낸 것, 결합된 것, 동사 형태</t>
  </si>
  <si>
    <t>The sugar was conjugated with the acid to form a stable compound.
당은 산과 결합하여 안정한 화합물이 되었다.</t>
  </si>
  <si>
    <t>connect</t>
  </si>
  <si>
    <t>네트워크 연결, 연결하다, 연결된, 연결되다</t>
  </si>
  <si>
    <t>The new router will help connect your home network to the internet.
새로운 라우터는 집 네트워크를 인터넷과 연결할 것입니다.</t>
  </si>
  <si>
    <t>connected</t>
  </si>
  <si>
    <t>연결된, 연결, 연결되다</t>
  </si>
  <si>
    <t>The two computers were connected via a cable.
컴퓨터 두 대는 케이블로 연결되어 있었다.</t>
  </si>
  <si>
    <t>consistencies</t>
  </si>
  <si>
    <t>일관성, 일관된 성질, 일관성 있는 것</t>
  </si>
  <si>
    <t>The company's financial reports have shown a consistent pattern of growth over the past five years.
지난 5년 동안 회사 재무 보고서에는 일관된 성장 패턴이 나타났습니다.</t>
  </si>
  <si>
    <t>consolidate</t>
  </si>
  <si>
    <t>단결하다, 강화하다, 집중하다</t>
  </si>
  <si>
    <t>The company plans to consolidate its operations in the new headquarters.
회사에서는 새로운 본사를 위해 운영을 단결할 계획입니다.</t>
  </si>
  <si>
    <t>conspicuous</t>
  </si>
  <si>
    <t>명백한, 눈에 띄는, 드러난</t>
  </si>
  <si>
    <t>The company's new skyscraper was a conspicuous landmark in the city's skyline.
회사 새 타워는 도시의 도시 풍경에 눈에 띄는 랜드마크였다.</t>
  </si>
  <si>
    <t>constitute</t>
  </si>
  <si>
    <t>1. 구성하다 , 구성 , 구성 요소  - 
2. 구성되다 , 구성물  - 
3. 구성된</t>
  </si>
  <si>
    <t>The new team will constitute the majority of the company's workforce.
새로운 팀은 회사 직원 중 다수를 구성할 것입니다.</t>
  </si>
  <si>
    <t>contaminate</t>
  </si>
  <si>
    <t>오염시키다, 오염물질, 오염</t>
  </si>
  <si>
    <t>The chemical spill threatened to contaminate the nearby water supply.
화학적 유출로 인해 근처의 물 공급이 오염될 위험이 있었다.</t>
  </si>
  <si>
    <t>contaminated</t>
  </si>
  <si>
    <t>오염된, 오염시키다, 오염된 물질</t>
  </si>
  <si>
    <t>The water in the river has been contaminated by industrial waste.
강물이 산업 폐기물에 의해 오염되었다.</t>
  </si>
  <si>
    <t>contemplated</t>
  </si>
  <si>
    <t>고민하다, 생각하다, 계획하다</t>
  </si>
  <si>
    <t>She had contemplated a career change for several years before finally making the leap.
그녀는 몇 년 동안 결국 변호사직을 그만두고 다른 직업을 찾기로 결심한 후에 변호사직을 그만두기로 결심했습니다.</t>
  </si>
  <si>
    <t>contend</t>
  </si>
  <si>
    <t>쟁취하다, 경쟁하다, 주장하다</t>
  </si>
  <si>
    <t>The two teams will contend for the championship title.
두 팀은 챔피언 타이틀을 놓고 경쟁할 것이다.</t>
  </si>
  <si>
    <t>contexts</t>
  </si>
  <si>
    <t>시اق, 상황, 맥락</t>
  </si>
  <si>
    <t>The new policy was implemented in various contexts to minimize its impact on different industries.
새 정책은 다양한 상황에서 다양한 산업에 미치는 영향을 최소화하기 위해 여러 맥락에서 시행되었다.</t>
  </si>
  <si>
    <t>contract</t>
  </si>
  <si>
    <t>계약, 계약서, 협약, 계약체결</t>
  </si>
  <si>
    <t>The company signed a contract with the supplier to provide the necessary materials.
회사에서는 공급자와 필요한 재료를 제공하기 위한 계약을 체결했습니다.</t>
  </si>
  <si>
    <t>contracting</t>
  </si>
  <si>
    <t>계약 중인 것, 감소하는 중인 것, 감염되거나 감염되는 중인 것</t>
  </si>
  <si>
    <t>The company is experiencing financial difficulties due to the contracting economy.
회사에서는 경제가 쇠퇴하고 있기 때문에 재정적인 어려움을 겪고 있다.</t>
  </si>
  <si>
    <t>contravene</t>
  </si>
  <si>
    <t>법을 위반하다, 반대하다, 위반하는 것</t>
  </si>
  <si>
    <t>The new policy contravenes the existing labor laws.
새로운 정책은 기존 노동법을 위반한다.</t>
  </si>
  <si>
    <t>contriving</t>
  </si>
  <si>
    <t>계획하는, 계산하는, 속임수를 짜는</t>
  </si>
  <si>
    <t>She was accused of contriving the accident to collect insurance money.
그녀는 보험금을 모으기 위해 사고를 계획한 혐의를 받았다.</t>
  </si>
  <si>
    <t>control</t>
  </si>
  <si>
    <t>조절, 통제, 통치</t>
  </si>
  <si>
    <t>The company has strict control over the quality of its products.
회사에서는 제품의 품질에 대한 엄격한 통제를 가지고 있습니다.</t>
  </si>
  <si>
    <t>convenient</t>
  </si>
  <si>
    <t>편리한, 유용한, 편안한</t>
  </si>
  <si>
    <t>The hotel's location made it a very convenient place to stay for tourists.
호텔의 위치가 관광객들에게 매우 편리한 곳이었습니다.</t>
  </si>
  <si>
    <t>conventions</t>
  </si>
  <si>
    <t>규약, 관례, 전통적 관행</t>
  </si>
  <si>
    <t>The company will follow international conventions for environmental protection.
회사에서는 국제적인 환경보호 규약을 따릅니다.</t>
  </si>
  <si>
    <t>converted</t>
  </si>
  <si>
    <t>변환된, 변형된, 개종한</t>
  </si>
  <si>
    <t>The old church was converted into a museum.
구 교회는 박물관으로 변환되었다.</t>
  </si>
  <si>
    <t>converting</t>
  </si>
  <si>
    <t>변환하는, 변환, 변환</t>
  </si>
  <si>
    <t>The company is converting its old factory into a modern office building.
회사에서는 옛 공장을 현대식 사무실 건물로 변환하고 있습니다.</t>
  </si>
  <si>
    <t>convey</t>
  </si>
  <si>
    <t>표현하다, 전달하다, 수송하다</t>
  </si>
  <si>
    <t>The message was conveyed through a series of subtle hints.
메시지는 여러 가지 암시를 통해 전달되었다.</t>
  </si>
  <si>
    <t>convicting</t>
  </si>
  <si>
    <t>사실을 입증하는, 유죄 판결을 받은 사람, 유죄 판결을 받은 사람, 유죄 판결을 받은 사람의 증거</t>
  </si>
  <si>
    <t>The new evidence was convicting, and it sealed the defendant's fate.
새로운 증거는 유죄 판결을 받은 사람의 운명을 결정했다.</t>
  </si>
  <si>
    <t>convivial</t>
  </si>
  <si>
    <t>친절한, 즐거운, 사회적</t>
  </si>
  <si>
    <t>The dinner party was a convivial occasion, with laughter and good conversation flowing freely.
저녁 파티는 즐거운 기회였다. 웃음과 좋은 대화가 자유롭게 흐르면서.</t>
  </si>
  <si>
    <t>copy</t>
  </si>
  <si>
    <t>복사, 사본, 복사본</t>
  </si>
  <si>
    <t>She made a copy of the document before sending it to the client.
그녀는 고객에게 보내기 전에 문서의 사본을 만들었다.</t>
  </si>
  <si>
    <t>cordial</t>
  </si>
  <si>
    <t>친절한, 우호적인, 친선적인</t>
  </si>
  <si>
    <t>The guests were greeted with a cordial smile by the host.
손님들은 호스트의 친절한 미소로 맞이했다.</t>
  </si>
  <si>
    <t>coronation</t>
  </si>
  <si>
    <t>왕관기, 왕위계승식, 왕위승계</t>
  </si>
  <si>
    <t>The queen's coronation ceremony was attended by dignitaries from all over the world.
세계 각국 대사관이 참석한 여왕의 왕관기식이 열렸다.</t>
  </si>
  <si>
    <t>corpulent</t>
  </si>
  <si>
    <t>체중이 많은, 비만한, 비만</t>
  </si>
  <si>
    <t>The actress's corpulent figure was a stark contrast to her glamorous on-screen persona.
배우의 체중이 많은 모습은 화려한 화면에서의 모습과는한 대조였다.</t>
  </si>
  <si>
    <t>corrected</t>
  </si>
  <si>
    <t>수정된 것, 정정된 것, 정확한 것</t>
  </si>
  <si>
    <t>The teacher carefully reviewed the student's essay and made several corrections before returning it.
선생님은 학생의 에세이를 여러 번 검토하고 수정한 후 이를 돌려주었다.</t>
  </si>
  <si>
    <t>corroded</t>
  </si>
  <si>
    <t>가공된, 부식된, 손상된</t>
  </si>
  <si>
    <t>The old pipes had corroded, causing the water to leak.
구리 파이프는 오래되어 부식되어 물이 새기 시작했다.</t>
  </si>
  <si>
    <t>corrosive</t>
  </si>
  <si>
    <t>가소성, 부식성, 해독성</t>
  </si>
  <si>
    <t>The acid's corrosive properties made it difficult to handle safely.
산성의 가소성은 안전하게 다루기가 어려웠다.</t>
  </si>
  <si>
    <t>counteract</t>
  </si>
  <si>
    <t>방지하다, 반작용, 대응</t>
  </si>
  <si>
    <t>The new policy was designed to counteract the negative effects of the economic downturn.
경제 침체의 부정적인 영향을 막기 위해 새로운 정책이 설계되었다.</t>
  </si>
  <si>
    <t>court</t>
  </si>
  <si>
    <t>사건⋅재판, 법정, 스포츠 경기장, 법원</t>
  </si>
  <si>
    <t>The judge presided over the court with great dignity.
판사는 큰 품위로 법정에서 재판을 진행했다.</t>
  </si>
  <si>
    <t>covetous</t>
  </si>
  <si>
    <t>욕심 많은, 탐욕스러운, 부유한 것에 대한 갈망</t>
  </si>
  <si>
    <t>Her covetous gaze fell on the expensive jewelry in the store window.
그녀의 욕심 많은 눈길은 상점 창문에 있는 비싼 보석에 향했다.</t>
  </si>
  <si>
    <t>cower</t>
  </si>
  <si>
    <t>부끄러움, 무릎을 꿇다, 겁을 먹다</t>
  </si>
  <si>
    <t>The child cowered behind the couch as the loud thunder boomed outside.
어린이는 거대한 천둥 번개를 들은 채로 소파 뒤에 숨었다.</t>
  </si>
  <si>
    <t>cracks</t>
  </si>
  <si>
    <t>구멍, 균열, 부서짐</t>
  </si>
  <si>
    <t>The old paint on the walls began to crack.
tường에 있는 오래된 페인트가 균열을 일으켰다.</t>
  </si>
  <si>
    <t>credit</t>
  </si>
  <si>
    <t>신용, 신뢰, 인정</t>
  </si>
  <si>
    <t>She gave credit to her team for their hard work.
그녀는 팀의 노고에 신용을 주었다.</t>
  </si>
  <si>
    <t>credits</t>
  </si>
  <si>
    <t>신용, 기여, 신고</t>
  </si>
  <si>
    <t>She earned credits for completing the difficult project on time.
그녀는 시간 내에 어려운 프로젝트를 완료하여 신용을 얻었다.</t>
  </si>
  <si>
    <t>critical</t>
  </si>
  <si>
    <t>비판적, 심각한, 결정적인</t>
  </si>
  <si>
    <t>The patient's condition is critical, and we need to act quickly.
환자의 상태가 심각하여 빨리 행동해야 합니다.</t>
  </si>
  <si>
    <t>criticizing</t>
  </si>
  <si>
    <t>비판하는, 비판, 비판적</t>
  </si>
  <si>
    <t>The artist's work has been criticized for its lack of originality.
이 예술가의 작품은 창의성이 부족하다는 점을 비판받고 있습니다.</t>
  </si>
  <si>
    <t>crooned</t>
  </si>
  <si>
    <t>노래 부르는 것, 부드러운 목소리로 노래 부르는 것, 부드러운 목소리로 노래를 부르는 사람</t>
  </si>
  <si>
    <t>The singer crooned a gentle melody that sent shivers down the spines of the audience.
가수는 관중들의 가슴을 진동시키는 부드러운 멜로디를 부르며 노래를 불렀다.</t>
  </si>
  <si>
    <t>crude</t>
  </si>
  <si>
    <t>무질서한, 무미건조한, 원시적인</t>
  </si>
  <si>
    <t>The crude oil was refined to produce gasoline.
원유는 가솔린을 생산하기 위해 정제되었다.</t>
  </si>
  <si>
    <t>current</t>
  </si>
  <si>
    <t>현재 , 흐름 , 최신 , 진행중</t>
  </si>
  <si>
    <t>The company is currently reviewing the proposal.
회사에서는 현재 제안서를 검토 중입니다.</t>
  </si>
  <si>
    <t>curriculum</t>
  </si>
  <si>
    <t>학습 프로그램, 교육과정, 교과과정</t>
  </si>
  <si>
    <t>The new curriculum will be implemented next semester.
다음 학기부터 새로운 교육과정이 시행됩니다.</t>
  </si>
  <si>
    <t>cursory</t>
  </si>
  <si>
    <t>속도있는, 간단한, поверхност적인</t>
  </si>
  <si>
    <t>The report was based on a cursory examination of the company's financial records.
보고서의 작성은 회사 재무 기록의 속도있는 검토에 기반을 두고 있었다.</t>
  </si>
  <si>
    <t>cut down on</t>
  </si>
  <si>
    <t>절약하다, 줄이기, 줄일 수 있다</t>
  </si>
  <si>
    <t>She tried to cut down on her sugar intake to improve her health.
그녀는 건강을 개선하기 위해 설탕 섭취를 줄이려고 했다.</t>
  </si>
  <si>
    <t>cuts to the chase</t>
  </si>
  <si>
    <t>속도위주, 본론으로, 간결하게</t>
  </si>
  <si>
    <t>The new marketing strategy cuts to the chase by focusing on the product's key benefits.
새로운 마케팅 전략은 제품의 핵심 이점에 초점을 맞추어 속도위주로 본론으로 간결하게 진행한다.</t>
  </si>
  <si>
    <t>dabbed</t>
  </si>
  <si>
    <t>다브 , 다브 , 다브  -   touching or tapping lightly,   touches or taps lightly,   touches or taps lightly</t>
  </si>
  <si>
    <t>She dabbed at her tears with a tissue.
그녀는 조명으로 눈물을 닦았다.</t>
  </si>
  <si>
    <t>deal</t>
  </si>
  <si>
    <t>거래, 합의, 조건</t>
  </si>
  <si>
    <t>She managed to negotiate a good deal on the car.
그녀는 좋은 조건으로 자동차를 사기 위해 협상을 잘했다.</t>
  </si>
  <si>
    <t>debris</t>
  </si>
  <si>
    <t>물질, 잔해, 쓰레기</t>
  </si>
  <si>
    <t>The cleanup crew struggled to remove the debris from the damaged building.
damaged 건물에서 쓰레기를 제거하는 청소 팀은 어려움을 겪었다.</t>
  </si>
  <si>
    <t>decadence</t>
  </si>
  <si>
    <t>부패, 쇠퇴, 고도한 문화의 쇠퇴,</t>
  </si>
  <si>
    <t>The once-great empire's decadence was evident in its crumbling infrastructure.
거대한 제국의 위상이 무너진 것은 그들의 인프라가 무너진 것에서 드러났다.</t>
  </si>
  <si>
    <t>decent</t>
  </si>
  <si>
    <t>정직한, 합리적인, 적절한</t>
  </si>
  <si>
    <t>The hotel room was decent, but the view was amazing.
호텔 방은 정직했지만은 놀랍습니다.</t>
  </si>
  <si>
    <t>deceptive</t>
  </si>
  <si>
    <t>속임수, 거짓말, 속이는</t>
  </si>
  <si>
    <t>The company's financial reports were found to be deceptive, leading to a major scandal.
회사 재무보고서가 속임수로 밝혀져 큰 스캔들로 이어졌다.</t>
  </si>
  <si>
    <t>decipher</t>
  </si>
  <si>
    <t>해독하다, 암호를 해독하다, 이해하기</t>
  </si>
  <si>
    <t>She spent years deciphering the cryptic messages left behind by her predecessor.
그녀는 수년 동안 전임자의 암호화된 메시지를 해독하기 위해 노력했다.</t>
  </si>
  <si>
    <t>decisive</t>
  </si>
  <si>
    <t>결정적, 결단력, 결정적인</t>
  </si>
  <si>
    <t>The jury's decision was a decisive factor in the outcome of the trial.
심판의 판결은 재판 결과에 결정적인 요인이 되었다.</t>
  </si>
  <si>
    <t>decree</t>
  </si>
  <si>
    <t>명령, 법, 결정</t>
  </si>
  <si>
    <t>The king issued a decree that all citizens must pay a new tax.
왕은 모든 시민에게 새로운 세금을 내야 한다는 명령을 내렸다.</t>
  </si>
  <si>
    <t>decrepit</t>
  </si>
  <si>
    <t>부실한, 낡은, 쇠퇴한</t>
  </si>
  <si>
    <t>The old mansion had stood for centuries, its decrepit facade a testament to the passing of time.
수세기 동안 서 있는 낡은 저택의 부실한 외관은 시간의 흐름을 증명했다.</t>
  </si>
  <si>
    <t>defective</t>
  </si>
  <si>
    <t>부적합한, 결함이 있는, 오작동하는</t>
  </si>
  <si>
    <t>The new car had a defective brake system.
새 차가 부적합한 브레이크 시스템을 가지고 있었다.</t>
  </si>
  <si>
    <t>defects</t>
  </si>
  <si>
    <t>장애, 결함, 결점</t>
  </si>
  <si>
    <t>The new product has several defects that need to be addressed.
새로운 제품에는 여러 가지 결함이 있어 해결해야 한다.</t>
  </si>
  <si>
    <t>defend</t>
  </si>
  <si>
    <t>수호하다, 방어하다, 변호하다</t>
  </si>
  <si>
    <t>The lawyer will defend the accused in court.
변호사는 법정에서 피고인을 변호할 것이다.</t>
  </si>
  <si>
    <t>deference</t>
  </si>
  <si>
    <t>수줍함, 존경, 예의</t>
  </si>
  <si>
    <t>She showed deference to the elderly woman by offering her seat.
그녀는 노인에게 자리를 내주어 예의를 보였다.</t>
  </si>
  <si>
    <t>deferred</t>
  </si>
  <si>
    <t>지연된 것, 연기된 일, 미지급한 금액</t>
  </si>
  <si>
    <t>The payment was deferred until next month.
다음 달에까지 지연된 금액이었다.</t>
  </si>
  <si>
    <t>defiant</t>
  </si>
  <si>
    <t>반항적, 거부적, 도전적</t>
  </si>
  <si>
    <t>The protesters stood defiant in the face of the police blockade.
경찰의 장벽에 맞서서 시위대는 반항적이었다.</t>
  </si>
  <si>
    <t>deficient</t>
  </si>
  <si>
    <t>부족한, 결핍된, 부족함이 있는</t>
  </si>
  <si>
    <t>The school's math program is deficient in providing adequate resources for students.
학교의 수학 프로그램은 학생들에게 적절한 자원을 제공하는 데 부족하다.</t>
  </si>
  <si>
    <t>definite</t>
  </si>
  <si>
    <t>정확한, 명확한, 확실히</t>
  </si>
  <si>
    <t>The date of the meeting is definite.
회의 시간은 확정되어 있습니다.</t>
  </si>
  <si>
    <t>degraded</t>
  </si>
  <si>
    <t>부정적, 하락, 저하</t>
  </si>
  <si>
    <t>The once-thriving industry has been degraded by years of neglect and mismanagement.
그 어느 때보다 번영하던 산업은 YEARS 동안 무시와 관리의 실책으로 저하되었다.</t>
  </si>
  <si>
    <t>delete</t>
  </si>
  <si>
    <t>삭제하다 , 삭제 , 삭제된</t>
  </si>
  <si>
    <t>She accidentally deleted the entire presentation before the meeting.
그녀는 회의 전 발표 자료를 모두 삭제했다.</t>
  </si>
  <si>
    <t>deliberate</t>
  </si>
  <si>
    <t>의도적, 고의적, 신중히</t>
  </si>
  <si>
    <t>The company deliberately avoided discussing the issue in public.
회사에서는 의도적으로 이 문제를 공공연하게 논의하지 않았다.</t>
  </si>
  <si>
    <t>delicate</t>
  </si>
  <si>
    <t>부드럽다, 연약한, 세련된</t>
  </si>
  <si>
    <t>The glass vase was a delicate piece of art.
유리잔은 예술적인 작품으로서 부드러운 작품이었다.</t>
  </si>
  <si>
    <t>delineating</t>
  </si>
  <si>
    <t>분명하게 구분하는 것, 경계를 정하는 것, 구분하는 방법을 설명하는 것</t>
  </si>
  <si>
    <t>The artist's use of color was effective in delineating the different textures of the painting.
가주의 색채 사용은 그림의 다양한 질감을 분명하게 구분하는 데 효과적이었다.</t>
  </si>
  <si>
    <t>deliver</t>
  </si>
  <si>
    <t>배송하다, 전달하다, 완료하다</t>
  </si>
  <si>
    <t>She will deliver the package to your doorstep by tomorrow.
그녀는 내일 아침에 тв느 집 앞에 패키지를 배송할 거야.</t>
  </si>
  <si>
    <t>delivers</t>
  </si>
  <si>
    <t>배송하다 , 결과를 낸다 , 성과를 낸다 ,</t>
  </si>
  <si>
    <t>The new policy delivers a significant reduction in greenhouse gas emissions.
새 정책은 대기 오염 가스 배출을 크게 줄여준다.</t>
  </si>
  <si>
    <t>demand</t>
  </si>
  <si>
    <t>요구, 수요, 강요, 필요, 강도</t>
  </si>
  <si>
    <t>The company will have to meet the demand for the new product.
새 제품에 대한 수요를 충족해야 한다.</t>
  </si>
  <si>
    <t>demeanor</t>
  </si>
  <si>
    <t>행동태, 태도, 성격</t>
  </si>
  <si>
    <t>Her demeanor was calm and confident, which put everyone at ease.
그녀의 태도는 차분하고 자신감이 넘치는데, 이는 모두를 편안하게 만들었다.</t>
  </si>
  <si>
    <t>demographics</t>
  </si>
  <si>
    <t>시장조사, 인구통계, 인구학적 특성</t>
  </si>
  <si>
    <t>The company's marketing strategy is based on a thorough analysis of demographics.
회사 마케팅 전략은 인구통계를 철저히 분석한 바탕에 있다.</t>
  </si>
  <si>
    <t>demoted</t>
  </si>
  <si>
    <t>감봉되다, 직위가 낮아지다, 경력 하락</t>
  </si>
  <si>
    <t>The employee was demoted after a series of poor performance reviews.
직원은 연속된 저성과 평가로 감봉되었다.</t>
  </si>
  <si>
    <t>denouement</t>
  </si>
  <si>
    <t>결말, 결론, 종결</t>
  </si>
  <si>
    <t>The novel's denouement revealed the long-hidden truth behind the protagonist's mysterious past.
소설의 결말은 주인공의 신비로운 과거에 숨겨진 진실을 밝혔다.</t>
  </si>
  <si>
    <t>deny</t>
  </si>
  <si>
    <t>거부하다, 부인하다, 거짓말하다 , 거부, 부인</t>
  </si>
  <si>
    <t>She denied any involvement in the scandal.
그녀는 그 스캔들에 관여했다는 거짓말을 부인했다.</t>
  </si>
  <si>
    <t>depleted</t>
  </si>
  <si>
    <t>부족한, 소진된, 고갈된</t>
  </si>
  <si>
    <t>The planet's resources were depleted by centuries of overuse.
세기 동안 과다 사용으로 인해 행성의 자원은 소진되었다.</t>
  </si>
  <si>
    <t>deployed</t>
  </si>
  <si>
    <t>배치된, 배치, 전개된</t>
  </si>
  <si>
    <t>The company has deployed a new marketing strategy to increase sales.
회사에서는 매출을 늘리기 위해 새로운 마케팅 전략을 배치했다.</t>
  </si>
  <si>
    <t>deposed</t>
  </si>
  <si>
    <t>정치적 권력을 잃은 사람, 퇴위한 왕, 퇴진한 정치인</t>
  </si>
  <si>
    <t>The king was deposed in a military coup.
군사 쿠데타로 왕이 퇴위했다.</t>
  </si>
  <si>
    <t>deposit</t>
  </si>
  <si>
    <t>지불금, 예금, 입금</t>
  </si>
  <si>
    <t>She made a deposit on the new apartment to secure her place in line.
그녀는 새로운 아파트를 예약하기 위해 입금을 했다.</t>
  </si>
  <si>
    <t>depreciated</t>
  </si>
  <si>
    <t>감소한 가치, 저하된 가치, 가치가 떨어진</t>
  </si>
  <si>
    <t>The company's stock has depreciated significantly since the financial crisis.
금융 위기 이후 기업의 주식 가치가 크게 떨어졌다.</t>
  </si>
  <si>
    <t>derivative</t>
  </si>
  <si>
    <t>계산, 파생, 파생물, 파생어, 파생형</t>
  </si>
  <si>
    <t>The new company's name is a derivative of the founder's surname.
새로운 회사 이름은 창립자의 성씨에서 파생되었다.</t>
  </si>
  <si>
    <t>desert</t>
  </si>
  <si>
    <t>사막, 버려지다, 사막의 지리적 특성</t>
  </si>
  <si>
    <t>The desert landscape stretched out endlessly before us.
우리가 보는 앞에 끝이 보이지 않는 사막 지형이 펼쳐져 있었다.</t>
  </si>
  <si>
    <t>designed</t>
  </si>
  <si>
    <t>계획된, 설계된, 의도된</t>
  </si>
  <si>
    <t>The new smartphone was designed to be more user-friendly.
새로운 스마트폰은 사용자가 더 편리하게 사용할 수 있도록 설계되었다.</t>
  </si>
  <si>
    <t>desperate</t>
  </si>
  <si>
    <t>긴급한, 절망적인, 절박한</t>
  </si>
  <si>
    <t>The situation was desperate, and they had to act quickly to save the company.
상황은 절박했기 때문에 그들은 회사 구하기 위해 급히 행동해야 했다.</t>
  </si>
  <si>
    <t>despondently</t>
  </si>
  <si>
    <t>절망적으로, 무기력하게, 절망의 기운이 없는</t>
  </si>
  <si>
    <t>She walked despondently through the empty streets, lost in thought.
그녀는 생각에 잠긴 채로 텅 빈 거리를 절망적으로 걸었다.</t>
  </si>
  <si>
    <t>detachable</t>
  </si>
  <si>
    <t>detachable  : 분리 가능한, 분리할 수 있는, 떼어낼 수 있는</t>
  </si>
  <si>
    <t>The phone case is detachable, making it easy to clean.
폰 케이스는 분리 가능한 것이어서 청소하기가 쉽다.</t>
  </si>
  <si>
    <t>detached</t>
  </si>
  <si>
    <t>분리된, 독립된, 분리된 감정</t>
  </si>
  <si>
    <t>The house was detached from the main building, with a small garden in between.
집은 본 건물과 분리된 상태로 작은 정원 사이에 있었다.</t>
  </si>
  <si>
    <t>detained</t>
  </si>
  <si>
    <t>기소되다, 체포되다, 구금되다</t>
  </si>
  <si>
    <t>The police detained the suspect for questioning.
경찰은 용의자를 조사하기 위해 체포했다.</t>
  </si>
  <si>
    <t>detested</t>
  </si>
  <si>
    <t>혐오스러운, 싫어하는, 혐오받는, 싫어하는, 혐오스러운</t>
  </si>
  <si>
    <t>She detested the smell of garlic and always avoided eating it.
그녀는 양파 냄새를 혐오했으며 항상 먹지 않았다.</t>
  </si>
  <si>
    <t>detour</t>
  </si>
  <si>
    <t>길을 돌아가는 것, 우회로, 이탈</t>
  </si>
  <si>
    <t>The traffic jam forced us to take a detour.
교통 정체로 인해 우회로를 갔다.</t>
  </si>
  <si>
    <t>devastated</t>
  </si>
  <si>
    <t>파괴된, 심각하게 상처받은, 완전히 파괴된</t>
  </si>
  <si>
    <t>The city was devastated by the hurricane.
태풍으로 도시가 완전히 파괴되었다.</t>
  </si>
  <si>
    <t>devastating</t>
  </si>
  <si>
    <t>파괴적</t>
  </si>
  <si>
    <t>The news of the company's bankruptcy was devastating to its employees.
회사 파산 소식은 직원들에게 큰 충격을 주었다.</t>
  </si>
  <si>
    <t>developed</t>
  </si>
  <si>
    <t>도달한, 발전된, 성숙한</t>
  </si>
  <si>
    <t>The company has developed a new marketing strategy to increase sales.
회사에서는 매출을 늘리기 위해 새로운 마케팅 전략을 개발했습니다.</t>
  </si>
  <si>
    <t>deviating</t>
  </si>
  <si>
    <t>도피하는, 벗어나다, 비정상적인</t>
  </si>
  <si>
    <t>The new policy has been criticized for deviating from the original goals of the program.
새로운 정책은 원래 프로그램의 목표에서 벗어난 것으로 비판받고 있다.</t>
  </si>
  <si>
    <t>devote</t>
  </si>
  <si>
    <t>시간을 바치다, 헌신하다, 헌납하다</t>
  </si>
  <si>
    <t>She devoted her life to helping others.
그녀는 다른 사람들을 도와주기 위해 자신의 삶을 바쳤다.</t>
  </si>
  <si>
    <t>devouring</t>
  </si>
  <si>
    <t>식욕, 집요하게, 열정적으로</t>
  </si>
  <si>
    <t>The crowd was devouring the last few rows of seats as the concert began.
관중들이 콘서트가 시작되자 마지막 ряд의 좌석을 집요하게 먹어치웠다.</t>
  </si>
  <si>
    <t>diagnosed</t>
  </si>
  <si>
    <t>진단된, 진단, 병이 있는</t>
  </si>
  <si>
    <t>The doctor diagnosed the patient with a rare disease.
의사는 환자에게 희귀한 병을 진단했다.</t>
  </si>
  <si>
    <t>diaphanous</t>
  </si>
  <si>
    <t>투명한, 얇은, 불그레한</t>
  </si>
  <si>
    <t>The curtains were diaphanous, allowing the sunlight to filter through.
커튼은 투명한 것이어서 햇빛이 걸쳐 들어왔다.</t>
  </si>
  <si>
    <t>differed</t>
  </si>
  <si>
    <t>차이, 다른 점, 분위기</t>
  </si>
  <si>
    <t>Their opinions on the new policy differed significantly.
그들은 새로운 정책에 대해 크게 다른 의견을 가지고 있었다.</t>
  </si>
  <si>
    <t>differentiation</t>
  </si>
  <si>
    <t>분기, 차별화, 차이</t>
  </si>
  <si>
    <t>The company's marketing strategy focused on product differentiation to stand out in a crowded market.
회사 마케팅 전략은 제품 차별화를 통해 혼잡한 시장에서 자신을 드러내는 데 중점을 두고 있었다.</t>
  </si>
  <si>
    <t>diffident</t>
  </si>
  <si>
    <t>절약하는, 조심하는, 조심스러운</t>
  </si>
  <si>
    <t>She was a diffident speaker who rarely expressed her opinions in public.
그녀는 대중 앞에서 자신의 의견을 드러내는 것을 조심스럽게 여겼다.</t>
  </si>
  <si>
    <t>diffused</t>
  </si>
  <si>
    <t>확산된, 분산된, 퍼진</t>
  </si>
  <si>
    <t>The light from the lamp diffused through the translucent curtains.
등불의 빛은 투명한 커튼을 통해 퍼졌다.</t>
  </si>
  <si>
    <t>dignified</t>
  </si>
  <si>
    <t>우호적, 존중스러운, 고상한</t>
  </si>
  <si>
    <t>She maintained a dignified silence throughout the ordeal.
그녀는 그 상황에서 고상한 침묵을 유지했다.</t>
  </si>
  <si>
    <t>dilatory</t>
  </si>
  <si>
    <t>지연적인, 지체적인, 시간을 끄는</t>
  </si>
  <si>
    <t>The court's dilatory tactics have delayed the trial for months.
법정의 지연적인 전략으로 인해 재판은 수개월 동안 지연되었다.</t>
  </si>
  <si>
    <t>dilemmas</t>
  </si>
  <si>
    <t>고민, 갈등, 어려운 선택</t>
  </si>
  <si>
    <t>She faced a series of dilemmas in her career, weighing the pros and cons of each option.
그녀는 직장에서 여러 가지 고민을 만나며 각 옵션의 장단점을 비교했다.</t>
  </si>
  <si>
    <t>disavow</t>
  </si>
  <si>
    <t>거부하다, 부인하다, 거짓으로 주장하다</t>
  </si>
  <si>
    <t>She disavowed any involvement in the scandal.
그녀는 그 사건과 관련이 없다고 거부했다.</t>
  </si>
  <si>
    <t>disbanded</t>
  </si>
  <si>
    <t>해체된, 해산된, 활동을 중단한</t>
  </si>
  <si>
    <t>The company disbanded its marketing department due to financial difficulties.
회사에서는 재정난으로 인해 마케팅 부서를 해체했다.</t>
  </si>
  <si>
    <t>discard</t>
  </si>
  <si>
    <t>버리다, 폐기하다, 무시하다</t>
  </si>
  <si>
    <t>She decided to discard the old book and buy a new one.
그녀는 오래된 책을 버리고 새로운 책을 사기로 결정했다.</t>
  </si>
  <si>
    <t>discern</t>
  </si>
  <si>
    <t>판단하다, 구별하다, 분별하다</t>
  </si>
  <si>
    <t>She struggled to discern the speaker's tone from the written text.
그녀는 글로 적힌 텍스트에서 연사자의 톤을 구별하기 어려웠다.</t>
  </si>
  <si>
    <t>discharges</t>
  </si>
  <si>
    <t>해체, 방출, 출하</t>
  </si>
  <si>
    <t>The factory's discharges of toxic chemicals into the river were a major environmental concern.
공장에서 유해 화학 물질을 강으로 방출하는 것은 환경 문제였다.</t>
  </si>
  <si>
    <t>disciplines</t>
  </si>
  <si>
    <t>학문, 분야, 규율</t>
  </si>
  <si>
    <t>The university offers a wide range of disciplines in the arts and sciences.
대학은 예술과 과학의 다양한 분야를 제공합니다.</t>
  </si>
  <si>
    <t>disclosed</t>
  </si>
  <si>
    <t>비밀을 밝힌 것, 공개된 정보, 밝혀진 사실</t>
  </si>
  <si>
    <t>The company disclosed the financial data to the public.
회사에서는 공공에 재무 데이터를 공개했다.</t>
  </si>
  <si>
    <t>disconcerted</t>
  </si>
  <si>
    <t>무력감을 느끼다, 당황하다, 혼란스럽다</t>
  </si>
  <si>
    <t>The sudden noise disconcerted the audience, causing them to lose their train of thought.
갑작스러운 소음이 관객들을 당황하게 하여 그들의 생각을 잃게 했다.</t>
  </si>
  <si>
    <t>disconnected</t>
  </si>
  <si>
    <t>분리된, 연결되지 않은, 불연결된</t>
  </si>
  <si>
    <t>The internet connection was disconnected due to a power outage.
인터넷 연결이 전원 차단으로 인해 끊겼다.</t>
  </si>
  <si>
    <t>disconsolately</t>
  </si>
  <si>
    <t>우울하게, 슬픔에 빠져, 비참하게</t>
  </si>
  <si>
    <t>She wandered disconsolately through the empty streets, lost in thought.
그녀는 생각에 잠겨 비어 있는 거리를 우울하게 걸어 다녔다.</t>
  </si>
  <si>
    <t>discordant</t>
  </si>
  <si>
    <t>부조화의, 불일치의, 불협화음의</t>
  </si>
  <si>
    <t>The music was discordant and clashed with the rest of the symphony.
음악은 다른 모든 합주단과 불일치했다.</t>
  </si>
  <si>
    <t>discussed</t>
  </si>
  <si>
    <t>토론한 것, 논의된 것, 논의한 내용</t>
  </si>
  <si>
    <t>The team discussed the project's budget and timeline.
팀은 프로젝트 예산과 일정을 논의했다.</t>
  </si>
  <si>
    <t>disengagement</t>
  </si>
  <si>
    <t>사면탈퇴, 해임, 해체</t>
  </si>
  <si>
    <t>The company's disengagement from the project was a major setback for the team.
회사측의 이 프로젝트에서 철수하는 것이 팀에 큰 타격이 되었다.</t>
  </si>
  <si>
    <t>disgracing</t>
  </si>
  <si>
    <t>부도덕하다, 비하하다, 수치심을 주다</t>
  </si>
  <si>
    <t>The scandal was disgracing the entire company.
이 스캔들은 회사 전체를 수치심을 주고 있었다.</t>
  </si>
  <si>
    <t>dismal</t>
  </si>
  <si>
    <t>어둡다, 비참한, 불행한</t>
  </si>
  <si>
    <t>The city's dismal economic prospects made it an unattractive place to invest.
도시의 어둡은 경제 전망이 투자하기에 흥미로운 장소가 아니었다.</t>
  </si>
  <si>
    <t>dismisses</t>
  </si>
  <si>
    <t>해고하다, 무시하다, 거부하다</t>
  </si>
  <si>
    <t>The judge dismisses the case due to lack of evidence.
판사는 증거가 부족한 이유로 사안을 무효로 한다.</t>
  </si>
  <si>
    <t>disparaging</t>
  </si>
  <si>
    <t>비하하는, 비하의, 비하스러운</t>
  </si>
  <si>
    <t>The comedian's jokes were often disparaging towards politicians.
코미디언의 농담은 종종 정치인들을 비하하는 농담이었다.</t>
  </si>
  <si>
    <t>dispersed</t>
  </si>
  <si>
    <t>분산된, 흩어져 있는, 분산되다</t>
  </si>
  <si>
    <t>The crowd dispersed quickly after the fire alarm sounded.
화재 경보가 울리자 사람들은 급히 흩어졌다.</t>
  </si>
  <si>
    <t>displace</t>
  </si>
  <si>
    <t>1.  - 다른 곳으로 옮기다, 지리적으로 밀치다, 
2.  - 다른 곳으로 옮겨진 사람이나 물건, 
3.  - 다른 사람으로 대체하다</t>
  </si>
  <si>
    <t>The earthquake will displace thousands of people from their homes.
지진으로 수천 명의 사람들이 집에서 쫓겨날 것이다.</t>
  </si>
  <si>
    <t>displayed</t>
  </si>
  <si>
    <t>표시된 것, 보여진 것, 화면에 나타난 것</t>
  </si>
  <si>
    <t>The company's financial reports were displayed on the website.
회사 재무 보고서가 웹사이트에 나타났습니다.</t>
  </si>
  <si>
    <t>displaying</t>
  </si>
  <si>
    <t>표시하는, 보여주다, 화면에 나타내다</t>
  </si>
  <si>
    <t>The company is displaying its new products at the trade show.
회사에서는 전시회에서 새로운 제품을 보여주고 있습니다.</t>
  </si>
  <si>
    <t>displays</t>
  </si>
  <si>
    <t>표시, 전시, 디스플레이</t>
  </si>
  <si>
    <t>The new store displays a wide variety of products.
새로운 매장에는 다양한 제품들을 전시하고 있습니다.</t>
  </si>
  <si>
    <t>disposable</t>
  </si>
  <si>
    <t>가치 없는 것, 사용 후 폐기하는 물건, 일회용품</t>
  </si>
  <si>
    <t>The plastic cup is disposable.
플라스틱 컵은 일회용이다.</t>
  </si>
  <si>
    <t>disproportionately</t>
  </si>
  <si>
    <t>비례하지 않게, 비례하지 않음, 비례하지 않은 정도</t>
  </si>
  <si>
    <t>The city's wealth was disproportionately distributed among its residents.
도시의 부는 주민들 사이에 비례하지 않게 분배되었다.</t>
  </si>
  <si>
    <t>disproved</t>
  </si>
  <si>
    <t>1. 거짓으로 증명한 것 , 2. 부정한 것 , 3. 틀린 것으로 밝혀진 것</t>
  </si>
  <si>
    <t>The new evidence has disproved the long-held theory.
새로운 증거가 오래된 이론을 부정했다.</t>
  </si>
  <si>
    <t>disqualifying</t>
  </si>
  <si>
    <t>부적격화하는, 부적격, 불합격, 불합격 요인, 불합격 사유</t>
  </si>
  <si>
    <t>The company's financial troubles were a disqualifying factor in their bid for the contract.
회사 재정난은 그들의 계약 신청에서 불합격 요인이 되었다.</t>
  </si>
  <si>
    <t>disrupted</t>
  </si>
  <si>
    <t>파괴된, 중단된, 혼란스러운</t>
  </si>
  <si>
    <t>The meeting was disrupted by a sudden power outage.
회의는 갑자기 전기가 끊겨 중단되었다.</t>
  </si>
  <si>
    <t>dissuade</t>
  </si>
  <si>
    <t>유혹하지 않게 하다, 설득하지 않게 하다, 반대하는 말로 막다</t>
  </si>
  <si>
    <t>The company's financial advisors tried to dissuade the CEO from investing in the risky project.
회사 금융 자문위원들은 CEO가 위험한 프로젝트에 투자하는 것을 막으려 했다.</t>
  </si>
  <si>
    <t>distinct</t>
  </si>
  <si>
    <t>분명한, 구별되는, 명확한</t>
  </si>
  <si>
    <t>The two artists have distinct styles in their paintings.
두 예술가의 그림은 서로 다른 스타일을 가지고 있다.</t>
  </si>
  <si>
    <t>distinguishes</t>
  </si>
  <si>
    <t>구별한다, 구분한다, 차별한다</t>
  </si>
  <si>
    <t>The new policy distinguishes between full-time and part-time employees.
새 정책은 정기직과 비정기직을 구별한다.</t>
  </si>
  <si>
    <t>distract</t>
  </si>
  <si>
    <t>분산시키다, 방해하다, 분산시키는 것</t>
  </si>
  <si>
    <t>The noise from the construction site was distracting her from her work.
건설 현장에서 나는 소음이 그녀의 일과를 방해했다.</t>
  </si>
  <si>
    <t>diverge</t>
  </si>
  <si>
    <t>분기, 분산, 다른 방향으로 갈라지는 것</t>
  </si>
  <si>
    <t>The two paths will diverge at the fork in the road.
길이 갈라지는 곳에서 두 길은 분기한다.</t>
  </si>
  <si>
    <t>divesting</t>
  </si>
  <si>
    <t>분할, 매각, 해임</t>
  </si>
  <si>
    <t>The company is divesting its struggling department to focus on more profitable areas.
회사에서는 어려움을 겪고 있는 부서를 더 이익이 되는 분야로 집중하기 위해 해임한다.</t>
  </si>
  <si>
    <t>divided</t>
  </si>
  <si>
    <t>분할된, 여러 개로 나누어진, 여러 부분으로 나누어진</t>
  </si>
  <si>
    <t>The country was divided into two parts after the war.
전쟁 후에 그 나라가 두 부분으로 나누어졌다.</t>
  </si>
  <si>
    <t>divulged</t>
  </si>
  <si>
    <t>비밀이 드러났다, 비밀을 밝혔다, 공개되었다</t>
  </si>
  <si>
    <t>The company's financial troubles were finally divulged to the public.
회사 재정난이 최종적으로 일반인에게 공개되었다.</t>
  </si>
  <si>
    <t>divulging</t>
  </si>
  <si>
    <t>비밀이 드러나는 것, 비밀을 누설하는 것, 공개하는 것</t>
  </si>
  <si>
    <t>The company was accused of divulging confidential information to the press.
회사에서는 언론에게 비밀 정보를 공개했다고 비난받았다.</t>
  </si>
  <si>
    <t>dodge</t>
  </si>
  <si>
    <t>도망치다, 회피하다, 피하다 , 피할 것 같다 ,</t>
  </si>
  <si>
    <t>She tried to dodge the low-hanging branch as she walked through the forest.
그녀는 숲을 걸으면서 저항하는 가지를 피하려고 했다.</t>
  </si>
  <si>
    <t>dropped</t>
  </si>
  <si>
    <t>감각, 떨어진 것, 떨어뜨린 것</t>
  </si>
  <si>
    <t>The ball was dropped by the player.
선수에 의해 공이 떨어졌다.</t>
  </si>
  <si>
    <t>drudgery</t>
  </si>
  <si>
    <t>노동의 지루함, 지루한 일, 무거운 책임</t>
  </si>
  <si>
    <t>The daily routine of a factory worker was a drudgery that she had grown accustomed to over the years.
공장 근로자의 일상은 몇 년 동안 익숙해진 지루한 일이었다.</t>
  </si>
  <si>
    <t>duplicated</t>
  </si>
  <si>
    <t>복제된 것, 중복된 것, 동일한 것</t>
  </si>
  <si>
    <t>The data was duplicated during the transfer process.
데이터가 전송 과정에서 복제되었다.</t>
  </si>
  <si>
    <t>duplicitous</t>
  </si>
  <si>
    <t>사기꾼적, 이중적, 속이 두 번 있는</t>
  </si>
  <si>
    <t>The politician's duplicitous stance on the issue was widely criticized by the media.
그 정치인의 이 문제에 대한 사기꾼적 입장은 언론으로부터 널리 비판을 받았다.</t>
  </si>
  <si>
    <t>durable</t>
  </si>
  <si>
    <t>장수성, 내구성, 견고한</t>
  </si>
  <si>
    <t>The new smartphone is designed to be durable and withstand rough handling.
새로운 스마트폰은 내구성이 뛰어나고 거칠게 다루어도 견딜 수 있다.</t>
  </si>
  <si>
    <t>duty</t>
  </si>
  <si>
    <t>공무, 의무, 책임</t>
  </si>
  <si>
    <t>She felt a sense of duty to help those in need.
그녀는 도움이 필요한 사람들을 돕는 의무를 느꼈다.</t>
  </si>
  <si>
    <t>dwindled</t>
  </si>
  <si>
    <t>감소하다, 줄어들다, 약해지다</t>
  </si>
  <si>
    <t>The company's profits have dwindled over the past year.
지난 한 해 동안 회사 수익이 줄어들었다.</t>
  </si>
  <si>
    <t>earnest</t>
  </si>
  <si>
    <t>정직한, 진심으로, 진중한</t>
  </si>
  <si>
    <t>She made an earnest attempt to learn the new language.
그녀는 새로운 언어를 배울려고 진심으로 노력했다.</t>
  </si>
  <si>
    <t>ebbs and flows</t>
  </si>
  <si>
    <t>물결과 물결, 물결의 고과와 저하, 물결의 상승과 하강</t>
  </si>
  <si>
    <t>The company's profits have experienced ebbs and flows over the years, but it remains a major player in the industry.
회사 수익은 여러 해 동안 물결과 물결을 겪었지만 여전히 산업의 주요 선수로 남아있다.</t>
  </si>
  <si>
    <t>ebullient</t>
  </si>
  <si>
    <t>활기찬, 열정적인, 기운이 넘치는</t>
  </si>
  <si>
    <t>Her ebullient personality made her a natural leader among her peers.
그녀의 활기찬 성격은 동료들 사이에서 자연스럽게 리더가 되었다.</t>
  </si>
  <si>
    <t>ecstatic</t>
  </si>
  <si>
    <t>기쁨, 열광, 환호</t>
  </si>
  <si>
    <t>She was ecstatic when she heard the news that she had been accepted into her dream college.
그녀는 꿈의 대학에 합격한 소식을 듣고는 기뻤다.</t>
  </si>
  <si>
    <t>effective</t>
  </si>
  <si>
    <t>효과적, 효과적으로, 효과</t>
  </si>
  <si>
    <t>The new policy proved to be effective in reducing crime rates.
새 정책은 범죄율을 줄이는 데 효과적이었다.</t>
  </si>
  <si>
    <t>effects</t>
  </si>
  <si>
    <t>영향, 결과, 효과</t>
  </si>
  <si>
    <t>The new policy will have a significant impact on the economy.
새 정책은 경제에 큰 영향을 미칠 것이다.</t>
  </si>
  <si>
    <t>eliminate</t>
  </si>
  <si>
    <t>삭제하다, 없애다, 제거하다,</t>
  </si>
  <si>
    <t>The company will eliminate the redundant positions to reduce costs.
회사에서는 비용을 줄이기 위해 불필요한 직책을 삭제할 것입니다.</t>
  </si>
  <si>
    <t>eliminated</t>
  </si>
  <si>
    <t>삭제된 것, 제외된 것, 없어진 것</t>
  </si>
  <si>
    <t>The company eliminated the redundant department to cut costs.
회사에서는 비용을 절감하기 위해 불필요한 부서를 삭제했다.</t>
  </si>
  <si>
    <t>ellipsis</t>
  </si>
  <si>
    <t>점도, 생략, 말미점</t>
  </si>
  <si>
    <t>The professor's lecture ended abruptly with an ellipsis, leaving the students confused.
교수님의 강의는 갑자기 점을 찍고 끝나면서 학생들은 혼란스러웠다.</t>
  </si>
  <si>
    <t>eloquent</t>
  </si>
  <si>
    <t>명랑한, 유명한, 화려한</t>
  </si>
  <si>
    <t>The professor's eloquent explanation of the complex theory made it easy to understand.
교수님의 명랑한 설명으로 복잡한 이론을 이해하기 쉬웠다.</t>
  </si>
  <si>
    <t>elusive</t>
  </si>
  <si>
    <t>도피의, 도망치는, 찾기 어려운</t>
  </si>
  <si>
    <t>The truth about her past remained elusive, and she refused to discuss it.
그녀의 과거에 대한 진실은 찾기 어려웠고, 그녀는 그것에 대해 논의하기를 거부했다.</t>
  </si>
  <si>
    <t>embedded</t>
  </si>
  <si>
    <t>장착된, 내장된, 내재된</t>
  </si>
  <si>
    <t>The software is embedded in the computer's operating system.
소프트웨어는 운영 체제에 내장되어 있습니다.</t>
  </si>
  <si>
    <t>embodiments</t>
  </si>
  <si>
    <t>체계, 구현, 실체</t>
  </si>
  <si>
    <t>The company's commitment to sustainability is a key embodiment of its corporate values.
이 회사의 지속가능성에 대한 약속은 회사의 기업 가치관의 핵심을 나타내는 것이다.</t>
  </si>
  <si>
    <t>embrace</t>
  </si>
  <si>
    <t>감싸다, 사랑, 포용</t>
  </si>
  <si>
    <t>She stood there, arms open wide, ready to embrace him.
그녀는 arms를 벌려서 그를 맞이할 준비를 하고 있었다.</t>
  </si>
  <si>
    <t>embraced</t>
  </si>
  <si>
    <t>감싸고 있는 것, 포용, 받아들인 것</t>
  </si>
  <si>
    <t>She had always been a bit of a rebel, but her parents had finally begun to embrace her individuality.
그녀는 늘 조금씩 반항적인 성격이었지만, 그녀의 부모님은 그녀의 독특한 성격을 받아들여서 시작했다.</t>
  </si>
  <si>
    <t>embraces</t>
  </si>
  <si>
    <t>감싸고 있는 것, 포옹, 받아들이다</t>
  </si>
  <si>
    <t>The company's new policy embraces the idea of work-life balance.
회사 정책은 일과 삶의 균형을 받아들이고 있습니다.</t>
  </si>
  <si>
    <t>eminent</t>
  </si>
  <si>
    <t>명성있는, 위대한, 유명한</t>
  </si>
  <si>
    <t>The university's president is an eminent scholar in her field.
대학장님은 그녀의 분야에서 위대한 학자입니다.</t>
  </si>
  <si>
    <t>emission</t>
  </si>
  <si>
    <t>배출, 방출, 배기가스</t>
  </si>
  <si>
    <t>The factory's emission of toxic chemicals exceeded safety limits.
공장의 유해 화학물질 배기가스량이 안전한 한계를 넘었다.</t>
  </si>
  <si>
    <t>encounter</t>
  </si>
  <si>
    <t>난관, 만남, 마주침</t>
  </si>
  <si>
    <t>She encountered a stranger on the street who offered her a ride.
그녀는 거리에 있는 낯선 사람을 만나 차를 타러 주는 사람을 만났다.</t>
  </si>
  <si>
    <t>encrypt</t>
  </si>
  <si>
    <t>암호화하다, 암호, 보안</t>
  </si>
  <si>
    <t>The company encrypts all customer data to protect it from hackers.
회사에서는 고객 데이터를 해커로부터 보호하기 위해 모든 고객 데이터를 암호화합니다.</t>
  </si>
  <si>
    <t>endorse</t>
  </si>
  <si>
    <t>추천하다, 지지하다, 승인하다</t>
  </si>
  <si>
    <t>The company will endorse the new product at the upcoming trade show.
회사에서는。</t>
  </si>
  <si>
    <t>endorsed</t>
  </si>
  <si>
    <t>권장된, 승인된, 지지한</t>
  </si>
  <si>
    <t>The company's new product was endorsed by several well-known celebrities.
회사 제품은 여러 유명인사가 지지했다.</t>
  </si>
  <si>
    <t>endorses</t>
  </si>
  <si>
    <t>승인하다, 지지하다, 추천하다</t>
  </si>
  <si>
    <t>The company endorses the new product line.
회사에서는 새로운 제품 라인을 지지합니다.</t>
  </si>
  <si>
    <t>endure</t>
  </si>
  <si>
    <t>가장난감, 참다, 견디다</t>
  </si>
  <si>
    <t>She had to endure the long, grueling hours of her internship.
그녀는 오랜 시간의 인턴십을 참아야 했다.</t>
  </si>
  <si>
    <t>enervated</t>
  </si>
  <si>
    <t>피곤한, 지치다, 에너지를 잃은</t>
  </si>
  <si>
    <t>The prolonged illness left her enervated and unable to perform even the simplest tasks.
장기간의 병이 그녀를 지치게 하고, 심플한 업무조차도 수행할 수 없었다.</t>
  </si>
  <si>
    <t>enforced</t>
  </si>
  <si>
    <t>강제된, 강요된, 법으로 규정된</t>
  </si>
  <si>
    <t>The new traffic law was enforced nationwide last week.
새로운 교통법은 지난 주 전국적으로 강제되었습니다.</t>
  </si>
  <si>
    <t>engaging</t>
  </si>
  <si>
    <t>활기찬, 매력적인, 흥미진진한</t>
  </si>
  <si>
    <t>The professor's lectures were engaging, making the students feel like they were learning something new every day.
교수님의 강의는 흥미진진했기 때문에 학생들은 매일 새로운 것을 배울 것처럼 느꼈다.</t>
  </si>
  <si>
    <t>engrossed</t>
  </si>
  <si>
    <t>독중하다, 집중하다, 흥미를 느끼다</t>
  </si>
  <si>
    <t>She was engrossed in the novel, reading it for hours on end.
그녀는 소설에 완전히 빠져서 몇 시간 동안 읽었다.</t>
  </si>
  <si>
    <t>enigmatic</t>
  </si>
  <si>
    <t>비밀스러운, 의아한, 모호한</t>
  </si>
  <si>
    <t>The artist's latest sculpture was an enigmatic work that left viewers pondering its meaning.
가수님의 최근 조각은 관람객들에게 의미를 추측하도록 하는 의아한 작품이었다.</t>
  </si>
  <si>
    <t>enmeshed</t>
  </si>
  <si>
    <t>망연실에 빠진, 얽매여 있는, 얽히고 설킨</t>
  </si>
  <si>
    <t>The couple's complicated past was enmeshed with their current relationship, making it difficult to distinguish between the two.
그들의 복잡한 과거가 현재의 관계와 얽혀 있어 두 가지를 구분하기 어려웠다.</t>
  </si>
  <si>
    <t>ennui</t>
  </si>
  <si>
    <t>지루함, 우울감, 무기력</t>
  </si>
  <si>
    <t>The monotony of her daily routine had given way to a deep sense of ennui.
일상 생활의 지루함은 깊은 우울감으로 바뀌었다.</t>
  </si>
  <si>
    <t>enriched</t>
  </si>
  <si>
    <t>부유하다, 풍부하다, 개선된</t>
  </si>
  <si>
    <t>The new curriculum is designed to enrich students' understanding of science and technology.
새로운 교과서는 학생들이 과학과 기술에 대한 이해를 풍부하게 하기 위해 설계되었습니다.</t>
  </si>
  <si>
    <t>enroll</t>
  </si>
  <si>
    <t>등록하다, 등록, 학생으로 등록하다</t>
  </si>
  <si>
    <t>She decided to enroll in a cooking class to learn new recipes.
그녀는 새로운 레시피를 배울 수 있는 요리 수업에 등록하기로 결정했다.</t>
  </si>
  <si>
    <t>enter</t>
  </si>
  <si>
    <t>입장, 들어가다,</t>
  </si>
  <si>
    <t>She carefully entered the room without making a sound.
그녀는 소리 없이 방에 들어갔다.</t>
  </si>
  <si>
    <t>enumerated</t>
  </si>
  <si>
    <t>정리된, 나열된, 명시된</t>
  </si>
  <si>
    <t>The company enumerated its financial losses in the quarterly report.
회사에서는 분기보고서에서 재정 손실을 나열했다.</t>
  </si>
  <si>
    <t>envisioned</t>
  </si>
  <si>
    <t>계획된, 상상된, 예상된</t>
  </si>
  <si>
    <t>She envisioned a future where technology and nature coexisted in harmony.
그녀는 기술과 자연이 조화롭게 공존하는 미래를 상상했다.</t>
  </si>
  <si>
    <t>episode</t>
  </si>
  <si>
    <t>시즌, 사건, 에피소드</t>
  </si>
  <si>
    <t>The new TV series has been a huge success, with each episode ending on a cliffhanger.
새로운 TV 시리즈는 각 에피소드가 클라이맥스에 끝나면서 엄청난 성공을 거두고 있다.</t>
  </si>
  <si>
    <t>equalize</t>
  </si>
  <si>
    <t>평준화하다, 균등하게 하다, 평등하게 하다</t>
  </si>
  <si>
    <t>The company aims to equalize the pay gap between its male and female employees.
회사에서는 남성과 여성 직원 간의 급여 격차를 평준화하려고 한다.</t>
  </si>
  <si>
    <t>equivalent</t>
  </si>
  <si>
    <t>동등한, 등가, 대응</t>
  </si>
  <si>
    <t>The new policy is equivalent to a tax increase.
새 정책은 세금 인상과 동등하다.</t>
  </si>
  <si>
    <t>eradicable</t>
  </si>
  <si>
    <t>1.  -  -  
2.  -  -  
3.  -  -</t>
  </si>
  <si>
    <t>The disease is considered eradicable with the new treatment.
새로운 치료법으로 이 병은 치료할 수 있는 것으로 간주된다.</t>
  </si>
  <si>
    <t>eradicate</t>
  </si>
  <si>
    <t>파괴하다, 제거하다, 완전히 없애다</t>
  </si>
  <si>
    <t>The government has vowed to eradicate poverty and inequality in the next five years.
정부는 다음 5년 동안 빈곤과 불평등을 완전히 없애겠다고 약속했다.</t>
  </si>
  <si>
    <t>eradicated</t>
  </si>
  <si>
    <t>삭제된, 소멸된, 완전히 사라진</t>
  </si>
  <si>
    <t>The disease has been eradicated from the country.
그 나라에서 병이 완전히 사라졌다.</t>
  </si>
  <si>
    <t>errant</t>
  </si>
  <si>
    <t>도망치는, 방랑하는, 잘못된</t>
  </si>
  <si>
    <t>The errant bullet ricocheted off the wall.
잘못된 총알이 벽에서 반사되었다.</t>
  </si>
  <si>
    <t>escape</t>
  </si>
  <si>
    <t>탈출, 도망치다, 자유로</t>
  </si>
  <si>
    <t>The fire alarm sounded, and the children quickly escaped from the burning building.
화재 경보가 울리자 아이들은 급히 불타는 건물에서 탈출했다.</t>
  </si>
  <si>
    <t>escaped</t>
  </si>
  <si>
    <t>탈출한, 탈출하다, 탈출, 탈출한 사람, 탈출한 상태,</t>
  </si>
  <si>
    <t>The prisoner managed to escape from the heavily guarded prison.
수감자가 강경하게 경비가 되어 있는 감옥에서 탈출했다.</t>
  </si>
  <si>
    <t>escorted</t>
  </si>
  <si>
    <t>기사, 동행, 보호받다</t>
  </si>
  <si>
    <t>The tourists were escorted to the hotel by the tour guide.
관광객들은 여행 가이드에 의해 호텔로 동행되었습니다.</t>
  </si>
  <si>
    <t>essential</t>
  </si>
  <si>
    <t>기본적인, 필수적인, 중대한</t>
  </si>
  <si>
    <t>The new employee's ability to speak the company language is essential for her job.
새로운 직원의 회사 언어를 구사할 수 있는 능력은 그녀의 직업에 필수적이다.</t>
  </si>
  <si>
    <t>euthanasia</t>
  </si>
  <si>
    <t>자살, 인공적 죽음, 인공적으로 죽이기</t>
  </si>
  <si>
    <t>The doctor explained to the patient's family that euthanasia was an option, but it was a complex and difficult decision.
의사는 환자의 가족에게 자살이 옵션이라고 설명했지만 그것은 복잡하고 어려운 결정이었다고 말했다.</t>
  </si>
  <si>
    <t>evacuate</t>
  </si>
  <si>
    <t>긴급히 피난시키다, 피난하도록 명령하다, 비상사태로 인한 대피</t>
  </si>
  <si>
    <t>The authorities ordered the residents to evacuate the area immediately due to the impending hurricane.
당국은 임박한 허리케인으로 인해 주민들에게 즉시 지역을 피난시키도록 명령했다.</t>
  </si>
  <si>
    <t>evacuated</t>
  </si>
  <si>
    <t>거주자, 피난, 비상탈출</t>
  </si>
  <si>
    <t>The city was evacuated due to the approaching hurricane.
도시가 허리케인으로부터 피난했다.</t>
  </si>
  <si>
    <t>evaluated</t>
  </si>
  <si>
    <t>평가 받았음, 평가한, 평가된</t>
  </si>
  <si>
    <t>The company's financial performance has been thoroughly evaluated by the investors.
투자자들에 의해 회사 재무 성과가 철저히 평가 받았습니다.</t>
  </si>
  <si>
    <t>evasive</t>
  </si>
  <si>
    <t>회피하는, 피하거나 회피하는, 회피적인</t>
  </si>
  <si>
    <t>The politician's evasive answers to the journalist's tough questions only fueled public skepticism.
정치인의 기자에게서 힘든 질문에 대해 회피하는 대답은 대중의 의심을 더욱 증폭시켰다.</t>
  </si>
  <si>
    <t>evict</t>
  </si>
  <si>
    <t>거주권 박탈하다, 강제로 집에서 쫓아내다, 강제로 임대 계약 해지시키다</t>
  </si>
  <si>
    <t>The landlord threatened to evict the tenants if they didn't pay the rent on time.
임대인들은 임차인들이 정해진 시간에 임대료를 지불하지 않으면 강제로 쫓아내겠다고 위협했다.</t>
  </si>
  <si>
    <t>evicted</t>
  </si>
  <si>
    <t>거주권 박탈된 사람, 강제로 집을 떠나게 한 사람, 강제로 집을 떠나게 한 일</t>
  </si>
  <si>
    <t>The family was evicted from their home after falling behind on their mortgage payments.
가족은 이자 지불을 못해 집에서 강제로 쫓겨났다.</t>
  </si>
  <si>
    <t>exacerbate</t>
  </si>
  <si>
    <t>1.  증폭하다, 악화시키다,  악화된
2.  증폭시키다,  증폭</t>
  </si>
  <si>
    <t>The pollution in the city will exacerbate the respiratory problems of its residents.
도시의 오염은 주민들의 호흡기 질환을 악화시킬 것이다.</t>
  </si>
  <si>
    <t>excavated</t>
  </si>
  <si>
    <t>발굴된 것, 파묻힌 것을 발굴한 것, 지하에 묻힌 것을 찾아낸 것</t>
  </si>
  <si>
    <t>The archaeologists excavated the ancient city, uncovering a wealth of artifacts and historical records.
고고학자들은 고대 도시를 발굴하여 많은 유물과 역사 기록을 발견했다.</t>
  </si>
  <si>
    <t>excerpt</t>
  </si>
  <si>
    <t>구절, 요약, 선택된 부분</t>
  </si>
  <si>
    <t>The author chose an excerpt from the novel to read aloud at the book club meeting.
작가가 책클럽 회의에서 낭독하기 위해 소설의 구절을 선택했다.</t>
  </si>
  <si>
    <t>exchanges</t>
  </si>
  <si>
    <t>교환, 거래, 교환물</t>
  </si>
  <si>
    <t>The company will hold annual stockholders' meetings to facilitate exchanges between investors and management.
회사에서는 매년 주주총회를 개최하여 투자자와 경영진 간의 교환을 촉진합니다.</t>
  </si>
  <si>
    <t>excluded</t>
  </si>
  <si>
    <t>배제된, 제외된, 배척된</t>
  </si>
  <si>
    <t>The new policy excluded low-income families from participating in the program.
새 정책은 저소득층 가족이 프로그램에 참여하지 못하도록 배제했다.</t>
  </si>
  <si>
    <t>excruciating</t>
  </si>
  <si>
    <t>고통스럽다, 끔찍한, 극심한</t>
  </si>
  <si>
    <t>The pain was excruciating, and she couldn't even cry.
고통은 끔찍했으며 그녀는 thậm히 울지도 못했다.</t>
  </si>
  <si>
    <t>exempt</t>
  </si>
  <si>
    <t>면제, 면제권, 면제자</t>
  </si>
  <si>
    <t>The new tax law exempts low-income families from paying income tax.
새로운 세법은 저소득층 가족에게 소득세를 납부하지 않도록 면제합니다.</t>
  </si>
  <si>
    <t>exempted</t>
  </si>
  <si>
    <t>해외여행자, 군인, 학생 등 특정 인원은 면제된 경우 , 면제된 사람 , 면제된</t>
  </si>
  <si>
    <t>The new tax law exempted low-income families from paying income tax.
새로운 세법은 저소득층 가족에게 소득세를 납부하는 것을 면제했다.</t>
  </si>
  <si>
    <t>exhausted</t>
  </si>
  <si>
    <t>피곤한, 지친, 고갈된</t>
  </si>
  <si>
    <t>She looked exhausted after working two jobs for months.
그녀는 두 개의 일자리를 한 달 동안 하다보니 매우 피곤한 표정을 지었다.</t>
  </si>
  <si>
    <t>exhaustive</t>
  </si>
  <si>
    <t>정확한, 완전한, 포괄적인</t>
  </si>
  <si>
    <t>The new encyclopedia is an exhaustive reference work on modern art.
새로운 백과사전은 현대 미술에 대한 포괄적인 참고 자료입니다.</t>
  </si>
  <si>
    <t>exhilarating</t>
  </si>
  <si>
    <t>감동적인, 흥분시키는, 재미있는</t>
  </si>
  <si>
    <t>The rollercoaster ride was an exhilarating experience that left me screaming with delight.
롤러코스터는 나를 기쁘게 해 주는 감동적인 경험이었다.</t>
  </si>
  <si>
    <t>exile</t>
  </si>
  <si>
    <t>거주권 박탈자, 추방, 유배</t>
  </si>
  <si>
    <t>The artist was forced into exile after speaking out against the government.
예술가는 정부에 반대하는 말을 한 후 유배되었다.</t>
  </si>
  <si>
    <t>exiled</t>
  </si>
  <si>
    <t>거주권 박탈된 사람, 추방된 사람, 유배된 사람</t>
  </si>
  <si>
    <t>The artist was exiled from her homeland after speaking out against the government.
가수는 정부에 반대하는 말을 한 후 본국에서 추방되었다.</t>
  </si>
  <si>
    <t>existential</t>
  </si>
  <si>
    <t>존재론적, 존재의 문제, 실존주의적</t>
  </si>
  <si>
    <t>The play explores the existential crisis of a young man struggling to find his place in the world.
이 연극은 젊은 남자의 세계에서 자신의 자리를 찾기 위해 싸우는 존재의 위기 문제를 탐구한다.</t>
  </si>
  <si>
    <t>exonerated</t>
  </si>
  <si>
    <t>기소해제된, 무죄판결받은, 책임이 없는</t>
  </si>
  <si>
    <t>The suspect was finally exonerated after DNA evidence proved her innocence.
수사 결과 DNA 증거로 그녀의 무죄가 입증되자 finally 용의자는 기소해제되었다.</t>
  </si>
  <si>
    <t>expand</t>
  </si>
  <si>
    <t>확장하다, 넓히다, 증가하다</t>
  </si>
  <si>
    <t>The company plans to expand its operations into new markets.
회사에서는 새로운 시장으로 사업을 확장할 계획입니다.</t>
  </si>
  <si>
    <t>expanded</t>
  </si>
  <si>
    <t>확장된, 확장, 더 넓은</t>
  </si>
  <si>
    <t>The company has expanded its operations into several new markets.
회사에서는 여러 새로운 시장에 사업을 확장했다.</t>
  </si>
  <si>
    <t>expansive</t>
  </si>
  <si>
    <t>확장적인, 넓은, 광범위한</t>
  </si>
  <si>
    <t>The museum's new wing is an expansive addition to the existing building.
박물관의 새로운 부지는 기존 건물에 확장적인 부분이다.</t>
  </si>
  <si>
    <t>expect</t>
  </si>
  <si>
    <t>예상하다 , 예상 , 기대</t>
  </si>
  <si>
    <t>She expects to graduate at the top of her class.
그녀는 herself의 반에서 1등으로 졸업할 것으로 기대한다.</t>
  </si>
  <si>
    <t>expectedly</t>
  </si>
  <si>
    <t>예상대로, 예상치 못하게, 자연스럽게</t>
  </si>
  <si>
    <t>The news of her resignation came as no surprise, and she left the company expectedly.
그녀의 사임 소식은 놀랍지 않아 예상대로 회사에서 떠났다.</t>
  </si>
  <si>
    <t>expedite</t>
  </si>
  <si>
    <t>급여하다, 속도 높이기, 신속히 처리하다</t>
  </si>
  <si>
    <t>The customs office will expedite the processing of your package if you pay the additional fee.
수입국에서는 추가 요금을 지불하면 패키지 처리를 신속히 처리해 드립니다.</t>
  </si>
  <si>
    <t>expedites</t>
  </si>
  <si>
    <t>급여준다, 속도를 높인다, 신속하게 처리하다</t>
  </si>
  <si>
    <t>The new policy expedites the process of obtaining a visa for foreign workers.
새 정책은 외국인 노동자들이 비자를 얻는 과정을 속도 높여 준다.</t>
  </si>
  <si>
    <t>explicit</t>
  </si>
  <si>
    <t>명시적, 분명한, 구체적</t>
  </si>
  <si>
    <t>The artist's intention was explicit in the painting.
그 화가의 의도는 그림 속에서 명백했다.</t>
  </si>
  <si>
    <t>exploited</t>
  </si>
  <si>
    <t>착취된, 착취하는, 착취당한</t>
  </si>
  <si>
    <t>The company exploited its employees by paying them very low wages.
회사에서는 직원들에게 매우 낮은 급여를 지불하여 착취했다.</t>
  </si>
  <si>
    <t>exposed</t>
  </si>
  <si>
    <t>노출된 것, 노출, 감시 받는 사람</t>
  </si>
  <si>
    <t>The company's financial troubles were exposed in a recent news article.
회사 재정난이 최근 뉴스 기사에서 노출되었다.</t>
  </si>
  <si>
    <t>exposing</t>
  </si>
  <si>
    <t>노출하는 , 노출 , 공개하는</t>
  </si>
  <si>
    <t>The scandal was exposed by a whistleblower.
스캔들은 유출자에 의해 드러났다.</t>
  </si>
  <si>
    <t>exposition</t>
  </si>
  <si>
    <t>설명, 전시, 발표</t>
  </si>
  <si>
    <t>The professor's exposition of the complex theory was clear and concise.
교수님의 복잡한 이론의 설명은 명확하고 간결했다.</t>
  </si>
  <si>
    <t>extenuated</t>
  </si>
  <si>
    <t>가장 흔한 의미로는, 
- 어감이 좋지 않은, 불쾌한 
- 연장된, 지연된</t>
  </si>
  <si>
    <t>The long and tedious explanation was finally extenuated by a concise summary.
긴하고 지루한 설명이 결국 짧은 요약으로 변해갔다.</t>
  </si>
  <si>
    <t>extract</t>
  </si>
  <si>
    <t>추출, 뽑아내다, 추출물</t>
  </si>
  <si>
    <t>The scientist was able to extract the purest form of the rare mineral from the ore.
과학자는 희귀 광물의 순수한 형태를 광석에서 추출할 수 있었다.</t>
  </si>
  <si>
    <t>extradited</t>
  </si>
  <si>
    <t>수출, 추방, 기소</t>
  </si>
  <si>
    <t>The suspect was extradited to the United States to face trial.
수사당국은 미국으로 수출했다.</t>
  </si>
  <si>
    <t>extravagance</t>
  </si>
  <si>
    <t>부리병, 과도한 것, 과장</t>
  </si>
  <si>
    <t>The company's lavish spending on the new headquarters was seen as an extravagance by many of its investors.
회사가 새로운 본사를 위해 과도한 비용을 들인 것은 많은 투자자들에게 부리병으로 여겨졌다.</t>
  </si>
  <si>
    <t>extreme</t>
  </si>
  <si>
    <t>극단적, 극한, 초보적</t>
  </si>
  <si>
    <t>The extreme weather conditions made it difficult for the hikers to navigate the mountain.
극단적인 기후 조건으로 인해객들은 산을 오르기 어려웠다.</t>
  </si>
  <si>
    <t>extricated</t>
  </si>
  <si>
    <t>구출된, 해방된, 분리된</t>
  </si>
  <si>
    <t>The hikers were finally extricated from the wreckage after a long rescue operation.
산악인들은 긴 구조작업 끝에 사고차에서 구출되었다.</t>
  </si>
  <si>
    <t>exuberant</t>
  </si>
  <si>
    <t>활기찬, 열정적인, 열악한</t>
  </si>
  <si>
    <t>The crowd's exuberant cheers filled the entire stadium.
관중의 열정적인 함성이 전체 경기장에 가득했다.</t>
  </si>
  <si>
    <t>fabrication</t>
  </si>
  <si>
    <t>거짓말, 위조, 허위</t>
  </si>
  <si>
    <t>The company was accused of fabrication in their financial reports.
회사에서는 재정 보고서에 거짓말을 한 혐의를 받았다.</t>
  </si>
  <si>
    <t>facetious</t>
  </si>
  <si>
    <t>속물의, 장난스러운, 가벼운</t>
  </si>
  <si>
    <t>Her facetious comment about the new policy was met with groans from the audience.
그녀의 새로운 정책에 대한 장난스러운 bình luận은 관객들로부터 비웃음으로 맞받아 들었다.</t>
  </si>
  <si>
    <t>faint</t>
  </si>
  <si>
    <t>고려할 수 없을 정도로 약한, 의식이 흐려진, 약해진</t>
  </si>
  <si>
    <t>The light in the room began to faint as the power went out.
방 안의 조명은 전기가 끊어지면서 약해지기 시작했다.</t>
  </si>
  <si>
    <t>fallacious</t>
  </si>
  <si>
    <t>사실 오류의, 오류 있는, 잘못된</t>
  </si>
  <si>
    <t>The argument was based on a fallacious assumption that the two events were connected.
그 논쟁은 두 사건이 연결된 것으로 잘못된 가정에 기반을 두고 있었다.</t>
  </si>
  <si>
    <t>faltering</t>
  </si>
  <si>
    <t>부진하는, 약한, 흔들리는</t>
  </si>
  <si>
    <t>The team's faltering performance in the final quarter led to their defeat.
마지막 쿼터에서 팀의 부진한 성적은 패배로 이어졌다.</t>
  </si>
  <si>
    <t>familiarize</t>
  </si>
  <si>
    <t>어울리다, 익히다, 친숙하게 하다</t>
  </si>
  <si>
    <t>She spent several hours familiarizing herself with the new software before the big presentation.
그녀는 큰 발표 전에 새로운 소프트웨어를 익히기 위해 수 시간을 보냈다.</t>
  </si>
  <si>
    <t>fanatical</t>
  </si>
  <si>
    <t>광신적, 열정적, 광기적인</t>
  </si>
  <si>
    <t>The fanatical supporters of the team filled the entire stadium.
그 팀의 광신적인 팬들이 전체 경기장에 가득 채웠다.</t>
  </si>
  <si>
    <t>fastidious</t>
  </si>
  <si>
    <t>고집스러운, 세심한, 까다로운</t>
  </si>
  <si>
    <t>She was a fastidious editor, making sure every detail was perfect.
그녀는 편집자로서 매우 까다롭게 모든 세부사항을 확인했다.</t>
  </si>
  <si>
    <t>faulty</t>
  </si>
  <si>
    <t>장애, 결함, 오류 , 오류가 있는, 결함이 있는</t>
  </si>
  <si>
    <t>The company recalled all the faulty products from the market.
회사에서는 시장에서 모든 오류가 있는 제품을 회수했다.</t>
  </si>
  <si>
    <t>favors</t>
  </si>
  <si>
    <t>권유, 선물, 호의</t>
  </si>
  <si>
    <t>She asked him to do her a favor by picking her up from the airport.
그녀는 공항에서 데려다 줄 것을 부탁했다.</t>
  </si>
  <si>
    <t>fertile</t>
  </si>
  <si>
    <t>땅, 유기체, 생산력, 풍부한, 번식력</t>
  </si>
  <si>
    <t>The valley's fertile soil made it an ideal place for farming.
강원도의 토양이 풍부하여 농업에 적합한 곳이었다.</t>
  </si>
  <si>
    <t>few and far between</t>
  </si>
  <si>
    <t>어느 곳에나 찾아볼 수 없는 것, 드물고 먼 곳에 있는 것, 드문 일</t>
  </si>
  <si>
    <t>Opportunities to work with such a talented team are few and far between.
그런 재능 있는 팀과 일할 기회는 드물고 먼 곳에 있는 것 같다.</t>
  </si>
  <si>
    <t>fickle</t>
  </si>
  <si>
    <t>바보스럽다, 변덕스럽다, 변덕쟁이</t>
  </si>
  <si>
    <t>Her mood was as fickle as the weather, changing from sunny to rainy in an instant.
그녀의 기분은 날씨와 같이 변덕스럽게 바뀌었다.</t>
  </si>
  <si>
    <t>fiddle</t>
  </si>
  <si>
    <t>기차, 피디, 피디 - 기차 : 기차를 타다, 피디 : 피디, 피디 : 속임수, 속임수질</t>
  </si>
  <si>
    <t>She tried to fiddle with the lock, but it wouldn't open.
그녀는 잠금을 조작하려 했지만 열리지 않았다.</t>
  </si>
  <si>
    <t>fifth wheel</t>
  </si>
  <si>
    <t>차량의 뒤쪽에 달린 부수차, 불필요한 사람이나 물건, 사회에서 소외된 사람</t>
  </si>
  <si>
    <t>The new employee was a fifth wheel at the meeting, not contributing anything to the discussion.
회의에서 아무런 기여도 하지 못하는 새로운 직원은 사회에서 소외된 사람이었다.</t>
  </si>
  <si>
    <t>filial</t>
  </si>
  <si>
    <t>자녀의 효도, 효행, 효자</t>
  </si>
  <si>
    <t>The young man's filial devotion to his elderly mother was truly admirable.
그 젊은 남자의 노인 어머니에 대한 효심은 정말로 감탄스럽다.</t>
  </si>
  <si>
    <t>filled in</t>
  </si>
  <si>
    <t>가득 채운, 완성된, 기재된</t>
  </si>
  <si>
    <t>The application form was filled in completely before submitting it.
신청서를 제출하기 전에 완전히 기재했다.</t>
  </si>
  <si>
    <t>finesse</t>
  </si>
  <si>
    <t>정교함, 섬세함, 미묘한 기술</t>
  </si>
  <si>
    <t>She needed to bring a certain finesse to her new role as a diplomat.
그녀는 외교관으로서의 새로운 역할에 대한 정교함을 가져야 했다.</t>
  </si>
  <si>
    <t>finicky</t>
  </si>
  <si>
    <t>고집스러운, 세심한, 고정관념이 강한</t>
  </si>
  <si>
    <t>She's a finicky eater and only eats organic food.
그녀는 고집스러운 식욕을 가지고 오직 유기농 식품만 먹는다.</t>
  </si>
  <si>
    <t>fits</t>
  </si>
  <si>
    <t>1.  - 맞다,  - 맞는,  - 사이즈</t>
  </si>
  <si>
    <t>The new shoes fits perfectly.
새 신발은 완벽하게 맞습니다.</t>
  </si>
  <si>
    <t>fitted</t>
  </si>
  <si>
    <t>정맞다, 맞춤, 맞춤법</t>
  </si>
  <si>
    <t>The new employee was fitted with a company ID badge.
새로 입사한 직원에게 회사 ID 카드를 부여했습니다.</t>
  </si>
  <si>
    <t>flaccid</t>
  </si>
  <si>
    <t>부드러운, 비틀거리는, 비장애적인</t>
  </si>
  <si>
    <t>The skin on his face had become flaccid and wrinkled from years of sun exposure.
얼굴에 햇볕으로 몇 년 동안 피부가 비틀거리게 되었다.</t>
  </si>
  <si>
    <t>flagrant</t>
  </si>
  <si>
    <t>1. 명백한, 뚜렷한 , 2. 명백히 드러난 , 3. 명백히 드러난 잘못</t>
  </si>
  <si>
    <t>The company's flagrant disregard for environmental regulations led to a major scandal.
회사측의 환경규제를 명백히 무시한 잘못이 큰 스캔들로 이어졌다.</t>
  </si>
  <si>
    <t>flailing</t>
  </si>
  <si>
    <t>움직이는 것, 흔들리는 것, 무너지는 것</t>
  </si>
  <si>
    <t>The struggling swimmer was flailing in the water, unable to stay afloat.
수영자가 헤엄치지 못해 물에 흔들리고 있었다.</t>
  </si>
  <si>
    <t>flamboyance</t>
  </si>
  <si>
    <t>기호성, 화려함, 자랑스러움</t>
  </si>
  <si>
    <t>The actor's flamboyance on stage was mesmerizing to the audience.
배우의 무대에서의 기호성은 관객들에게 매혹적이었다.</t>
  </si>
  <si>
    <t>flamboyant</t>
  </si>
  <si>
    <t>색다른, 화려한, 장단점을 드러내는</t>
  </si>
  <si>
    <t>The flamboyant actor's performance was met with both praise and criticism.
화려한 배우의 연기는 찬사와 비판을 동시에 받았다.</t>
  </si>
  <si>
    <t>flattered</t>
  </si>
  <si>
    <t>상상에 못 미치는 것, 자랑거리가 되다, 자랑스럽다</t>
  </si>
  <si>
    <t>She was flattered by the invitation to speak at the conference.
그녀는 회의에 연사로 초청되어 매우 자랑스럽게 느꼈다.</t>
  </si>
  <si>
    <t>flatters</t>
  </si>
  <si>
    <t>칭찬하다, flattery의 동사, flatterer의 명사</t>
  </si>
  <si>
    <t>The politician's flattery of the wealthy donor flatters his own interests.
정치인의 부호에게 하는 칭찬은 그의 이익을 찬양한다.</t>
  </si>
  <si>
    <t>flaunted</t>
  </si>
  <si>
    <t>표시하다, 자랑하다, 자랑스럽게</t>
  </si>
  <si>
    <t>She flaunted her new designer handbag at the party.
그녀는 파티에서 새로 산 고급 핸드백을 자랑했다.</t>
  </si>
  <si>
    <t>flexible</t>
  </si>
  <si>
    <t>가변성, 유연성, 유동성</t>
  </si>
  <si>
    <t>The company's new policy is flexible, allowing employees to work from home one day a week.
회사 정책이 유동적이라서 직원들은 한 주에 한 번 집에서 일할 수 있습니다.</t>
  </si>
  <si>
    <t>flip</t>
  </si>
  <si>
    <t>플립  - 동사 , 명사 , 동사  - 뒤집다, 플립, 뒤집힘</t>
  </si>
  <si>
    <t>She struggled to flip the heavy pancake in the air.
그녀는 무거운 팬케이크를 공중에 뒤집기 위해 애를 썼다.</t>
  </si>
  <si>
    <t>flogged</t>
  </si>
  <si>
    <t>도망치다,을 맞다,을 맞은 사람</t>
  </si>
  <si>
    <t>The prisoner was flogged in the public square.
형사가 공개 장소에서 죄수에게을 맞혔다.</t>
  </si>
  <si>
    <t>flopped</t>
  </si>
  <si>
    <t>1.  - 실패하다, 무너지다,  - 실패한, 무너진
2.  - 실패, 무너짐</t>
  </si>
  <si>
    <t>The new restaurant flopped on its opening night.
새로운 레스토랑은 개장 첫날에 실패했다.</t>
  </si>
  <si>
    <t>florid</t>
  </si>
  <si>
    <t>장식적인, 과장된, 꽃이 피어난</t>
  </si>
  <si>
    <t>The politician's florid language was criticized by the media.
정치인의 장식적인 언어는 언론으로부터 비난을 받았다.</t>
  </si>
  <si>
    <t>flourishing</t>
  </si>
  <si>
    <t>성장하는, 번영하는, 번창하는</t>
  </si>
  <si>
    <t>The city's economy is flourishing, thanks to the influx of new businesses and investments.
도시의 경제가 번영하고 있는 것은 새로운 기업과 투자로 인해 가능한 일이다.</t>
  </si>
  <si>
    <t>fluctuate</t>
  </si>
  <si>
    <t>변동하다, 변하기, 변동성</t>
  </si>
  <si>
    <t>The stock market's value will fluctuate depending on the economic situation.
경제 상황에 따라 주식 시장의 가치가 변동한다.</t>
  </si>
  <si>
    <t>fluke</t>
  </si>
  <si>
    <t>운 , 우연 , 성공</t>
  </si>
  <si>
    <t>She caught a large fish by a fluke, but it was a once-in-a-lifetime experience.
그녀는 운이 좋게 큰 물고기를 잡았지만 그것은 일생에 한 번뿐인 경험이었다.</t>
  </si>
  <si>
    <t>food for thought</t>
  </si>
  <si>
    <t>생각의 식사, 생각의 음식, 생각의 요리</t>
  </si>
  <si>
    <t>The documentary provided some thought-provoking ideas that served as food for thought.
다큐멘터리는 생각을 자극하는 아이디어를 제시하며 생각의 식사를 제공했다.</t>
  </si>
  <si>
    <t>foresee</t>
  </si>
  <si>
    <t>예측하다, 미리 알다, 앞서 알다</t>
  </si>
  <si>
    <t>She tried to foresee the potential problems with the new project.
그녀는 새로운 프로젝트의 잠재적인 문제를 미리 예측하려고 했다.</t>
  </si>
  <si>
    <t>forfeit</t>
  </si>
  <si>
    <t>포기, 벌금, 잃은 것</t>
  </si>
  <si>
    <t>The team was forced to forfeit the game due to a lack of players.
팀은 선수가 부족하여 경기를 포기해야 했다.</t>
  </si>
  <si>
    <t>forged</t>
  </si>
  <si>
    <t>사기된, 위조된, 거짓말한</t>
  </si>
  <si>
    <t>The company was accused of selling forged documents to unsuspecting clients.
회사에서는 사기된 문서를 무심코 구입한 고객들에게 판매한 혐의를 받고 있다.</t>
  </si>
  <si>
    <t>forks</t>
  </si>
  <si>
    <t>기구, 일자, 분기</t>
  </si>
  <si>
    <t>The restaurant provided forks, knives, and spoons for each table.
식당은 각 테이블마다 포크, 나이프, 숟가락을 제공했다.</t>
  </si>
  <si>
    <t>formation</t>
  </si>
  <si>
    <t>구성, 형성, 구조</t>
  </si>
  <si>
    <t>The team's formation was key to their success in the tournament.
팀의 구성은 대회에서 성공에 결정적인 역할을 했다.</t>
  </si>
  <si>
    <t>formulating</t>
  </si>
  <si>
    <t>구성하는, 형식, 계획</t>
  </si>
  <si>
    <t>The company is currently formulating a new marketing strategy to increase sales.
회사에서는 새로운 마케팅 전략을 개발하기 위해 현재 계획을 수립하고 있습니다.</t>
  </si>
  <si>
    <t>fortitude</t>
  </si>
  <si>
    <t>강한 정신력, 내성, 인내력</t>
  </si>
  <si>
    <t>She drew on her fortitude to see her through the darkest moments of her life.
그녀는 그녀의 삶의 가장 어두운 순간을 극복하기 위해 그녀의 내성을 끌어내었다.</t>
  </si>
  <si>
    <t>forward</t>
  </si>
  <si>
    <t>전진, 앞으로, 진행</t>
  </si>
  <si>
    <t>The team moved forward with the new plan.
팀은 새로운 계획에 따라 전진했다.</t>
  </si>
  <si>
    <t>fractious</t>
  </si>
  <si>
    <t>불쾌한, 난폭한, 분란의</t>
  </si>
  <si>
    <t>The child was fractious and refused to eat his dinner.
아이가 불쾌한 성격으로 식사를 거부했다.</t>
  </si>
  <si>
    <t>fragile</t>
  </si>
  <si>
    <t>delicate, easily broken, weak</t>
  </si>
  <si>
    <t>The vase was fragile and easily shattered when dropped.
그릇은 떨어질 때 쉽게 부서지는 것이었다.</t>
  </si>
  <si>
    <t>frantic</t>
  </si>
  <si>
    <t>난폭한, 열심히, 분통난</t>
  </si>
  <si>
    <t>The crowd grew frantic as the fire engulfed the building.
화재가 건물에 번진 것을 본 군중은 난폭하게 되었다.</t>
  </si>
  <si>
    <t>frequent</t>
  </si>
  <si>
    <t>빈번한, 자주, 반복적</t>
  </si>
  <si>
    <t>She has to attend frequent meetings with her boss.
그녀는 매일매일 회장님과 회의를 하러 가야 한다.</t>
  </si>
  <si>
    <t>frivolous</t>
  </si>
  <si>
    <t>부질없는, 무의미한, 무책임한</t>
  </si>
  <si>
    <t>Her frivolous spending habits were a source of concern for her family.
그녀의 부질없는 지출 습관은 그녀의 가족에게 큰 우려가 되었다.</t>
  </si>
  <si>
    <t>frustrating</t>
  </si>
  <si>
    <t>어리둥절하는, 좌절시키는, 좌절감을 주는</t>
  </si>
  <si>
    <t>The bureaucratic process was frustratingly slow.
행정 절차가 매우 느렸습니다.</t>
  </si>
  <si>
    <t>fulfill</t>
  </si>
  <si>
    <t>기대, 만족, 완수</t>
  </si>
  <si>
    <t>She has always dreamed of traveling the world and now she finally gets to fulfill her lifelong ambition.
그녀는 항상 세계를 여행하고 싶어했는데 이제 그녀는 평생의 꿈을 완수할 수 있다.</t>
  </si>
  <si>
    <t>fundamental</t>
  </si>
  <si>
    <t>기초적, 근본적, 기본적인</t>
  </si>
  <si>
    <t>The fundamental principles of democracy are freedom of speech and the right to vote.
민주주의의 기초 원칙은 자유언론과 선거권이다.</t>
  </si>
  <si>
    <t>funding</t>
  </si>
  <si>
    <t>자금, 자금 지원, 자금 조달</t>
  </si>
  <si>
    <t>The company is struggling to secure funding for its new project.
회사에서는 새로운 프로젝트에 대한 자금을 확보하기 위해 어려움을 겪고 있다.</t>
  </si>
  <si>
    <t>furious</t>
  </si>
  <si>
    <t>화난, 분노한, 격분한</t>
  </si>
  <si>
    <t>The crowd was furious when the concert was cancelled at the last minute.
관중들은 마지막 순간 콘서트가 취소된 것을 알고 화난다.</t>
  </si>
  <si>
    <t>furnished</t>
  </si>
  <si>
    <t>가구된, 가구가 준비된, 장식된</t>
  </si>
  <si>
    <t>The apartment was fully furnished when we moved in.
우리가 이사했을 때 아파트는 완전히 가구가 준비되어 있었다.</t>
  </si>
  <si>
    <t>gained</t>
  </si>
  <si>
    <t>득한, 얻은, 증가한</t>
  </si>
  <si>
    <t>She has gained a lot of experience in her field.
그녀는 자신의 분야에서 많은 경험을 얻었다.</t>
  </si>
  <si>
    <t>gaining</t>
  </si>
  <si>
    <t>득점, 이익, 성과</t>
  </si>
  <si>
    <t>The company is gaining a reputation for producing high-quality products.
회사은 높은 품질의 제품을 생산하는 것으로 명성을 얻고 있습니다.</t>
  </si>
  <si>
    <t>gall</t>
  </si>
  <si>
    <t>gall, gall bladder , gall , gallant</t>
  </si>
  <si>
    <t>The doctor removed the patient's gall, which was causing severe pain.
의사는 환자의 gall을 제거하여 심각한 통증을 막았다.</t>
  </si>
  <si>
    <t>gap</t>
  </si>
  <si>
    <t>Gap : gap, space, interval, 
Gap : to leave a gap, to lag behind, 
Gap : wide, large,</t>
  </si>
  <si>
    <t>The new policy aims to bridge the gap between the rich and the poor.
새로운 정책은 부유하고한 사람들 사이의 격차를 좁히기 위해 있다.</t>
  </si>
  <si>
    <t>garner</t>
  </si>
  <si>
    <t>수집하다, 얻다, 수집된 자료, 수집된 정보</t>
  </si>
  <si>
    <t>The company's new marketing strategy helped to garner a significant increase in sales.
회사 새로운 마케팅 전략은 판매량이 크게 증가하는 데 도움이 되었다.</t>
  </si>
  <si>
    <t>garnering</t>
  </si>
  <si>
    <t>수집하는, 수집, 명성을 얻는</t>
  </si>
  <si>
    <t>The company's innovative approach has been garnering attention from investors worldwide.
회사들의 혁신적인 접근 방식은 전 세계의 투자자들의 관심을 끌고 있습니다.</t>
  </si>
  <si>
    <t>gathered</t>
  </si>
  <si>
    <t>수집된, 모인, 모여진</t>
  </si>
  <si>
    <t>The team had gathered all the necessary materials before the project deadline.
팀은 프로젝트 마감 전 필요한 모든 물건을 모았습니다.</t>
  </si>
  <si>
    <t>gaunt</t>
  </si>
  <si>
    <t>가난한, 기형적인, 비만하지 않은</t>
  </si>
  <si>
    <t>The famine had left the land gaunt and barren.
빈곤이 땅을 비어 비참하게 만들었다.</t>
  </si>
  <si>
    <t>gentle</t>
  </si>
  <si>
    <t>부드러운, 약한, 부드럽게</t>
  </si>
  <si>
    <t>She spoke to him in a gentle voice, trying to calm his fears.
그녀는 그의 두려움을 달래기 위해 부드러운 목소리로 말했다.</t>
  </si>
  <si>
    <t>genuine</t>
  </si>
  <si>
    <t>정직한, 진정한, 실제의</t>
  </si>
  <si>
    <t>The company's commitment to sustainability is a genuine attempt to reduce its carbon footprint.
회사에 대한 지속가능성에 대한 약속은 탄소 발자국을 줄이기 위한 진정한 시도입니다.</t>
  </si>
  <si>
    <t>get across</t>
  </si>
  <si>
    <t>표현되다, 전달되다, 이해되다</t>
  </si>
  <si>
    <t>The teacher struggled to get across the complex idea to her students.
선생님은 학생들에게 복잡한 아이디어를 전달하기 위해 애썼다.</t>
  </si>
  <si>
    <t>get the inside track</t>
  </si>
  <si>
    <t>내부 정보를 얻다, 내부 정보를 알고 있는 사람과 접촉하다, 중요한 정보를 얻는 방법을 알다</t>
  </si>
  <si>
    <t>She managed to get the inside track on the company's plans for expansion.
그녀는 회사 확장 계획에 대한 중요한 정보를 얻는 방법을 알게 되었다.</t>
  </si>
  <si>
    <t>get you down</t>
  </si>
  <si>
    <t>우울감을 느끼게 하다, 마음을 상하게 하다, 불편함을 느끼게 하다</t>
  </si>
  <si>
    <t>The rain started to get me down.
비가 내리기 시작해 마음이 무거워졌다.</t>
  </si>
  <si>
    <t>go through the roof</t>
  </si>
  <si>
    <t>가격 상승, 비용 증가, 감정 폭발, 급격한 상승</t>
  </si>
  <si>
    <t>The news of the company's profits going through the roof sent the stock prices soaring.
회사 수익이 하늘을 찌를 정도로 급격히 상승하자 주가가 폭등했다.</t>
  </si>
  <si>
    <t>going against the grain</t>
  </si>
  <si>
    <t>반대쪽으로 나아감, 반대 의견을 내는 것, 편견을 깨는 것</t>
  </si>
  <si>
    <t>She's going against the grain by speaking out against the company's discriminatory policies.
그녀는 회사에 대한 차별 정책에 반대하는 말을 내보내고 있다.</t>
  </si>
  <si>
    <t>gracious</t>
  </si>
  <si>
    <t>고마운, 친절한, 관대한</t>
  </si>
  <si>
    <t>She was a gracious winner, congratulating her opponent on a game well played.
그녀는 게임을 잘 치러서 축하해 주는 관대한 승자였다.</t>
  </si>
  <si>
    <t>graduated</t>
  </si>
  <si>
    <t>수료했다, 졸업했다, 학위를 받았다</t>
  </si>
  <si>
    <t>She graduated from Harvard University with honors.
그녀는 하버드 대학에서 우수한 성적으로 졸업했다.</t>
  </si>
  <si>
    <t>grants</t>
  </si>
  <si>
    <t>장학금, 허가, 수여</t>
  </si>
  <si>
    <t>The university offers grants to students who demonstrate financial need.
대학은 재정난을 겪는 학생들에게 장학금을 제공합니다.</t>
  </si>
  <si>
    <t>gratuitous</t>
  </si>
  <si>
    <t>무료한, 불필요한, 무의미한</t>
  </si>
  <si>
    <t>The special effects in the movie were gratuitous and added nothing to the plot.
영화 속의 특수 효과는 영화의 줄거기에 아무런 영향을 주지 못하는 무의미한 것이었다.</t>
  </si>
  <si>
    <t>graze</t>
  </si>
  <si>
    <t>동물이 풀을 먹다 ,  부상당하지 않고 경계를 넘어 다니다 ,  경계를 넘어 다니다</t>
  </si>
  <si>
    <t>The cows will graze in the nearby field.
소는 근처의 들판에서 풀을 먹을 거야.</t>
  </si>
  <si>
    <t>grievous</t>
  </si>
  <si>
    <t>심각한, 중대한, 심한</t>
  </si>
  <si>
    <t>The accident caused a grievous wound that required multiple surgeries.
사고로 인해 심각한 상처가 생겨 여러 번 수술을 받았다.</t>
  </si>
  <si>
    <t>groomed</t>
  </si>
  <si>
    <t>가꾸어 진, 정돈된, 교육을 받은</t>
  </si>
  <si>
    <t>The politician was well-groomed and poised for the debate.
정치인은 토론을 위해 잘 가꾸어 진 채로 침착했다.</t>
  </si>
  <si>
    <t>grumbling</t>
  </si>
  <si>
    <t>무성한, 불만스러운, 불평하는</t>
  </si>
  <si>
    <t>The kids were grumbling about the early bedtime.
아이가 일찍 잠들라고 하자 그들은 불평했다.</t>
  </si>
  <si>
    <t>guaranteeing</t>
  </si>
  <si>
    <t>보증하는, 보장, 확실한, 확실하게</t>
  </si>
  <si>
    <t>The company is guaranteeing a 10-year warranty on all its products.
회사에서는 모든 제품에 10년 보증을 보장합니다.</t>
  </si>
  <si>
    <t>guile</t>
  </si>
  <si>
    <t>속임수, 기만, 속임</t>
  </si>
  <si>
    <t>She used her guile to persuade him into investing in the company.
그녀는 그에게 회사에 투자하도록 설득하기 위해 속임수를 사용했다.</t>
  </si>
  <si>
    <t>gullible</t>
  </si>
  <si>
    <t>무지한, 속아 넘어가는 사람, 속임을 당하는 사람</t>
  </si>
  <si>
    <t>She was a gullible investor who lost all her savings in a Ponzi scheme.
그녀는 포니지에 모든 돈을 투자해 모든 돈을 잃은 무지한 투자자였다.</t>
  </si>
  <si>
    <t>halts</t>
  </si>
  <si>
    <t>정지, 멈춤, 중단</t>
  </si>
  <si>
    <t>The bus halts at every stop to let passengers on and off.
버스는 매 정류장마다 승객이 승하차할 수 있도록 정지한다.</t>
  </si>
  <si>
    <t>hampered</t>
  </si>
  <si>
    <t>장애를 받다, 방해를 받다, 진행이 늦다</t>
  </si>
  <si>
    <t>The project's progress was hampered by a lack of funding.
프로젝트 진행이 자금 부족으로 지연되었다.</t>
  </si>
  <si>
    <t>hardiest</t>
  </si>
  <si>
    <t>가장 강건한 것, 가장 튼튼한 것, 가장 견디는 힘 있는 것</t>
  </si>
  <si>
    <t>The hardiest of the three plants was the first to bloom.
세 개 중 가장 강건한 식물이 먼저 꽃을 피웠다.</t>
  </si>
  <si>
    <t>harmless</t>
  </si>
  <si>
    <t>무해, 무난, 해가 없는</t>
  </si>
  <si>
    <t>The new medicine was found to be harmless to most people.
새로운 약은 대부분의 사람들에게 해가 없는 것으로 밝혀졌다.</t>
  </si>
  <si>
    <t>hasty</t>
  </si>
  <si>
    <t>급한, 서두르는, 서둘러</t>
  </si>
  <si>
    <t>She made a hasty decision without considering the consequences.
그녀는 결과를 고려하지 않고 서둘러 결정했다.</t>
  </si>
  <si>
    <t>haughty</t>
  </si>
  <si>
    <t>고상한, 고만한, 교만한</t>
  </si>
  <si>
    <t>She looked haughty as she walked past the crowd, her nose held high in disdain.
그녀는 무시하는 듯한 표정으로 사람들 사이를 걸어갔다.</t>
  </si>
  <si>
    <t>having</t>
  </si>
  <si>
    <t>가질 것, 소유, 존재</t>
  </si>
  <si>
    <t>She's having a great time at the party.
그녀는 파티에서 좋은 시간을 가질고 있다.</t>
  </si>
  <si>
    <t>hectic</t>
  </si>
  <si>
    <t>빠진, 바쁜, 혼란스러운</t>
  </si>
  <si>
    <t>The city was a hectic place, especially during rush hour.
도시는 특히 러시 아워 때는 매우 바쁜 곳이었다.</t>
  </si>
  <si>
    <t>heedful</t>
  </si>
  <si>
    <t>주의ful, 경계심이 있는, 주의깊게 하는</t>
  </si>
  <si>
    <t>She was a heedful driver, always checking her mirrors and blind spots.
그녀는 항상 거울과 블라인드 스폿을 확인하는 주의깊은 운전사였다.</t>
  </si>
  <si>
    <t>heinous</t>
  </si>
  <si>
    <t>악랭한, 무고한, 잔인한</t>
  </si>
  <si>
    <t>The judge handed down a life sentence for the heinous crime.
법관은 악랭한 범죄에 대해 수감 1년을 선고했다.</t>
  </si>
  <si>
    <t>hesitate</t>
  </si>
  <si>
    <t>과연하다, 망설이다, 주저하다</t>
  </si>
  <si>
    <t>She hesitated before answering the difficult question.
그녀는 어려운 질문에 답하기 전에 망설였다.</t>
  </si>
  <si>
    <t>hesitation</t>
  </si>
  <si>
    <t>불확실성, 망설임, 주저</t>
  </si>
  <si>
    <t>Her hesitation was palpable as she stood at the edge of the stage, waiting for her cue.
그녀의 망설임은 무대 끝에 서서 기다리는 동안 분명하게 느껴졌다.</t>
  </si>
  <si>
    <t>hired</t>
  </si>
  <si>
    <t>고용된, 고용한, 고용인</t>
  </si>
  <si>
    <t>She was hired as a marketing manager at a large corporation.
그녀는 대기업에서 마케팅 매니저로 고용되었다.</t>
  </si>
  <si>
    <t>hoisted</t>
  </si>
  <si>
    <t>승격된, 들어 올린, 기호</t>
  </si>
  <si>
    <t>The flag was hoisted at dawn to signal the start of the celebration.
아침 일출과 함께 기념행사를 시작하기 위해 깃발이 들어 올려졌다.</t>
  </si>
  <si>
    <t>hold</t>
  </si>
  <si>
    <t>수용, nắm고 있기, 유지</t>
  </si>
  <si>
    <t>She had to hold the baby tightly to prevent it from falling.
그녀는 아이가 넘어지지 않도록 꼭 잡아야 했다.</t>
  </si>
  <si>
    <t>hold on to</t>
  </si>
  <si>
    <t>지키다, 붙잡다, 기다리다 ,</t>
  </si>
  <si>
    <t>She had to hold on to the rope as she climbed down the steep mountain.
그녀는 험준한 산을 내려가기 위해 줄을 잡고 있었다.</t>
  </si>
  <si>
    <t>honor</t>
  </si>
  <si>
    <t>명예, 존경, 충성</t>
  </si>
  <si>
    <t>She was awarded the highest honor for her contributions to the field.
그녀는 그녀의 분야에 대한 기여로 최고의 명예를 받았다.</t>
  </si>
  <si>
    <t>horrific</t>
  </si>
  <si>
    <t>terrify, fear, horror , horrify , horrify , horrify , terrify, fear, fearfulness, fearfulness</t>
  </si>
  <si>
    <t>The movie's horrific special effects left many viewers traumatized.
영화의 공포스러운 특수효과가 많은 관객들에게 트라우마를 남겼다.</t>
  </si>
  <si>
    <t>hospitable</t>
  </si>
  <si>
    <t>호스피탈 , 친절한 , 환영하는</t>
  </si>
  <si>
    <t>The hotel's staff was extremely hospitable, making sure our stay was comfortable and enjoyable.
호텔 직원들은 매우 친절했으며 우리의 숙박을 편안하고 즐거운 것으로 만들기 위해 노력했습니다.</t>
  </si>
  <si>
    <t>huddled</t>
  </si>
  <si>
    <t>숨죽은, 모여 앉은, 어둡고 차가운, 서로 붙어 앉은,</t>
  </si>
  <si>
    <t>The homeless people huddled together for warmth.
빈곤한 사람들은 따뜻함을 위해 서로 붙어 앉았다.</t>
  </si>
  <si>
    <t>humble</t>
  </si>
  <si>
    <t>고결한 , 겸손한 , 낮은</t>
  </si>
  <si>
    <t>She was known for her humble beginnings, but her talent and hard work eventually earned her a place among the stars.
그녀는 고결한 출신으로 유명했지만, 그녀의 재능과 노력으로 그녀는 결국 별들의 중에 자리 잡게 되었다.</t>
  </si>
  <si>
    <t>hurled</t>
  </si>
  <si>
    <t>폭탄을던진 것, 던져진 물건, 공격을 가한 것 , 던져서 , 강하게</t>
  </si>
  <si>
    <t>The stone was hurled at the window, shattering the glass.
돌이 창문에 던져져서 유리창이 깨졌다.</t>
  </si>
  <si>
    <t>hushed</t>
  </si>
  <si>
    <t>침묵의, 조용한, 속삭임의</t>
  </si>
  <si>
    <t>The children whispered to each other in hushed tones, trying not to wake their sleeping parents.
아이가 부모가 잠든 것을 피하기 위해 속삭임으로 서로에게 말해보았다.</t>
  </si>
  <si>
    <t>hustle</t>
  </si>
  <si>
    <t>업무의 바쁨, 열심히 일하는 것, 경쟁의 강도</t>
  </si>
  <si>
    <t>She had to hustle to meet the tight deadline.
그녀는 긴급한 마감일을 맞추기 위해 열심히 일해야 했다.</t>
  </si>
  <si>
    <t>ideal</t>
  </si>
  <si>
    <t>이상적, 완벽한, 이상</t>
  </si>
  <si>
    <t>She had an ideal job that allowed her to travel the world.
그녀는 여행을 하면서 일할 수 있는 이상한 직장을 가지고 있었다.</t>
  </si>
  <si>
    <t>identified</t>
  </si>
  <si>
    <t>식별된, 발견된, 인식된</t>
  </si>
  <si>
    <t>The suspect was identified from the security footage.
수사팀은 보안 카메라에서 용의자를 식별했다.</t>
  </si>
  <si>
    <t>idiosyncratic</t>
  </si>
  <si>
    <t>개인적인 특성, 독특한 성향, 비정상적인 성질</t>
  </si>
  <si>
    <t>Her idiosyncratic sense of humor often left her friends bewildered.
그녀의 독특한 웃음 센스는 친구들을 혼란에 빠트렸다.</t>
  </si>
  <si>
    <t>ignore</t>
  </si>
  <si>
    <t>무시하다 , 무시 , 무시할 , 무시할 것</t>
  </si>
  <si>
    <t>She tried to ignore the noise coming from the construction site.
그녀는 건설 현장에서 나오는 소음을 무시하려고 했다.</t>
  </si>
  <si>
    <t>illegible</t>
  </si>
  <si>
    <t>서명 불러독할 수 없는 글자, 서명 불러독할 수 없는 문서, 읽을 수 없는 글자</t>
  </si>
  <si>
    <t>The handwriting on the old letter was illegible.
그 오래된 편지에 쓴 글자는 읽을 수 없었다.</t>
  </si>
  <si>
    <t>illnesses</t>
  </si>
  <si>
    <t>질병, 병, 아픔</t>
  </si>
  <si>
    <t>The doctor studied the various illnesses affecting the local population.
의사는 지역 주민을 etk하는 다양한 질병을 연구했다.</t>
  </si>
  <si>
    <t>illusory</t>
  </si>
  <si>
    <t>환상적인, 허구의, 가상의</t>
  </si>
  <si>
    <t>The happiness she felt was an illusory sense of security.
그녀가 느꼈던 행복은 허구의 안심이었다.</t>
  </si>
  <si>
    <t>illustrated</t>
  </si>
  <si>
    <t>그림이 있는, 그림으로 설명된, 설명서가 있는</t>
  </si>
  <si>
    <t>The book was an illustrated edition of the classic novel.
그 책은 고전 소설의 그림이 있는 판본이었다.</t>
  </si>
  <si>
    <t>immature</t>
  </si>
  <si>
    <t>어린, 비숙련, 비성숙</t>
  </si>
  <si>
    <t>The company's immature business strategy led to a significant financial loss.
회사들의 비숙련한 비즈니스 전략으로 인해 큰 금전적 손실이 발생했다.</t>
  </si>
  <si>
    <t>immeasurably</t>
  </si>
  <si>
    <t>무한히, 초월적으로, 측정할 수 없이</t>
  </si>
  <si>
    <t>The beauty of the sunset was immeasurably enhanced by the sound of the waves crashing against the shore.
해변에서 파도가 부딪치는 소음에 의해 해가 지는 아름다움은 무한히 높아졌다.</t>
  </si>
  <si>
    <t>immersed</t>
  </si>
  <si>
    <t>수중, 물속에 빠져 있는 것, 완전히 빠져 있는 것, 완전히 몰입한 상태</t>
  </si>
  <si>
    <t>She was completely immersed in the world of her novel, forgetting about the outside world.
그녀는 소설의 세계에 완전히 빠져들어 외부 세계를 잊었다.</t>
  </si>
  <si>
    <t>imminence</t>
  </si>
  <si>
    <t>위기, 임박, 가까운 시일</t>
  </si>
  <si>
    <t>The imminence of the attack made the soldiers anxious.
공격의 위기가 군인들을 불안하게 만들었다.</t>
  </si>
  <si>
    <t>imminent</t>
  </si>
  <si>
    <t>위기, 가까운, 예정된</t>
  </si>
  <si>
    <t>The storm is imminent, and we need to take shelter immediately.
폭풍은 임박하여 즉시 피난처를 찾아야 합니다.</t>
  </si>
  <si>
    <t>immune</t>
  </si>
  <si>
    <t>면역력, 면역, 감염에 저항하는</t>
  </si>
  <si>
    <t>The new vaccine has been proven to be effective in making people immune to the disease.
새로운 백신은 사람들을 질병에 면역하는 데 효과적임을 입증했다.</t>
  </si>
  <si>
    <t>immured</t>
  </si>
  <si>
    <t>감금된, 벽에 묶인, 감옥에 갇힌</t>
  </si>
  <si>
    <t>The prisoner was immured in a damp, dark cell for years.
감옥에 갇힌 죄수는 수년 동안하고 어둡고 어두운 감옥 셀에 갇혀 있었다.</t>
  </si>
  <si>
    <t>impact</t>
  </si>
  <si>
    <t>파편, 충격, 영향력</t>
  </si>
  <si>
    <t>impaired</t>
  </si>
  <si>
    <t>장애된, 손상된, 기능이 떨어진</t>
  </si>
  <si>
    <t>The patient's impaired vision made it difficult for her to read the fine print.
환자의 시각 장애로 그녀는 미세한 글자를 읽는 것이 어려웠다.</t>
  </si>
  <si>
    <t>imparted</t>
  </si>
  <si>
    <t>지식, 지식, 정보, 전달하다, 전해주다, 가르치다</t>
  </si>
  <si>
    <t>The teacher imparted valuable life lessons to her students.
선생님은 학생들에게 귀중한 삶의 교훈을 전해주었다.</t>
  </si>
  <si>
    <t>impartial</t>
  </si>
  <si>
    <t>부합의, 중립적, 공정한</t>
  </si>
  <si>
    <t>The judge was known for her impartial decisions in the courtroom.
법정에서 판사님은 공정한 판결을 내리셨다.</t>
  </si>
  <si>
    <t>imperative</t>
  </si>
  <si>
    <t>명령, 강제, 필수, 강박</t>
  </si>
  <si>
    <t>The doctor issued an imperative warning to the patient about the dangers of smoking.
의사는 담배 피는 위험성을 환자에게 명령을 내렸다.</t>
  </si>
  <si>
    <t>impiety</t>
  </si>
  <si>
    <t>무신성, 불신, 불성</t>
  </si>
  <si>
    <t>The priest's impiety was a scandal that shook the entire community.
신부의 무신성이 온 사회를 뒤흔들었다.</t>
  </si>
  <si>
    <t>implanted</t>
  </si>
  <si>
    <t>implanted  : 심어 놓다, 심어 주다, 
implanted  : 심어 놓인, 심어 주어진</t>
  </si>
  <si>
    <t>The doctor carefully implanted the pacemaker under the patient's skin.
의사는 환자의 피부 밑에 심장박동기를 신중하게 심어 주었다.</t>
  </si>
  <si>
    <t>implement</t>
  </si>
  <si>
    <t>시행하기, 도구, 실천</t>
  </si>
  <si>
    <t>The company will implement the new policy next quarter.
회사에서는 내년 1분기에 새로운 정책을 시행할 예정입니다.</t>
  </si>
  <si>
    <t>implied</t>
  </si>
  <si>
    <t>의도된 것, 암시된 것, 암시</t>
  </si>
  <si>
    <t>The movie's ending was implied, leaving the audience to interpret the characters' fates.
영화의 엔딩은 암시된 것이었고, 관객들은 등장인물들의 운명을 해석하기 위해 남겨졌다.</t>
  </si>
  <si>
    <t>imported</t>
  </si>
  <si>
    <t>수입된 것, 수입품, 외국산</t>
  </si>
  <si>
    <t>The car's engine was imported from Japan.
차의 엔진은 일본에서 수입되었다.</t>
  </si>
  <si>
    <t>imposition</t>
  </si>
  <si>
    <t>강제, 부담, 강요</t>
  </si>
  <si>
    <t>The new tax law imposed a significant burden on small businesses.
새로운 세법은 소규모 기업에 큰 부담을 가했다.</t>
  </si>
  <si>
    <t>impractical</t>
  </si>
  <si>
    <t>실용적이지 않다, 불필요한, 불합리한</t>
  </si>
  <si>
    <t>The idea of traveling around the world in a hot air balloon is impractical.
세계를 뜨개로 여행하는 것은 실용적이지 않다.</t>
  </si>
  <si>
    <t>impression</t>
  </si>
  <si>
    <t>인상, 느낌, 인상력</t>
  </si>
  <si>
    <t>The painting left a lasting impression on the art critic.
그 그림은 예술 평론가에게 깊은 인상을 남겼다.</t>
  </si>
  <si>
    <t>imprint</t>
  </si>
  <si>
    <t>인쇄, 인상, 흔적</t>
  </si>
  <si>
    <t>The company's logo will imprint on the packaging of all their products.
회사 로고는 모든 제품의 포장에 인쇄될 것이다.</t>
  </si>
  <si>
    <t>improvising</t>
  </si>
  <si>
    <t>자율성, 즉흥, 개선하는 것</t>
  </si>
  <si>
    <t>The band's improvising style added a unique touch to their live performances.
밴드의 즉흥적인 스타일은 라이브 공연에 독특한 터치를 더했다.</t>
  </si>
  <si>
    <t>impulsive</t>
  </si>
  <si>
    <t>잠재적, 즉시적, 무심한</t>
  </si>
  <si>
    <t>She made an impulsive decision to quit her job without thinking it through.
그녀는 생각을 하지 않고 직장을 그만두기로 즉각적인 결정을 내렸다.</t>
  </si>
  <si>
    <t>impunity</t>
  </si>
  <si>
    <t>무고, 무죄, 무책임</t>
  </si>
  <si>
    <t>The corrupt politician was accused of committing crimes with impunity.
부패한 정치인은 무고하게 범죄를 저지른 것으로되었다.</t>
  </si>
  <si>
    <t>in the hot seat</t>
  </si>
  <si>
    <t>자리에서 위협을 받고 있는 상태, 위기 상황, 어려운 상황</t>
  </si>
  <si>
    <t>The CEO was in the hot seat as the company's profits plummeted.
CEO는 회사 수익이 급감하자 위기 상황에 처해 있었다.</t>
  </si>
  <si>
    <t>inaccessible</t>
  </si>
  <si>
    <t>1. 접근할 수 없는 , 2. 이용할 수 없는 , 3. 도달할 수 없는</t>
  </si>
  <si>
    <t>The remote village was inaccessible due to the heavy snowfall.
격벽이 쌓인 고립된 마을은 눈이 너무 많이 내리면서 접근할 수 없었다.</t>
  </si>
  <si>
    <t>inaccurate</t>
  </si>
  <si>
    <t>부정확한, 오류가 있는, 정확하지 않은</t>
  </si>
  <si>
    <t>The news report contained several inaccurate statements about the company's financial situation.
뉴스 보도에서 회사 재정 상황에 대한 여러 가지 부정확한 문장을 포함했다.</t>
  </si>
  <si>
    <t>inactivated</t>
  </si>
  <si>
    <t>비활성화된, 비활성화, 비활성</t>
  </si>
  <si>
    <t>The vaccine was inactivated to prevent any potential side effects.
백신은 잠재적인 부작용을 예방하기 위해 비활성화되었다.</t>
  </si>
  <si>
    <t>inalterable</t>
  </si>
  <si>
    <t>불변의, 변하지 않는, 불변한</t>
  </si>
  <si>
    <t>The team's lead singer has an inalterable voice that can move the audience to tears.
팀의 리드 싱어는 무조건적으로 감동을 주는 목소리를 가지고 있다.</t>
  </si>
  <si>
    <t>inane</t>
  </si>
  <si>
    <t>무의미한, 바보 같은, 쓸모없는</t>
  </si>
  <si>
    <t>The comedian's jokes were inane, but the audience laughed anyway.
코미디언의 농담은 무의미했지만 관객들은 웃었다.</t>
  </si>
  <si>
    <t>incapable</t>
  </si>
  <si>
    <t>능력 없는, 실력 없는, 능하지 못한</t>
  </si>
  <si>
    <t>She was incapable of solving the complex math problem.
그녀는 복잡한 수학 문제를 해결할 수 없었다.</t>
  </si>
  <si>
    <t>incapacitate</t>
  </si>
  <si>
    <t>장애시키다, 능력 없게 하다, 무능하게 하다</t>
  </si>
  <si>
    <t>The injury will incapacitate him for several months.
부상으로 그는 몇 달 동안 장애를 겪을 것이다.</t>
  </si>
  <si>
    <t>incidental</t>
  </si>
  <si>
    <t>부수적, 우연적, 부차적</t>
  </si>
  <si>
    <t>The discovery of the new species was an incidental finding during the expedition.
탐사 중에 우연히 새로운 종을 발견한 것이었다.</t>
  </si>
  <si>
    <t>inclined</t>
  </si>
  <si>
    <t>기울어져 있는, 기울임, 기울어진, 기울어진, 기울임</t>
  </si>
  <si>
    <t>The company is inclined to invest in renewable energy sources.
회사은 재생에너지에 투자하기에 기울어져 있습니다.</t>
  </si>
  <si>
    <t>incompatible</t>
  </si>
  <si>
    <t>불일치하는, 호환되지 않는, 충돌하는</t>
  </si>
  <si>
    <t>The two software systems are incompatible with each other.
두 소프트웨어 시스템은 서로 호환되지 않는다.</t>
  </si>
  <si>
    <t>incompetent</t>
  </si>
  <si>
    <t>능력 부족한 사람, 무능력자, 실수하는 사람</t>
  </si>
  <si>
    <t>The company's incompetent management led to a significant financial loss.
회사 경영이 능력 부족한 사람들로 구성되어 있어 큰 금전적 손실을 입었다.</t>
  </si>
  <si>
    <t>incorrigible</t>
  </si>
  <si>
    <t>잘못된 경향이 있는 사람, 교정할 수 없는 사람, 교정할 수 없는 성질의 사람</t>
  </si>
  <si>
    <t>The child's incorrigible grin was contagious and spread to everyone in the room.
아이가 가진 잘못된 경향이 있는 미소는 방에 있는 모든 사람에게 감염되었다.</t>
  </si>
  <si>
    <t>indelible</t>
  </si>
  <si>
    <t>permanently 남아있는, 잊지 못하는, 불가피한</t>
  </si>
  <si>
    <t>The stain left an indelible mark on her favorite dress.
그녀가 좋아하는 드레스에 남긴 얼룩은 잊지 못할 상처였다.</t>
  </si>
  <si>
    <t>indicative</t>
  </si>
  <si>
    <t>표시적, 예고하는, 예측하는</t>
  </si>
  <si>
    <t>The weather forecast was quite indicative of the storm that was brewing.
기상 예보는 폭풍이 몰아치는 것을 예고했다.</t>
  </si>
  <si>
    <t>indigenous</t>
  </si>
  <si>
    <t>시원적, 원주민, 토착</t>
  </si>
  <si>
    <t>The indigenous people of the Amazon rainforest have been fighting to protect their land for decades.
아마존 열대의 원주민들은 수십 년 동안 자신의 땅을 보호하기 위해 싸워왔다.</t>
  </si>
  <si>
    <t>induce</t>
  </si>
  <si>
    <t>유발하다, 유도하다, ,</t>
  </si>
  <si>
    <t>The new policy aims to induce more people to invest in renewable energy.
새 정책은 재생에너지에 대한 투자에 더 많은 사람들을 유도하기 위해 있다.</t>
  </si>
  <si>
    <t>indulged</t>
  </si>
  <si>
    <t>1.  - 즐겨하다,  - 즐김,  - 기뻐하는</t>
  </si>
  <si>
    <t>She had always indulged her son's love of music.
그녀는 늘 아들에 대한 음악에 대한 사랑을 즐겨했다.</t>
  </si>
  <si>
    <t>inebriated</t>
  </si>
  <si>
    <t>음주중, 취중, 취한</t>
  </si>
  <si>
    <t>The partygoers were inebriated and stumbled out into the street.
파티에 갔던 사람들은 취해 거리를 걸어 나왔다.</t>
  </si>
  <si>
    <t>infectious</t>
  </si>
  <si>
    <t>감염성, 전염성, 감염력</t>
  </si>
  <si>
    <t>The laughter was infectious, and soon the whole room was filled with the sound of people giggling.
웃음은 감염성이었고, 곧 방은 웃음소리로 가득 차 있었다.</t>
  </si>
  <si>
    <t>infer</t>
  </si>
  <si>
    <t>의심하다, 추론하다, 추측하다</t>
  </si>
  <si>
    <t>We can infer from her tone that she's not happy with the situation.
그녀의 톤으로 보아 그녀는 상황에 불만이 있는 것 같다.</t>
  </si>
  <si>
    <t>inferiority</t>
  </si>
  <si>
    <t>부도덕성, 열등감, 열등</t>
  </si>
  <si>
    <t>Her inferiority complex made her doubt her abilities in every situation.
그의 열등감은 그녀가 모든 상황에서 자신의 능력을 의심하게 만들었다.</t>
  </si>
  <si>
    <t>infiltrate</t>
  </si>
  <si>
    <t>침투하다, 침투, 침투자</t>
  </si>
  <si>
    <t>The company hired a former government official to infiltrate the rival corporation and gather sensitive information.
회사에서는 전직 정부 고위직을 경쟁사에 침투시켜 민감한 정보를 수집하도록 고용했다.</t>
  </si>
  <si>
    <t>infiltration</t>
  </si>
  <si>
    <t>침투, 침투작용, 침투력</t>
  </si>
  <si>
    <t>The company's infiltration into the foreign market was a major success.
해외 시장에 침투하는 회사였던 것이다.</t>
  </si>
  <si>
    <t>infirmity</t>
  </si>
  <si>
    <t>부상, 약체, 결함</t>
  </si>
  <si>
    <t>Her frailty made it difficult for her to keep up with the demands of her job.
그녀의 약체로 인해 그녀의 직장에서의 요구를 따라가기 어려웠다.</t>
  </si>
  <si>
    <t>inflicted</t>
  </si>
  <si>
    <t>피해를 입힌 것, 부상당한 것, 강요당한 것</t>
  </si>
  <si>
    <t>The harsh weather conditions inflicted significant damage on the crops.
어려운 날씨가 작물에 큰 피해를 입혔다.</t>
  </si>
  <si>
    <t>informative</t>
  </si>
  <si>
    <t>설명력 있는, 정보를 제공하는, 교육적인</t>
  </si>
  <si>
    <t>The documentary was an informative film about the history of space exploration.
다큐멘터리는 우주 탐험의 역사에 관한 설명력 있는 영화였다.</t>
  </si>
  <si>
    <t>infused</t>
  </si>
  <si>
    <t>, ,</t>
  </si>
  <si>
    <t>The tea was infused with a hint of lemon.
차는 레몬의 향이 가미된 상태였다.</t>
  </si>
  <si>
    <t>ingenious</t>
  </si>
  <si>
    <t>창의력 있는, 재치 있는, 지적인</t>
  </si>
  <si>
    <t>The inventor's ingenious solution to the problem saved the company millions of dollars.
발명가의 창의력 있는 해결책은 회사를 수백만 달러가 넘는 비용을 절약했다.</t>
  </si>
  <si>
    <t>ingest</t>
  </si>
  <si>
    <t>식이, 섭취하다, 소화하다</t>
  </si>
  <si>
    <t>The bacteria ingest the nutrients from the food.
은 음식에서 영양소를 섭취한다.</t>
  </si>
  <si>
    <t>ingredient</t>
  </si>
  <si>
    <t>재료, 성분, 구성 요소</t>
  </si>
  <si>
    <t>The chef carefully measured out each ingredient before starting to cook.
주방장은 요리 시작하기 전에 각 재료를 신중하게 측정했다.</t>
  </si>
  <si>
    <t>inhabit</t>
  </si>
  <si>
    <t>거주하다, 사는 곳, 주거하다</t>
  </si>
  <si>
    <t>The city will inhabit a large area of the surrounding countryside.
도시는 주변 농촌 지역의 큰 지역을 차지할 것이다.</t>
  </si>
  <si>
    <t>inhabitants</t>
  </si>
  <si>
    <t>주민, 거주자, 거주민</t>
  </si>
  <si>
    <t>The city's inhabitants are known for their warm hospitality.
도시의 주민들은 따뜻한 호스트로서 유명하다.</t>
  </si>
  <si>
    <t>inherent</t>
  </si>
  <si>
    <t>자연스러운, 본질적인, 내재된</t>
  </si>
  <si>
    <t>The city's inherent charm lies in its historic architecture.
도시의 본질적인 매력은 역사적인 건축물에 있다.</t>
  </si>
  <si>
    <t>inhibiting</t>
  </si>
  <si>
    <t>억제하는, 억제, 방해하는, 억제하는</t>
  </si>
  <si>
    <t>The new policy is inhibiting the company's ability to innovate.
새 정책은 기업의 혁신 능력을 억제하고 있다.</t>
  </si>
  <si>
    <t>inquiry</t>
  </si>
  <si>
    <t>수사, 조사, 질문</t>
  </si>
  <si>
    <t>The police launched an inquiry into the suspicious fire.
경찰은 의심스러운 화재에 대한 수사를 시작했다.</t>
  </si>
  <si>
    <t>insight</t>
  </si>
  <si>
    <t>인사이트 , 통찰력 , 깊은 이해</t>
  </si>
  <si>
    <t>She gained valuable insight into human behavior through her years of research.
그녀는 연구를 통해 인간 행동에 대한 깊은 이해를 얻었다.</t>
  </si>
  <si>
    <t>insights</t>
  </si>
  <si>
    <t>관찰, 통찰력, 이해</t>
  </si>
  <si>
    <t>She gained valuable insights from her experiences as a manager.
그녀는 매니저로 일하면서 얻은 경험에서 귀중한 통찰력을 얻었다.</t>
  </si>
  <si>
    <t>insipid</t>
  </si>
  <si>
    <t>물러진, 쓸쓸한, 무미건조한</t>
  </si>
  <si>
    <t>The movie's plot was insipid and predictable, making it a disappointment for many viewers.
영화의 줄거리는 쓸쓸하고 예측 가능한 것이었기 때문에 많은 관객들에게 실망의 소재가 되었다.</t>
  </si>
  <si>
    <t>inspect</t>
  </si>
  <si>
    <t>감사하다, 검사하다, 조사하다</t>
  </si>
  <si>
    <t>The police officer will inspect the crime scene carefully.
경찰관은 범죄 현장에 주의 깊게 조사할 것입니다.</t>
  </si>
  <si>
    <t>installed</t>
  </si>
  <si>
    <t>설치된, 설치하다, 설치된 상태의</t>
  </si>
  <si>
    <t>The new software was installed on my computer last night.
내 컴퓨터에 새 소프트웨어가 어제 밤에 설치되었습니다.</t>
  </si>
  <si>
    <t>instigate</t>
  </si>
  <si>
    <t>폭동을 일으키다, 유발하다, 조장하다, 자극하다</t>
  </si>
  <si>
    <t>The politician's inflammatory speech was accused of instigating the violent protests.
정치인의 격렬한 연설은 폭동을 일으키는 데 기여했다고 비난받았다.</t>
  </si>
  <si>
    <t>instinctive</t>
  </si>
  <si>
    <t>본능적, 직관적, 자연스러운 감각</t>
  </si>
  <si>
    <t>Her instinctive reaction was to help the child who had fallen.
그녀의 본능적인 반응은 넘어져서 넘어지는 아이를 돕는 것이었다.</t>
  </si>
  <si>
    <t>instituted</t>
  </si>
  <si>
    <t>시행되다, 제정되다, 설립되다</t>
  </si>
  <si>
    <t>The new policy was instituted to reduce pollution in the city.
새로운 정책은 도시에서 오염을 줄이기 위해 시행되었다.</t>
  </si>
  <si>
    <t>instituting</t>
  </si>
  <si>
    <t>시설하는, 제도설립하는, 기관을 설립하는</t>
  </si>
  <si>
    <t>The new policy aims at instituting a more efficient and transparent system.
새로운 정책은 더 효율적이고 투명한 시스템을 구축하기 위해 노력하고 있습니다.</t>
  </si>
  <si>
    <t>institutions</t>
  </si>
  <si>
    <t>시설, 기관, 제도</t>
  </si>
  <si>
    <t>The university's institutions are well-funded and highly respected.
대학의 기관들은 잘 지원되고 높은 평가를 받고 있습니다.</t>
  </si>
  <si>
    <t>integrate</t>
  </si>
  <si>
    <t>통합하다, 통합, 완전한,</t>
  </si>
  <si>
    <t>The company aims to integrate its new software with existing systems.
회사에서는 새로운 소프트웨어를 기존 시스템과 통합하기 위해 노력하고 있습니다.</t>
  </si>
  <si>
    <t>interest</t>
  </si>
  <si>
    <t>이자, 관심, 흥미</t>
  </si>
  <si>
    <t>She took an interest in the new project at work.
그녀는 직장에서 새로운 프로젝트에 관심을 가졌다.</t>
  </si>
  <si>
    <t>intimate</t>
  </si>
  <si>
    <t>친밀한, 개인적인, 밀접한</t>
  </si>
  <si>
    <t>Their intimate conversation lasted long into the night.
그들의 개인적인 대화는 밤이 깊어도 끝나지 않았다.</t>
  </si>
  <si>
    <t>intricate</t>
  </si>
  <si>
    <t>나뉘어진, 복잡한, 세밀한</t>
  </si>
  <si>
    <t>The ancient city's intricate network of canals and waterways was a marvel of medieval engineering.
고대 도시의 복잡한 운하와 수로 네트워크는 중세 시대의 기계공학의 경이로움이었다.</t>
  </si>
  <si>
    <t>intrusive</t>
  </si>
  <si>
    <t>인터럽티브, 침투적, 방해하는</t>
  </si>
  <si>
    <t>The noise from the construction site was intrusive and made it difficult to concentrate.
건설 현장에서 나는 소음은 집중하기 어렵게 만들었던 침투적 소음이었다.</t>
  </si>
  <si>
    <t>inundated</t>
  </si>
  <si>
    <t>물에 잠기다, 물에 잠긴 상태, 폭우로 물이 범람하는 상황</t>
  </si>
  <si>
    <t>The city was inundated with water after the heavy rainfall.
폭우로 도시가 물에 잠겼다.</t>
  </si>
  <si>
    <t>invalidated</t>
  </si>
  <si>
    <t>1. 불유효한 , 2. 무효화된 , 3. 유효하지 않은</t>
  </si>
  <si>
    <t>The judge's decision was invalidated by the higher court.
판사 의 판결은 고등 법원에 의하여 무효화되었다.</t>
  </si>
  <si>
    <t>invoice</t>
  </si>
  <si>
    <t>구매처, 청구서, 청구할 금액</t>
  </si>
  <si>
    <t>The company sent an invoice to the client for the services rendered.
회사에서는 서비스를 제공한 고객에게 청구서를 보냈습니다.</t>
  </si>
  <si>
    <t>irate</t>
  </si>
  <si>
    <t>분노한, 분노의 상태, 분노스러운</t>
  </si>
  <si>
    <t>The manager was irate when he found out that his employees had been working on their personal projects during office hours.
매니저는 직장 내에서 개인 프로젝트를 작업한 직원들을 발견했을 때 분노했다.</t>
  </si>
  <si>
    <t>irritate</t>
  </si>
  <si>
    <t>불쾌하게 하다, 짜증을 낳다, 화를 내게 하다</t>
  </si>
  <si>
    <t>The constant noise began to irritate the neighbors.
불구경이 끊임없이 들리자 이웃들은 짜증을 내기 시작했다.</t>
  </si>
  <si>
    <t>jeopardizing</t>
  </si>
  <si>
    <t>위협하는, 위험에 빠뜨리는, 위험에 빠지게 하는, 위험에 처한, 위험한, 위협적인, 위험에 빠진</t>
  </si>
  <si>
    <t>The company's decision to cut costs is jeopardizing the quality of their products.
회사 가 비용을 줄이기 위한 결정은 제품의 품질을 위협하고 있습니다.</t>
  </si>
  <si>
    <t>jocular</t>
  </si>
  <si>
    <t>humorous, playful, jesting ,</t>
  </si>
  <si>
    <t>The comedian's jocular remarks about the politician's hairdo were met with laughter from the audience.
코미디언이 정치인의 머리 모양에 대한 농담을 하자 관중들은 웃음을 터뜨렸다.</t>
  </si>
  <si>
    <t>join</t>
  </si>
  <si>
    <t>가입, 합류, 연결</t>
  </si>
  <si>
    <t>She decided to join the company after graduation.
그녀는 졸업 후 회사에 합류하기로 결정했다.</t>
  </si>
  <si>
    <t>joined</t>
  </si>
  <si>
    <t>가입된, 합류하다, 함께하는</t>
  </si>
  <si>
    <t>The two companies joined forces to develop a new product.
두 회사는 새로운 제품을 개발하기 위해 힘을 합쳤다.</t>
  </si>
  <si>
    <t>joke</t>
  </si>
  <si>
    <t>장난, 농담, 유머</t>
  </si>
  <si>
    <t>The comedian's joke about the politician's hair was a hit with the audience.
코미디언이 정치인의 머리에 대한 농담이 관객들에게 히트를 쳤다.</t>
  </si>
  <si>
    <t>jostle</t>
  </si>
  <si>
    <t>힘쓸, 밀치다, 사람들 사이에서 밀치다</t>
  </si>
  <si>
    <t>The crowd began to jostle for position as the doors opened.
도어가 열리자 사람들은 자리 잡기 위해 밀치기 시작했다.</t>
  </si>
  <si>
    <t>jostled</t>
  </si>
  <si>
    <t>힘쓸어치우다, 밀치다, 충돌하다</t>
  </si>
  <si>
    <t>The crowd jostled for a glimpse of the celebrity.
사람들이 연예인에게 일시적으로 밀치다.</t>
  </si>
  <si>
    <t>jovial</t>
  </si>
  <si>
    <t>기쁜 마음의, 즐거운 사람의, 유쾌한 사람의</t>
  </si>
  <si>
    <t>The comedian's jovial nature made him a beloved figure on the TV show.
코미디언의 유쾌한 성격은 TV 쇼에서 사랑받는 인물로 만들었다.</t>
  </si>
  <si>
    <t>judicial</t>
  </si>
  <si>
    <t>사법적, 법정, 심판</t>
  </si>
  <si>
    <t>The judicial system in the country is known for its fairness and transparency.
이 국가의 사법 체계는 공정성과 투명성으로 유명하다.</t>
  </si>
  <si>
    <t>junk</t>
  </si>
  <si>
    <t>쓰레기, 폐기물, 쓸모없는 것</t>
  </si>
  <si>
    <t>The company's new policy aims to reduce the amount of junk mail sent to customers.
회사 정책은 고객에게 보내는 쓰레기 우편을 줄이기 위해 새로운 정책을 제정했다.</t>
  </si>
  <si>
    <t>keen</t>
  </si>
  <si>
    <t>감각적인, 열정적인, 신중한</t>
  </si>
  <si>
    <t>She had a keen sense of smell that could detect the faint scent of smoke.
그녀는 연기 냄새를 아주 약하게 맡을 수 있는 감각적인 냄새를 가지고 있었다.</t>
  </si>
  <si>
    <t>kept on about</t>
  </si>
  <si>
    <t>말하다, 계속하다, 계속해서 말하다</t>
  </si>
  <si>
    <t>She kept on about how much she hated the new policy.
그녀는 계속해서 새로운 정책에 대해 싫어한다고 말했어.</t>
  </si>
  <si>
    <t>kindle</t>
  </si>
  <si>
    <t>화재, 불, 불타다</t>
  </si>
  <si>
    <t>The dry leaves began to kindle in the autumn wind.
가을 바람에 건조한 잎들이 불타기 시작했다.</t>
  </si>
  <si>
    <t>knock off</t>
  </si>
  <si>
    <t>복제품, 저품질 제품, 저가품</t>
  </si>
  <si>
    <t>The designer tried to knock off the famous brand's logo on her t-shirt.
디자이너는 유명 브랜드 로고를 티셔츠에 그려 넣으려 했다.</t>
  </si>
  <si>
    <t>labeled</t>
  </si>
  <si>
    <t>라벨된, 표시된, 분류된</t>
  </si>
  <si>
    <t>The package was labeled "Fragile" to prevent damage during shipping.
상품은 "부서지지 않도록" 라벨을 달았습니다.</t>
  </si>
  <si>
    <t>laconic</t>
  </si>
  <si>
    <t>간결한, 단호한, 짧은</t>
  </si>
  <si>
    <t>The professor's laconic response to the student's question left her feeling confused.
교수님의 학생의 질문에 대한 짧은 대답으로 학생은 혼란스러워했다.</t>
  </si>
  <si>
    <t>lamented</t>
  </si>
  <si>
    <t>유감스럽다, 유감, 슬퍼하다</t>
  </si>
  <si>
    <t>The city's loss of its historic landmark was deeply lamented by the community.
시민들은 역사적인 명소의 상실에 대해 깊은 유감을 표했다.</t>
  </si>
  <si>
    <t>lauded</t>
  </si>
  <si>
    <t>명예를 받다, 찬양하다, 높이 평가하다</t>
  </si>
  <si>
    <t>The artist's latest work was widely lauded by critics and audiences alike.
예술가의 최근 작품은 비평가와 관객들로부터 널리 찬양을 받았다.</t>
  </si>
  <si>
    <t>leaping</t>
  </si>
  <si>
    <t>점프하는, 점프, 빠르게 움직이는, 높이 뛰는, 신나는</t>
  </si>
  <si>
    <t>The children's laughter echoed through the park as they were leaping over puddles.
아동들의 웃음은 공원에서 물웅덩이를 뛰어넘는 아이들의 소리로 울려 퍼졌다.</t>
  </si>
  <si>
    <t>lenient</t>
  </si>
  <si>
    <t>유연한, 관대한, 관용적인</t>
  </si>
  <si>
    <t>The teacher was lenient with the students who were struggling in the exam.
선생님은 시험에서 어려움을 겪고 있는 학생들에게는 관대한 편이었다.</t>
  </si>
  <si>
    <t>license</t>
  </si>
  <si>
    <t>라이센스 , 허가 받다 , 허가된</t>
  </si>
  <si>
    <t>The company was fined for operating without a license.
회사은 라이센스를 없이 운영하다가 벌금을 물었다.</t>
  </si>
  <si>
    <t>listen</t>
  </si>
  <si>
    <t>듣다 , 청취하다 , 주의를 기울이다 ,</t>
  </si>
  <si>
    <t>She had to listen carefully to the instructions.
그녀는 지시를 잘 들어야 했다.</t>
  </si>
  <si>
    <t>look over</t>
  </si>
  <si>
    <t>감시하다, 확인하다, 살펴보기</t>
  </si>
  <si>
    <t>She asked him to look over the contract before signing it.
그녀는 계약서를 서명하기 전에 그를 확인해 달라고 부탁했다.</t>
  </si>
  <si>
    <t>loose cannon</t>
  </si>
  <si>
    <t>무장공격자, 자유분방한 사람, 무책임한 사람</t>
  </si>
  <si>
    <t>The new employee was a loose cannon, often speaking out of turn and causing controversy.
새로운 직원은 무장공격자였다, 자주 말도 안 되는 말을 하고 논란을 일으켰다.</t>
  </si>
  <si>
    <t>loosen</t>
  </si>
  <si>
    <t>힘을 풀다, 느슨하게 하다, 풀다 , 느슨한</t>
  </si>
  <si>
    <t>The screw needs to be loosened before it can be removed.
스루를 풀어야 제거할 수 있습니다.</t>
  </si>
  <si>
    <t>lore</t>
  </si>
  <si>
    <t>전설, 전통, 신화</t>
  </si>
  <si>
    <t>The village was steeped in ancient lore about a mythical creature said to roam the nearby woods.
마을은 오래된 전설에 의해 가득 차 있었는데, 그곳에 사는 신화적인 동물에 대해 말하고 있었다.</t>
  </si>
  <si>
    <t>lost</t>
  </si>
  <si>
    <t>고장난 것, 잃어버린 것, 혼동된 것</t>
  </si>
  <si>
    <t>She felt lost in the crowded city.
그녀는 혼잡한 도시에서 혼동을 느꼈다.</t>
  </si>
  <si>
    <t>lowwoful</t>
  </si>
  <si>
    <t>lowwoful  : 불편한, 불편, 불편한 상황</t>
  </si>
  <si>
    <t>The lowwoful living conditions in the slum were a major concern for the local government.
슬럼의 불편한 생활 환경은 현지 정부의 주요 우려 사항이었다.</t>
  </si>
  <si>
    <t>lucrative</t>
  </si>
  <si>
    <t>수익적, 이익이 많은, 번영하는</t>
  </si>
  <si>
    <t>The new business model proved to be a lucrative venture for the company.
새로운 비즈니스 모델은 회사에 큰 이익을 안겨주었다.</t>
  </si>
  <si>
    <t>lull</t>
  </si>
  <si>
    <t>수면, 잠재우다, 평온한,</t>
  </si>
  <si>
    <t>The sound of the waves created a soothing lull that helped her fall asleep.
파도의 소리가 그녀의 잠을 청산하는 평온한 분위기를 만들어 냈다.</t>
  </si>
  <si>
    <t>made up</t>
  </si>
  <si>
    <t>가짜, 허구, 상상</t>
  </si>
  <si>
    <t>She claimed that her story was made up, but I'm not sure I believe her.
그녀가 그녀의 이야기가 가짜라고 주장했지만, 나의 믿음은 확실히 아니다.</t>
  </si>
  <si>
    <t>magnanimous</t>
  </si>
  <si>
    <t>대인덕, 위대함, 관대함</t>
  </si>
  <si>
    <t>The philanthropist's magnanimous donation to the charity helped thousands of people in need.
자선가의 관대함으로 기부한 자선단체는 수천 명의 사람들을 도왔다.</t>
  </si>
  <si>
    <t>maintained</t>
  </si>
  <si>
    <t>유지되다, 관리하다, 지속되다, 유지된 상태</t>
  </si>
  <si>
    <t>The company has maintained a strong presence in the market for over a decade.
회사에서는 10년 이상 시장에서 강한 존재감을 유지해왔다.</t>
  </si>
  <si>
    <t>make it up</t>
  </si>
  <si>
    <t>가족의 이중생활, 거짓말, 위조, 허구, 상상력,</t>
  </si>
  <si>
    <t>She had to make up a convincing story to explain her absence.
그녀는 그녀의 결석을 설명하기 위해 설득력 있는 이야기를 만들어야 했다.</t>
  </si>
  <si>
    <t>malleable</t>
  </si>
  <si>
    <t>가연성, 변형성, 유연성</t>
  </si>
  <si>
    <t>The clay was malleable and easy to shape.
토기는 가연하여 쉽게 형태를 바꿀 수 있었다.</t>
  </si>
  <si>
    <t>managed</t>
  </si>
  <si>
    <t>관리하다, 관리, 관리할 수 있는</t>
  </si>
  <si>
    <t>She managed to finish the project on time despite the tight deadline.
시간이 촉박한 기한에도 불구하고 그녀는 프로젝트를 완료할 수 있었다.</t>
  </si>
  <si>
    <t>mandate</t>
  </si>
  <si>
    <t>권한, 지시, 의무</t>
  </si>
  <si>
    <t>The new government has a mandate to reduce the national debt.
새 정부는 국가 부채를 줄이기 위한 의무가 있다.</t>
  </si>
  <si>
    <t>mandated</t>
  </si>
  <si>
    <t>명령받은, 규정된, 강제된</t>
  </si>
  <si>
    <t>The company is mandated to provide a safe working environment for all employees.
회사에서는 모든 직원에게 안전한 근무 환경을 제공할 의무가 있습니다.</t>
  </si>
  <si>
    <t>mandatory</t>
  </si>
  <si>
    <t>obligatory, required, compulsory ,</t>
  </si>
  <si>
    <t>The new law makes health insurance mandatory for all citizens.
새로운 법률은 모든 시민에게 의무적으로 건강보험을 제공합니다.</t>
  </si>
  <si>
    <t>mangled</t>
  </si>
  <si>
    <t>아픈, 엉망진창의, 엉망으로 변한</t>
  </si>
  <si>
    <t>The car's front bumper was mangled beyond recognition.
차의 앞범퍼는 인식할 수 없을 정도로 엉망진창이었다.</t>
  </si>
  <si>
    <t>manifold</t>
  </si>
  <si>
    <t>다양한, 여러 가지, 다중</t>
  </si>
  <si>
    <t>The company's new product line offers a manifold of innovative features.
회사 제품 라인은 많은 혁신적인 기능을 제공합니다.</t>
  </si>
  <si>
    <t>manipulate</t>
  </si>
  <si>
    <t>수정하다, 조종하다, 속이기</t>
  </si>
  <si>
    <t>The politician's words were carefully chosen to manipulate public opinion.
정치인의 말은 공감대를 조종하기 위해 신중하게 선택되었다.</t>
  </si>
  <si>
    <t>manipulating</t>
  </si>
  <si>
    <t>수정하는, 조종하는, 속이는</t>
  </si>
  <si>
    <t>The politician was accused of manipulating public opinion to sway the election results.
정치인은 선거 결과를 바꾸기 위해 국민 의견을 조종했다고 비난받았다.</t>
  </si>
  <si>
    <t>mar</t>
  </si>
  <si>
    <t>mar , mar , mar</t>
  </si>
  <si>
    <t>The mar on her face was a reminder of her childhood accident.
그녀의 얼굴에 있는 마르는 그녀의 어린 시절의 사고를 떠올리게 한다.</t>
  </si>
  <si>
    <t>marginally</t>
  </si>
  <si>
    <t>부족하게, 거의, 경계적으로</t>
  </si>
  <si>
    <t>The new policy will marginally improve the company's financial situation.
새 정책은 회사의 재정 상황을 약간 개선할 것이다.</t>
  </si>
  <si>
    <t>market</t>
  </si>
  <si>
    <t>시장, 거래, 판매</t>
  </si>
  <si>
    <t>The company will launch its new product at the market next month.
회사에서는 다음 달에 새로운 제품을 시장에서 출시할 것입니다.</t>
  </si>
  <si>
    <t>marooned</t>
  </si>
  <si>
    <t>도망자, 버려진 사람, 해상에서 버려진 사람</t>
  </si>
  <si>
    <t>The sailors were marooned on a deserted island after their ship sank.
해상에서 침몰한 배로 해상에서 버려진 선원들은 무인도에 버려졌습니다.</t>
  </si>
  <si>
    <t>mass</t>
  </si>
  <si>
    <t>질량, 무게, 집단</t>
  </si>
  <si>
    <t>The new policy aims to reduce the mass of plastic waste in our oceans.
새 정책은 우리 바다에서 플라스틱 폐기물을 줄이기 위해 노력하고 있습니다.</t>
  </si>
  <si>
    <t>match</t>
  </si>
  <si>
    <t>화재, 경쟁, 일치</t>
  </si>
  <si>
    <t>The fire will match the flames of the explosion.
화재는 폭발의 불꽃과 일치할 것이다.</t>
  </si>
  <si>
    <t>meager</t>
  </si>
  <si>
    <t>가난한, 적은, 부족한</t>
  </si>
  <si>
    <t>The company's profits were meager, barely enough to cover their expenses.
회사 수익은 가난한 것이어서 비용을 덮기에는 겨우 충분했다.</t>
  </si>
  <si>
    <t>meander</t>
  </si>
  <si>
    <t>길을 따라 흐르는 물, 유체의 흐름을 따라서 변형되는 경로, 느리게 걷거나 달리기</t>
  </si>
  <si>
    <t>The river meanders lazily through the valley.
강은 дол산을 따라 느리게 흐른다.</t>
  </si>
  <si>
    <t>measure</t>
  </si>
  <si>
    <t>계량, 측정, 규모</t>
  </si>
  <si>
    <t>The new policy aims to measure the impact of climate change on local communities.
새 정책은 기후 변화가 지역 사회에 미치는 영향을 측정하기 위해 있다.</t>
  </si>
  <si>
    <t>medium</t>
  </si>
  <si>
    <t>매체, 중간, 중도</t>
  </si>
  <si>
    <t>The movie was broadcast on a medium-sized screen.
영화는 중간 크기의 스크린에서 방송되었다.</t>
  </si>
  <si>
    <t>memorize</t>
  </si>
  <si>
    <t>기억하다, 암기하다, 외우다</t>
  </si>
  <si>
    <t>She spent hours every day to memorize the entire script for the play.
그녀는 매일 밤을 꼬박꼬박 연극의 전체 대본을 외우기 위해 시간을 들였다.</t>
  </si>
  <si>
    <t>menace</t>
  </si>
  <si>
    <t>위협, 위험, 악성</t>
  </si>
  <si>
    <t>The abandoned house on the hill has become a menace to the neighborhood.
산 위에 있는 폐허가 마을에 위협이 되었다.</t>
  </si>
  <si>
    <t>merit</t>
  </si>
  <si>
    <t>성과, 가치, 우수성</t>
  </si>
  <si>
    <t>The student's hard work and dedication earned her the merit of being valedictorian.
학생의 열심과 헌신으로 졸업식 사회자로 선정되었다.</t>
  </si>
  <si>
    <t>meritorious</t>
  </si>
  <si>
    <t>성공적인, 공로 있는, 대단한</t>
  </si>
  <si>
    <t>The scientist's groundbreaking discovery was a meritorious achievement that earned her a Nobel Prize.
과학자의 혁신적인 발견은 노벨상을 수상하는 대단한 성과였다.</t>
  </si>
  <si>
    <t>mesmerize</t>
  </si>
  <si>
    <t>무시마이즈 , 매혹하다 , 매혹적인</t>
  </si>
  <si>
    <t>The magician's performance was able to mesmerize the entire audience.
마술사들의 공연은 전석이 매료되었다.</t>
  </si>
  <si>
    <t>migrate</t>
  </si>
  <si>
    <t>이주하다, 이민하다, 이동하다</t>
  </si>
  <si>
    <t>The company will migrate its data to a new server to improve performance.
회사에서는 성능을 개선하기 위해 데이터를 새로운 서버로 이주할 것입니다.</t>
  </si>
  <si>
    <t>milder</t>
  </si>
  <si>
    <t>온화한, 약한, 덜한</t>
  </si>
  <si>
    <t>The new policy is expected to be more effective and milder than the previous one.
새 정책은 이전 정책보다 더 효과적이고 온화할 것으로 예상됩니다.</t>
  </si>
  <si>
    <t>miscreant</t>
  </si>
  <si>
    <t>범죄자, 악행자, 죄인</t>
  </si>
  <si>
    <t>The police were searching for a miscreant who had been causing trouble in the neighborhood.
경찰은 동네에서 문제를 일으키는 범죄자를 찾고 있었다.</t>
  </si>
  <si>
    <t>missed</t>
  </si>
  <si>
    <t>잊어버린 것, 놓친 것, 놓치다</t>
  </si>
  <si>
    <t>She missed her flight by just a few minutes.
그녀는 몇 분만 남았을 때 비행기를 놓쳤다.</t>
  </si>
  <si>
    <t>mistreated</t>
  </si>
  <si>
    <t>어린시절에 학대받았어, 학대받은 사람, 불공정하게 대우받은 사람</t>
  </si>
  <si>
    <t>She had been mistreated by her parents as a child.
그녀는 어린 시절에 부모님으로부터 학대받았다.</t>
  </si>
  <si>
    <t>mitigating</t>
  </si>
  <si>
    <t>감소하는, 완화하는, 중재하는</t>
  </si>
  <si>
    <t>The new policy aims to mitigate the negative impact of the economic downturn on local businesses.
새로운 정책은 지역 기업에 대한 경제 침체의 부정적인 영향을 완화하기 위해 목표를 두고 있습니다.</t>
  </si>
  <si>
    <t>modified</t>
  </si>
  <si>
    <t>수정된, 변형된, 변형</t>
  </si>
  <si>
    <t>The new software has been modified to improve its performance.
새로운 소프트웨어는 성능을 향상시키기 위해 수정되었습니다.</t>
  </si>
  <si>
    <t>modifying</t>
  </si>
  <si>
    <t>수정하는, 변형, 변조, 수정, 변형, 수정하는</t>
  </si>
  <si>
    <t>The new software will be modifying the existing code to improve performance.
새 소프트웨어는 성능을 개선하기 위해 기존 코드를 수정할 것입니다.</t>
  </si>
  <si>
    <t>mortgaged</t>
  </si>
  <si>
    <t>부동산 담보, 담보된 부동산, 담보된 채무</t>
  </si>
  <si>
    <t>The house was mortgaged to secure a large loan.
집은 큰 대출을 보증하기 위해 담보가 되었다.</t>
  </si>
  <si>
    <t>mortifying</t>
  </si>
  <si>
    <t>어리석은, 부끄러운, 수치심을 느끼게 하는</t>
  </si>
  <si>
    <t>Her mortifying mistake in front of her boss's client ruined her chances of getting the promotion.
그녀의 수치심을 느끼게 하는 실수는 그녀의 승진 기회를 망쳤다.</t>
  </si>
  <si>
    <t>motivated</t>
  </si>
  <si>
    <t>동기, 동기부여, 열정적인</t>
  </si>
  <si>
    <t>She was motivated by a desire to make a difference in her community.
그녀는 자신의 지역 사회에 긍정적인 영향을 미치고 싶은 욕망으로 동기부여 받았다.</t>
  </si>
  <si>
    <t>mowed</t>
  </si>
  <si>
    <t>자르다, 자른 것, 잔디를 깎다</t>
  </si>
  <si>
    <t>The lawn needed to be mowed every weekend.
주말마다 잔디를 깍아야 했다.</t>
  </si>
  <si>
    <t>multiplying</t>
  </si>
  <si>
    <t>부가, 곱하기, 증가</t>
  </si>
  <si>
    <t>The new policy will be multiplying the benefits for low-income families.
저소득층 가족에게는 새로운 정책으로 혜택이 증가합니다.</t>
  </si>
  <si>
    <t>multitude</t>
  </si>
  <si>
    <t>대중, 무수히 많은 사람들, 무수</t>
  </si>
  <si>
    <t>The city was crowded with a multitude of people rushing to and from work.
도시에는 일과 출근하는 사람들로 무수히 붐비고 있었다.</t>
  </si>
  <si>
    <t>mundane</t>
  </si>
  <si>
    <t>daily routine, ordinary, uninteresting ,</t>
  </si>
  <si>
    <t>The daily commute to work was a mundane routine that she had grown tired of.
일상적인 일은 그녀가 지겹게 느끼게 된 일이었다.</t>
  </si>
  <si>
    <t>mythical</t>
  </si>
  <si>
    <t>신화적, 전설적, 허구의</t>
  </si>
  <si>
    <t>The unicorn is a mythical creature that has been depicted in various forms of art throughout history.
유니콘은 역사상 다양한 예술 형태로 묘사된 신화적 동물이다.</t>
  </si>
  <si>
    <t>nab</t>
  </si>
  <si>
    <t>수집하다, 잡다, 잡아당기다</t>
  </si>
  <si>
    <t>The police managed to nab the suspect who had been on the run for months.
경찰은 수개월 동안 도망친 용의자를 붙잡았다.</t>
  </si>
  <si>
    <t>nauseated</t>
  </si>
  <si>
    <t>구역질 나는, 구역질 나게 하는, 구역질 나는 것</t>
  </si>
  <si>
    <t>The smell of the dumpster made her nauseated.
쓰레기통의 냄새가 그녀를 구역질 나게 했다.</t>
  </si>
  <si>
    <t>nebulous</t>
  </si>
  <si>
    <t>물리적 형태가 불명확한, 모호한, 불분명한  / 우주적 구름의 형태를 닮은  / 불분명한, 모호한</t>
  </si>
  <si>
    <t>The company's financial future remains nebulous due to the recent economic downturn.
회사 재정의 미래는 최근 경제 침체로 인해 불분명하다.</t>
  </si>
  <si>
    <t>nick</t>
  </si>
  <si>
    <t>명함, 이름, 작은 구멍</t>
  </si>
  <si>
    <t>She gave him a nick on the cheek as a joke.
그녀는 그를 농담으로 볼에 작은 구멍을 내주었다.</t>
  </si>
  <si>
    <t>nimblest</t>
  </si>
  <si>
    <t>가장 빠른, 가장 민첩한, 가장한</t>
  </si>
  <si>
    <t>She was the nimblest dancer in the company, able to execute even the most complex choreography with ease.
그녀는 회사에서 가장 빠른 춤꾼이었다.</t>
  </si>
  <si>
    <t>nipped</t>
  </si>
  <si>
    <t>잘린 것, 찌른 것, 찌르는 동사</t>
  </si>
  <si>
    <t>The cold wind nipped at her face.
바람이 그녀의 얼굴을 찌렀다.</t>
  </si>
  <si>
    <t>nominal</t>
  </si>
  <si>
    <t>명목적, 명목, 명목적어</t>
  </si>
  <si>
    <t>The company's nominal value is $10 per share.
회사 명목 가치는 1 주당 10 달러입니다.</t>
  </si>
  <si>
    <t>nondescript</t>
  </si>
  <si>
    <t>비범한, 평범한, 무형태의</t>
  </si>
  <si>
    <t>The new office building was nondescript, blending in with the surrounding architecture.
새로운 사무실 건물은 주변 건축물과 어우러져서 비범한 모습을 보였다.</t>
  </si>
  <si>
    <t>nosy</t>
  </si>
  <si>
    <t>관심을 두는 것, 간섭하는 것, 사적인 일에 관심을 두는 것</t>
  </si>
  <si>
    <t>She's always being nosy about her neighbors' personal lives.
그녀는 항상 이웃들의 사적인 일에 관심을 두는 편이다.</t>
  </si>
  <si>
    <t>noticed</t>
  </si>
  <si>
    <t>관찰했다 , 발견했다 , 알게 되었다 ,</t>
  </si>
  <si>
    <t>She noticed that he was staring at her.
그가 그녀를 응시하고 있다는 것을 알게 되었다.</t>
  </si>
  <si>
    <t>noticing</t>
  </si>
  <si>
    <t>관찰하는 것, 발견하는 것, 주의를 기울이는 것</t>
  </si>
  <si>
    <t>She began noticing the subtle changes in his behavior.
그의 행동에 있는 미묘한 변화를 그녀는 시작해서 발견했다.</t>
  </si>
  <si>
    <t>notify</t>
  </si>
  <si>
    <t>알리다, 통지하다, 알려주다</t>
  </si>
  <si>
    <t>The company will notify its customers of the price change.
회사에서는 가격변경을 고객들에게 알릴 것입니다.</t>
  </si>
  <si>
    <t>nourish</t>
  </si>
  <si>
    <t>식이, 양분, 기르다</t>
  </si>
  <si>
    <t>She made sure to nourish her body with a healthy diet.
그녀는 건강한 식단으로 몸을 기르기 위해 주의를 기울였다.</t>
  </si>
  <si>
    <t>nullifying</t>
  </si>
  <si>
    <t>무효화하는, 무효, 무력화</t>
  </si>
  <si>
    <t>The new law effectively nullified the existing tax loopholes.
새로운 법률은 기존의 세금 우대 조항을 효력을 상실하게 했다.</t>
  </si>
  <si>
    <t>nurture</t>
  </si>
  <si>
    <t>부양, 양육, 돌보기</t>
  </si>
  <si>
    <t>She devoted her life to nurture the talents of her students.
그녀는 학생들의 재능을 키우기 위해 일생을 바쳤다.</t>
  </si>
  <si>
    <t>obedient</t>
  </si>
  <si>
    <t>의리있는, 순종하는, 순종적인</t>
  </si>
  <si>
    <t>The children were obedient and listened carefully to their teacher's instructions.
아동들은 교사님의 지시를 신중히 듣고 순종했다.</t>
  </si>
  <si>
    <t>objective</t>
  </si>
  <si>
    <t>목적, 객관적, 목적을 달성하는 것</t>
  </si>
  <si>
    <t>The team's objective was to win the championship.
팀의 목적은 우승을 달성하는 것이었다.</t>
  </si>
  <si>
    <t>objects</t>
  </si>
  <si>
    <t>대상, 물건, 사물</t>
  </si>
  <si>
    <t>The objects on the table were dusty.
탁자 위에 있는 물건들이 먼지로 덮여 있었다.</t>
  </si>
  <si>
    <t>obligated</t>
  </si>
  <si>
    <t>부담되는, 의무가 있는, 의무를 지는, 의무가 있는, 의무를 지는, 의무를 감수하는, 의무를 지고 있는, 의무를 지고 있는, 의무를 감수하는</t>
  </si>
  <si>
    <t>She felt obligated to help her friend in need.
그녀는 친구가 필요할 때 도와주어야 한다는 의무감을 느꼈다.</t>
  </si>
  <si>
    <t>obligation</t>
  </si>
  <si>
    <t>의무, 의무감, 의무사항</t>
  </si>
  <si>
    <t>She felt a strong sense of obligation to help her friend in need.
그녀는 친구에게 도움이 필요할 때 도와주어야 한다는 의무감을 느꼈다.</t>
  </si>
  <si>
    <t>obliterated</t>
  </si>
  <si>
    <t>부수다, 소멸하다, 지워지다</t>
  </si>
  <si>
    <t>The city was obliterated by the massive earthquake.
도시가 거대한 지진으로 완전히 소멸되었다.</t>
  </si>
  <si>
    <t>oblivious</t>
  </si>
  <si>
    <t>무심하다, 무지하다, 알지 못하는</t>
  </si>
  <si>
    <t>She walked right past him without noticing he was standing there, oblivious to his presence.
그녀는 그가 서 있는 것을 알지 못하고 그를 지나갔다.</t>
  </si>
  <si>
    <t>obscured</t>
  </si>
  <si>
    <t>가려진, 흐린, 보이지 않는</t>
  </si>
  <si>
    <t>The city's skyline was obscured by thick fog.
도시의 도시 풍경은 두꺼운 안개로 가려졌다.</t>
  </si>
  <si>
    <t>obsolete</t>
  </si>
  <si>
    <t>구식, 폐지된, 사용되지 않는</t>
  </si>
  <si>
    <t>The old computer technology has become largely obsolete in today's digital age.
오늘날의 디지털 시대에식 컴퓨터 기술은 크게 사용되지 않는다.</t>
  </si>
  <si>
    <t>obstinate</t>
  </si>
  <si>
    <t>단호한,한, 강박적인</t>
  </si>
  <si>
    <t>She found it difficult to deal with her obstinate younger brother.
그녀는 단호한 그녀의 어린 형제와 대화하기가 어려웠다.</t>
  </si>
  <si>
    <t>obstructive</t>
  </si>
  <si>
    <t>장애적, 방해적, 장애물</t>
  </si>
  <si>
    <t>The new highway was designed to be non-obstructive to the surrounding environment.
새로운 고속도로는 주변 환경에 장애를 주지 않는 디자인으로 계획되었다.</t>
  </si>
  <si>
    <t>obtain</t>
  </si>
  <si>
    <t>1. 얻다 , 2. 획득하다 , 3. 얻은 것</t>
  </si>
  <si>
    <t>She struggled to obtain a visa for the trip.
여행을 위한 비자를 얻기 위해 그녀는 많은 노력을 기울였다.</t>
  </si>
  <si>
    <t>obtuse</t>
  </si>
  <si>
    <t>1.  - 무지한, 둔한, 둔감한, 
2.  - 둔각의, 
3.  - 둔각</t>
  </si>
  <si>
    <t>The professor's obtuse remark about the student's work sparked a heated debate in the classroom.
교수님의 학생의 작품에 대한 무지한 발언이 교실에서 뜨거운 논쟁을 일으켰다.</t>
  </si>
  <si>
    <t>obvious</t>
  </si>
  <si>
    <t>명백한, 분명한, 뚜렷한</t>
  </si>
  <si>
    <t>The fact that she was tired was obvious from her slow movements.
그녀가 피곤한 것은 그녀의 느린 움직임에서 명백했다.</t>
  </si>
  <si>
    <t>occasion</t>
  </si>
  <si>
    <t>기회, 상황, 행사</t>
  </si>
  <si>
    <t>She wore a beautiful dress to the wedding occasion.
그녀는 결혼식 행사에 아름다운 드레스를 입었다.</t>
  </si>
  <si>
    <t>offer</t>
  </si>
  <si>
    <t>수상, 제안, 제의, 제시, 제공, 제안하다</t>
  </si>
  <si>
    <t>She offered to help me with my homework.
그녀가 나에게 과제를 도와주겠다고 제안했다.</t>
  </si>
  <si>
    <t>offset</t>
  </si>
  <si>
    <t>부담, 보상, 균형, 보상금, 보상액</t>
  </si>
  <si>
    <t>The company will offset its carbon emissions by investing in renewable energy projects.
회사에서는 재생에너지 프로젝트에 투자하여 탄소 배출량을 보상할 것입니다.</t>
  </si>
  <si>
    <t>offspring</t>
  </si>
  <si>
    <t>자녀, 후손, 유산</t>
  </si>
  <si>
    <t>The couple's offspring grew up to be successful professionals.
그들의 자녀들은 모두 성공한 전문가가 되었다.</t>
  </si>
  <si>
    <t>omitting</t>
  </si>
  <si>
    <t>잊어버리다, 생략하다, 빠뜨리다</t>
  </si>
  <si>
    <t>The new policy requires omitting unnecessary expenses from the budget.
새 정책은 예산에서 불필요한 비용을 생략하는 것을 요구합니다.</t>
  </si>
  <si>
    <t>opinion</t>
  </si>
  <si>
    <t>견해, 의견, 생각</t>
  </si>
  <si>
    <t>Her opinion on the new policy was widely respected.
그녀의 새로운 정책에 대한 의견은 널리 존경받았다.</t>
  </si>
  <si>
    <t>opportunity</t>
  </si>
  <si>
    <t>기회, 찬스, 가능성</t>
  </si>
  <si>
    <t>She seized the opportunity to travel abroad after graduating from college.
대학을 졸업한 후 해외여행 기회를 잡았다.</t>
  </si>
  <si>
    <t>oppose</t>
  </si>
  <si>
    <t>반대하다, 반발하다, 반대</t>
  </si>
  <si>
    <t>The protesters strongly opposed the government's decision to raise taxes.
시위자들은 세금 인상을 하는 정부의 결정에 강력히 반대했다.</t>
  </si>
  <si>
    <t>opulent</t>
  </si>
  <si>
    <t>luxurious, wealthy, grandiose ,</t>
  </si>
  <si>
    <t>The opulent decorations in the palace were a testament to the king's wealth and power.
궁전의 화려한 장식은 왕의 부와 권력을 증명했다.</t>
  </si>
  <si>
    <t>order</t>
  </si>
  <si>
    <t>명령, 순서, 정렬</t>
  </si>
  <si>
    <t>She placed her order at the restaurant.
그녀는 식당에서 주문했다.</t>
  </si>
  <si>
    <t>ordered</t>
  </si>
  <si>
    <t>정리된, 명령을 받은, 정해진</t>
  </si>
  <si>
    <t>She ordered a salad for lunch.
그녀는 점심으로 샐러드를 주문했다.</t>
  </si>
  <si>
    <t>organized</t>
  </si>
  <si>
    <t>정리된, 체계화된, 계획된</t>
  </si>
  <si>
    <t>The company's files were organized in a logical and easy-to-follow manner.
회사 파일은 논리적이고 쉽게 따라할 수 있는 방식으로 정리되어 있었다.</t>
  </si>
  <si>
    <t>originated</t>
  </si>
  <si>
    <t>원래, 기원, 시작</t>
  </si>
  <si>
    <t>The concept of democracy originated in ancient Greece.
민주주의는 고대 그리스에서 시작되었다.</t>
  </si>
  <si>
    <t>ostensible</t>
  </si>
  <si>
    <t>1. 명목상, 표면적으로 , 
2. 명목, 표면 , 
3. 명백하지 않은 것</t>
  </si>
  <si>
    <t>The company's ostensible commitment to sustainability was called into question after a series of environmental disasters.
회사에 따르면 지속가능성을 위한 명목상의 약속이 환경 재난의 연속으로 의심을 받았다.</t>
  </si>
  <si>
    <t>ostentatious</t>
  </si>
  <si>
    <t>자랑스럽다, 화려한, 자랑거름</t>
  </si>
  <si>
    <t>The couple's ostentatious display of wealth was off-putting to their more modest friends.
부부의 화려한 부호생활을 자랑하는 모습은 더 가난한 친구들에게는 거슬렸다.</t>
  </si>
  <si>
    <t>ostentatiously</t>
  </si>
  <si>
    <t>자랑스럽게, 과시적으로, 화려하게</t>
  </si>
  <si>
    <t>She flaunted her wealth ostentatiously, buying expensive jewelry and designer clothes.
그녀는 부를 자랑스럽게 과시하며 고가의 보석과 디자이너 의류를 사고 있었다.</t>
  </si>
  <si>
    <t>ousted</t>
  </si>
  <si>
    <t>차관사임당한, 퇴진당한, 권력에서 쫓겨난</t>
  </si>
  <si>
    <t>The prime minister was ousted in a no-confidence vote.
총리님이 불신임 투표로 퇴진당했습니다.</t>
  </si>
  <si>
    <t>out on a limb</t>
  </si>
  <si>
    <t>고립된 상황, 위험에 빠진 상태, 독단적인 입장</t>
  </si>
  <si>
    <t>She took a risk by investing in a new business venture, putting herself out on a limb.
그녀는 새로운 사업에 투자하여 자신을 위험에 빠뜨렸다.</t>
  </si>
  <si>
    <t>outgoing</t>
  </si>
  <si>
    <t>외향적, 사회적, 친화력 있는</t>
  </si>
  <si>
    <t>She's known for her outgoing personality, which makes her a great host.
그녀는 친화력이 뛰어나서 좋은 주인공이 되는 것을 자랑한다.</t>
  </si>
  <si>
    <t>outline</t>
  </si>
  <si>
    <t>도면, 개요, 윤곽</t>
  </si>
  <si>
    <t>The professor asked the students to create an outline of the chapter before writing the essay.
교수님은 학생들에게 장을 쓰기 전에 장의 도면을 만들라고 했습니다.</t>
  </si>
  <si>
    <t>overact</t>
  </si>
  <si>
    <t>연기 오버액팅, 과장된 연기, 과도한 감정 표현</t>
  </si>
  <si>
    <t>The actor's overacting made the scene feel melodramatic.
배우의 연기 오버액팅으로 인해 장면은 멜로다라미틱한 느낌을 주었다.</t>
  </si>
  <si>
    <t>overcome</t>
  </si>
  <si>
    <t>부담, 극복, 승리</t>
  </si>
  <si>
    <t>She had to overcome her fear of public speaking to succeed in her career.
그녀는 공포를 극복하고야만 직장에서 성공할 수 있었다.</t>
  </si>
  <si>
    <t>overlook</t>
  </si>
  <si>
    <t>감시하지 않다, 무시하다, 경치가 좋은 곳</t>
  </si>
  <si>
    <t>The tourists were so caught up in their conversation that they overlooked the breathtaking view.
관광객들은 대화에 너무 몰두하여 경치가 아름다운 곳을 무시했다.</t>
  </si>
  <si>
    <t>overpowers</t>
  </si>
  <si>
    <t>힘을 이기다, 이기다, 강하다</t>
  </si>
  <si>
    <t>The new superhero movie overpowers the audience with its stunning visual effects.
새로운 슈퍼히어로 영화는 관객들을 감탄케 하는 경이로운 시각 효과로 압도한다.</t>
  </si>
  <si>
    <t>oversee</t>
  </si>
  <si>
    <t>감독하다, 지휘하다, 감독하는 사람</t>
  </si>
  <si>
    <t>The company's CEO will oversee the entire project.
회사 사장은 전반적인 프로젝트를 감독할 것입니다.</t>
  </si>
  <si>
    <t>overthrowing</t>
  </si>
  <si>
    <t>정변, 타도, 권력을 뒤집는</t>
  </si>
  <si>
    <t>The protesters were determined to overthrowing the corrupt government.
시위자들은 부패한 정부를 타도하려고했다.</t>
  </si>
  <si>
    <t>pacify</t>
  </si>
  <si>
    <t>The protesters refused to disperse until the police were able to pacify the crowd.
경찰이 군중을 진정시키기까지 시위대는 해산하지 않았다.</t>
  </si>
  <si>
    <t>paid off</t>
  </si>
  <si>
    <t>지불 완료, 대출 상환, 부담 완화</t>
  </si>
  <si>
    <t>The mortgage was finally paid off after 20 years of monthly payments.
20년 동안 월별 납부를 통해 최종적으로 집담보대출이 지불 완료되었습니다.</t>
  </si>
  <si>
    <t>painful</t>
  </si>
  <si>
    <t>고통스러운, 아픈, 통증스러운</t>
  </si>
  <si>
    <t>The news of her divorce was painful for her children.
그녀의 이혼 소식은 그녀의 아이들에게 통증스러웠다.</t>
  </si>
  <si>
    <t>pains</t>
  </si>
  <si>
    <t>고통, 아픔, 고통스러운</t>
  </si>
  <si>
    <t>The surgery will cause her a lot of pains.
수술은 그녀에게 많은 고통을 주게 될 것이다.</t>
  </si>
  <si>
    <t>paint the town red</t>
  </si>
  <si>
    <t>도시를 붉은색으로 칠하다, 도시를 즐기다, 파티를 열다</t>
  </si>
  <si>
    <t>The young couple decided to paint the town red on their last night in the city.
젊은 커플은 도시를 즐기기 위해 마지막 밤에 도시를 즐기기로 결정했다.</t>
  </si>
  <si>
    <t>palatable</t>
  </si>
  <si>
    <t>맛있는, 먹기 좋다,</t>
  </si>
  <si>
    <t>The chef added a pinch of salt to make the dish more palatable.
요리사는 소금을 조금 더 넣어 먹기 좋게 만들었다.</t>
  </si>
  <si>
    <t>pale</t>
  </si>
  <si>
    <t>은색, 희미한, 어두운</t>
  </si>
  <si>
    <t>The city's pale sunlight struggled to penetrate the thick fog.
도시의 은색 빛은 두꺼운 안개에 뚫을 수 없었다.</t>
  </si>
  <si>
    <t>paltry</t>
  </si>
  <si>
    <t>작은 것, 저렴한 것, 부족한 것</t>
  </si>
  <si>
    <t>The company's profits were paltry, barely enough to cover its expenses.
회사 수익은 작고, 부족하여 경비를 겨우 충당할 수 있었다.</t>
  </si>
  <si>
    <t>panacea</t>
  </si>
  <si>
    <t>치료제, 완전한 치료, 모든 병을 치료하는 약</t>
  </si>
  <si>
    <t>The new medicine was touted as a panacea for the common cold.
새로운 약은 감기 치료제로 홍보되었다.</t>
  </si>
  <si>
    <t>panorama</t>
  </si>
  <si>
    <t>전경, 전망, 풍경</t>
  </si>
  <si>
    <t>The city's skyline offered a breathtaking panorama of the surrounding landscape.
도시의 도시 풍경이 주변 풍경을 압도하는 전경을 제공했다.</t>
  </si>
  <si>
    <t>paper tiger</t>
  </si>
  <si>
    <t>부동산, 가위바위보, 허구의 위협</t>
  </si>
  <si>
    <t>The company's aggressive marketing tactics made it a paper tiger in the industry.
회사들의 공격적인 마케팅 전략으로 인해 그들은 산업에서 가위바위보였습니다.</t>
  </si>
  <si>
    <t>parallel</t>
  </si>
  <si>
    <t>1. 평행 , 2. 병렬 , 3. 동시에</t>
  </si>
  <si>
    <t>The two roads run parallel to each other for several miles.
두 도로가 서로 평행하여 수 마일 동안 계속된다.</t>
  </si>
  <si>
    <t>partitions</t>
  </si>
  <si>
    <t>분할, 구획, 구획선</t>
  </si>
  <si>
    <t>The company will install partitions to separate the office spaces.
회사에서는 사무공간을 분할하기 위해 구획을 설치할 것입니다.</t>
  </si>
  <si>
    <t>partnership</t>
  </si>
  <si>
    <t>상호 업무, 파트너십, 동반자 관계</t>
  </si>
  <si>
    <t>The company's success was largely due to its partnership with a leading technology firm.
회사 성공은 주로 선도적인 기술 회사와의 파트너십 덕분이었다.</t>
  </si>
  <si>
    <t>pass up</t>
  </si>
  <si>
    <t>기회를 포기하다, 무시하다, 거절하다, 놓치다</t>
  </si>
  <si>
    <t>She couldn't pass up the opportunity to meet her favorite artist.
그녀는 자신의 좋아하는 가수를 만날 기회를 놓치지 못했다.</t>
  </si>
  <si>
    <t>passed</t>
  </si>
  <si>
    <t>시간, 과거, 통과</t>
  </si>
  <si>
    <t>The exam was over, and she felt relieved that she had passed.
시험은 끝났고, 그녀는 통과한 것을 느꼈다.</t>
  </si>
  <si>
    <t>passing the buck</t>
  </si>
  <si>
    <t>부스러기, 책임을 전가하다, 책임을 넘기다</t>
  </si>
  <si>
    <t>The company's management has been accused of passing the buck to its employees, rather than taking responsibility for the financial losses.
회사 관리는 직원들에게 책임을 전가하며 재정 손실에 대한 책임을 지지 않았다.</t>
  </si>
  <si>
    <t>pathetic</t>
  </si>
  <si>
    <t>부질없는, 비참한, 슬픈</t>
  </si>
  <si>
    <t>The movie's sad ending left the audience feeling pathetic.
영화의 슬픈 결말이 관객들에게 비참한 기분을 주었다.</t>
  </si>
  <si>
    <t>pejorative</t>
  </si>
  <si>
    <t>비하적, 비하어, 비하적인</t>
  </si>
  <si>
    <t>The politician's use of the term was widely criticized as a pejorative.
정치인님의 그 용어 사용은 널리 비하어로 비판되었다.</t>
  </si>
  <si>
    <t>penetrate</t>
  </si>
  <si>
    <t>입수하다, 관통하다, 침투하다</t>
  </si>
  <si>
    <t>The new technology allows us to penetrate the dense forest with ease.
새 기술은 우리에게 쉽게 밀림없는 숲을 관통할 수 있게 해줍니다.</t>
  </si>
  <si>
    <t>perched</t>
  </si>
  <si>
    <t>기둥에 앉아 있는 것, 나무 branch에 앉아 있는 것, 높은 곳에 앉아 있는 것</t>
  </si>
  <si>
    <t>The bird perched on a branch high above the lake.
새는 깊은 호수 위에 있는 나무 branch에 앉아 있었다.</t>
  </si>
  <si>
    <t>perfunctory</t>
  </si>
  <si>
    <t>기본적인, 표면적인, 무의미한</t>
  </si>
  <si>
    <t>The company's customer service was perfunctory, with representatives simply reading from a script.
회사 고객 서비스는 단순히 스크립트를 읽는 것에 불과했다.</t>
  </si>
  <si>
    <t>peril</t>
  </si>
  <si>
    <t>위험성, 위기, 위험</t>
  </si>
  <si>
    <t>The hikers faced a steep cliff, and the peril of falling was very real.
등산객들은 험준한 절벽을 마주했고, 떨어지는 위험은 매우 현실적이었다.</t>
  </si>
  <si>
    <t>periphery</t>
  </si>
  <si>
    <t>시계대, 경계, 가장자리,</t>
  </si>
  <si>
    <t>The city's periphery is a mix of urban and rural landscapes.
도시의 가장자리는 도시와 농촌의 혼합된 풍경이다.</t>
  </si>
  <si>
    <t>perish</t>
  </si>
  <si>
    <t>망가, 멸망, 죽음</t>
  </si>
  <si>
    <t>The crops will perish if they are not watered soon.
물이 안 주면 작물은 망가질 것이다.</t>
  </si>
  <si>
    <t>permit</t>
  </si>
  <si>
    <t>허가, 허증, 허가증, 허가 받다, 허용하다</t>
  </si>
  <si>
    <t>The park ranger will not permit camping in the restricted area.
공원 경비는 제한된 지역에서 캠핑을 허용하지 않습니다.</t>
  </si>
  <si>
    <t>permits</t>
  </si>
  <si>
    <t>허가, 허용, 허가증</t>
  </si>
  <si>
    <t>The new development project requires several permits before it can begin construction.
새로운 개발 프로젝트는 건설을 시작하기 전에 여러 가지 허가를 필요로 한다.</t>
  </si>
  <si>
    <t>perpetual</t>
  </si>
  <si>
    <t>무한한, 영원한, 지속적인</t>
  </si>
  <si>
    <t>The museum's collection is a perpetual reminder of the city's rich history.
박물관의 전시는 도시의 풍부한 역사에 대한 영원한 상징이다.</t>
  </si>
  <si>
    <t>personas</t>
  </si>
  <si>
    <t>인물, 캐릭터, 분위기</t>
  </si>
  <si>
    <t>The company created multiple personas to appeal to different demographics.
회사에서는 다양한 연령층을 겨냥한 여러 인물을 만들었다.</t>
  </si>
  <si>
    <t>perturb</t>
  </si>
  <si>
    <t>불안정시키다, 방해하다, 혼란을 일으키다</t>
  </si>
  <si>
    <t>The news of the company's bankruptcy will perturb the stock market.
회사 파산 소식은 주식 시장에 영향을 미칠 것이다.</t>
  </si>
  <si>
    <t>perturbed</t>
  </si>
  <si>
    <t>불안한, 혼란스러운, 방해받은</t>
  </si>
  <si>
    <t>The news of her resignation left everyone perturbed.
그녀의 사임 소식으로 모든 사람들이 불안해했다.</t>
  </si>
  <si>
    <t>petitioned</t>
  </si>
  <si>
    <t>요청했다, 청원했다, 청구했다</t>
  </si>
  <si>
    <t>The company has petitioned the government to reconsider its decision.
회사에서는 정부의 결정에 대해 다시 생각해 달라고 청원했다.</t>
  </si>
  <si>
    <t>petitioning</t>
  </si>
  <si>
    <t>요청하는 것, 청원하는 것, 간청하는 것</t>
  </si>
  <si>
    <t>The protesters were petitioning the government to reconsider the new policy.
시위자들은 정부가 새로운 정책을 재검토하도록 요청하고 있었다.</t>
  </si>
  <si>
    <t>petrified</t>
  </si>
  <si>
    <t>기형, 석화된, 공포에 질린</t>
  </si>
  <si>
    <t>The news of the impending disaster left her petrified.
기상 예보에서 임박한 재난 소식으로 그녀는 공포에 질렸다.</t>
  </si>
  <si>
    <t>pilfered</t>
  </si>
  <si>
    <t>도둑맞은 것, 도둑질 당한 것, 도둑맞은 물건</t>
  </si>
  <si>
    <t>The valuable jewels were pilfered from the museum during the night.
박물관에서 밤에 도둑맞아 버린 귀중한 보석이 있었다.</t>
  </si>
  <si>
    <t>pinpoint</t>
  </si>
  <si>
    <t>1. 정확히 지정하는 것 , 2. 정확히 위치를 찾는 것 , 3. 정확히 위치를 찾은 것</t>
  </si>
  <si>
    <t>The doctor was able to pinpoint the source of the patient's illness.
의사는 환자의 병의 원인을 정확히 찾았다.</t>
  </si>
  <si>
    <t>pivoting</t>
  </si>
  <si>
    <t>회전, 전환, 중심을 바꾸는 것</t>
  </si>
  <si>
    <t>The company is pivoting its strategy to focus on sustainable energy.
회사에서는 지속 가능한 에너지에 집중하는 전략으로 전환하고 있습니다.</t>
  </si>
  <si>
    <t>placate</t>
  </si>
  <si>
    <t>appease, calm, soothe , conciliate , pacify ,</t>
  </si>
  <si>
    <t>The company tried to placate the angry customers by offering them a full refund.
회사에서는 고객들의 분노를 달랠 수단으로 전액 환불을 제안했다.</t>
  </si>
  <si>
    <t>placated</t>
  </si>
  <si>
    <t>만족시킨, 화해시킨, 화해시킨 것</t>
  </si>
  <si>
    <t>The angry customer was finally placated by the manager's apology.
고객은 마지막으로 매니저의 사과로 화해시켰다.</t>
  </si>
  <si>
    <t>placating</t>
  </si>
  <si>
    <t>만류하는, 위안을 주는, 화해시키는</t>
  </si>
  <si>
    <t>The politician's conciliatory speech was intended to placate the angry protesters.
정치인의 화해를 위한 연설은 분노한 시위대를 위안하기 위해 있었다.</t>
  </si>
  <si>
    <t>play</t>
  </si>
  <si>
    <t>leik , leikeo , leikeul</t>
  </si>
  <si>
    <t>The children love to play outside on sunny days.
아름다운 날씨에 아이들은 밖에서 놀기 좋아해.</t>
  </si>
  <si>
    <t>pleaded</t>
  </si>
  <si>
    <t>기도하다, 호소하다, 간청하다</t>
  </si>
  <si>
    <t>She pleaded with her parents to let her stay out late.
그녀는 부모에게 늦은 시간까지 외출할 수 있도록 허락해 달라고 간청했다.</t>
  </si>
  <si>
    <t>pledge</t>
  </si>
  <si>
    <t>약속, 기부, 약속서</t>
  </si>
  <si>
    <t>She made a pledge to donate to the charity every month.
그녀는 매월 자선단체에 기부하기로 약속했다.</t>
  </si>
  <si>
    <t>plummeting</t>
  </si>
  <si>
    <t>감소하는, 급격히 떨어지는, 급격한 하락</t>
  </si>
  <si>
    <t>The economy's plummeting growth rate has sparked concerns about a potential recession.
경제의 급격한 성장률 하락으로 인해 잠재적인 경기 침체에 대한 우려가 높아졌다.</t>
  </si>
  <si>
    <t>poignant</t>
  </si>
  <si>
    <t>감동적인, 슬픈, 추억에 남는</t>
  </si>
  <si>
    <t>The smell of freshly baked cookies transported her back to her childhood, a poignant reminder of happier times.
새로 구운 쿠키의 냄새가 그녀를 어린 시절로 데려가는데, 더 행복한 시절을 떠올리게 하는 감동적인 추억이었다.</t>
  </si>
  <si>
    <t>poked</t>
  </si>
  <si>
    <t>부여하다, 찔러주다, 찌르다</t>
  </si>
  <si>
    <t>She poked her head out of the window to see what was happening outside.
그녀는 창문을 통해 무슨 일이 일어나고 있는지 보려고 창밖으로 고개를 내밀었다.</t>
  </si>
  <si>
    <t>porous</t>
  </si>
  <si>
    <t>망루, 투과성, 구멍이 많은</t>
  </si>
  <si>
    <t>The sponge was too porous to absorb the liquid.
스폰지의 투과성이 너무 많아서 액체를 흡수하지 못했다.</t>
  </si>
  <si>
    <t>portable</t>
  </si>
  <si>
    <t>portable,  - 유동성,  - 옮길 수 있게 하다,  - 휴대할 수 있는,  - 이동성이 있는</t>
  </si>
  <si>
    <t>The new laptop is very portable, making it easy to take on business trips.
새로운 노트북은 매우 휴대성이 있어, 비즈니스 여행을 가기에도 편리합니다.</t>
  </si>
  <si>
    <t>portentous</t>
  </si>
  <si>
    <t>운신호, 위협적인, 위대한</t>
  </si>
  <si>
    <t>The stormy weather was a portentous sign of the impending hurricane.
폭풍우는 임박한 허리케인의 징조였다.</t>
  </si>
  <si>
    <t>positioned</t>
  </si>
  <si>
    <t>위치에 놓인 것, 위치를 정한 것, 위치에 맞춘 것</t>
  </si>
  <si>
    <t>The company's logo was positioned prominently on the new building's facade.
회사 로고는 새 건물의 фасade에 눈에 띄게 위치시켰다.</t>
  </si>
  <si>
    <t>posits</t>
  </si>
  <si>
    <t>1.  - 가설, 가정, 추정, 주장, 
2.  - 주장하다, 추정하다, 가설을 세우다</t>
  </si>
  <si>
    <t>The theory posits that the universe began as a single point.
이론은 우주가 단일 점에서 시작되었다고 주장한다.</t>
  </si>
  <si>
    <t>possibility</t>
  </si>
  <si>
    <t>기회, 가능성, 가능</t>
  </si>
  <si>
    <t>The discovery of a new planet in the distant corner of the universe is a remote possibility.
우주 끝자락에 새로운 행성이 발견되는 것은 극히 희박한 가능성이다.</t>
  </si>
  <si>
    <t>postulates</t>
  </si>
  <si>
    <t>1. 명제 , 가설 , 가정  - postulate, assumption, hypothesis
2. 가정하다  - to assume, to postulate</t>
  </si>
  <si>
    <t>The theory postulates that the universe began as a single point.
이론은 우주가 단일 점으로 시작했다는 것을 가정한다.</t>
  </si>
  <si>
    <t>potency</t>
  </si>
  <si>
    <t>능력, 강도, 효능</t>
  </si>
  <si>
    <t>The new medication has shown remarkable potency in treating the disease.
새로운 약물은 병을 치료하는 데서 놀라운 능력을 보였다.</t>
  </si>
  <si>
    <t>potential</t>
  </si>
  <si>
    <t>가능성, 잠재력, 능력</t>
  </si>
  <si>
    <t>She has a lot of potential as a singer.
그녀는 가수로서 많은 가능성을 가지고 있다.</t>
  </si>
  <si>
    <t>practice</t>
  </si>
  <si>
    <t>기본 연습, 연습, 실제 경험</t>
  </si>
  <si>
    <t>She has been practicing yoga for years to improve her flexibility.
그녀는 10년 이상 요가를 연습해 유연성을 높이려고 해요.</t>
  </si>
  <si>
    <t>precedence</t>
  </si>
  <si>
    <t>우선권, 우선, 순위</t>
  </si>
  <si>
    <t>The company's policy of giving technical expertise precedence over experience in hiring decisions has been criticized.
회사 채용 정책에서 기술 전문 지식에 우선권을 부여하는 것은 경험이나 다른 요인보다 우선하는 것으로 비판을 받고 있다.</t>
  </si>
  <si>
    <t>precipitate</t>
  </si>
  <si>
    <t>기침, 급히, 급작스럽게</t>
  </si>
  <si>
    <t>The sudden storm precipitated a flood that destroyed the nearby village.
갑작스러운 폭풍으로 인해 근처 마을을 파괴하는 홍수가 발생했다.</t>
  </si>
  <si>
    <t>precipitates</t>
  </si>
  <si>
    <t>침전물, 침전, 급격히 발생하다</t>
  </si>
  <si>
    <t>The heavy rain precipitates flash flooding in the area.
비가 많이 내리면 그 지역에서 급속한 홍수가 발생한다.</t>
  </si>
  <si>
    <t>precocious</t>
  </si>
  <si>
    <t>어리석지 않다, 어린 나이에 성장한 것, 어린 나이에 성숙한 것</t>
  </si>
  <si>
    <t>The child's precocious talent was evident in her flawless piano performance.
어린 나이에 뛰어난 재능을 가진 아이는 피아노 연주를 할 때 완벽한 연주를 보여주었다.</t>
  </si>
  <si>
    <t>predictive</t>
  </si>
  <si>
    <t>예측력의, 예측하는, 미래를 예측하는</t>
  </si>
  <si>
    <t>The new AI system uses predictive algorithms to forecast stock market trends.
새로운 AI 시스템은 예측 알고리즘을 사용하여 주식 시장의 추세를 예측합니다.</t>
  </si>
  <si>
    <t>predispositions</t>
  </si>
  <si>
    <t>기질, 성향, 선호도</t>
  </si>
  <si>
    <t>Her predispositions towards art and music were evident in her eclectic fashion sense.
그녀는 예술과 음악에 대한 선호도가 그녀의 독특한 패션 센스에 드러났다.</t>
  </si>
  <si>
    <t>preliminary</t>
  </si>
  <si>
    <t>기본적인, 예비, 전신</t>
  </si>
  <si>
    <t>The team conducted a preliminary investigation into the cause of the fire.
팀은 화재의 원인에 대한 예비 조사 수행했다.</t>
  </si>
  <si>
    <t>premature</t>
  </si>
  <si>
    <t>잘못된 출산, 이른, 조기</t>
  </si>
  <si>
    <t>The baby was born prematurely, weighing only three pounds.
아기가 너무 이르게 태어났고, 3파운드에 불과했다.</t>
  </si>
  <si>
    <t>premonitions</t>
  </si>
  <si>
    <t>예감, 미래의 감각, 미래의 예감</t>
  </si>
  <si>
    <t>She had a premonition that something was going to go terribly wrong.
그녀는 뭔가 심각한 일이 일어날 것이라는 예감을 받았다.</t>
  </si>
  <si>
    <t>prescribed</t>
  </si>
  <si>
    <t>약속된, 명령된, 규정된</t>
  </si>
  <si>
    <t>The doctor prescribed a course of antibiotics to treat the infection.
의사는 감염을 치료하기 위해 항생제를 처방했다.</t>
  </si>
  <si>
    <t>pretend</t>
  </si>
  <si>
    <t>장난치다, 위장하다, 가짜로 하다</t>
  </si>
  <si>
    <t>She pretended to be a doctor to impress her friends.
그녀는 친구들을 놀리기 위해 의사라고 가짜로 하였다.</t>
  </si>
  <si>
    <t>prevalent</t>
  </si>
  <si>
    <t>1. 일반적, 보편적 , 2. 널리 퍼진, 유행하는 , 3. 널리 퍼져 있는</t>
  </si>
  <si>
    <t>The disease is prevalent in tropical regions.
열병은 열대 지역에서 널리 퍼져 있다.</t>
  </si>
  <si>
    <t>proclaimed</t>
  </si>
  <si>
    <t>공표된, 선언한, 선포된</t>
  </si>
  <si>
    <t>The new policy was proclaimed by the government last week.
정부가 지난 주에 새로운 정책을 선포했다.</t>
  </si>
  <si>
    <t>procure</t>
  </si>
  <si>
    <t>구매하다, 확보하다, 획득하다</t>
  </si>
  <si>
    <t>She will procure the necessary materials for the project by the end of the week.
그녀는 이번 주말까지 프로젝트에 필요한 물자를 확보할 것입니다.</t>
  </si>
  <si>
    <t>procurement</t>
  </si>
  <si>
    <t>구매, 구입, 수입</t>
  </si>
  <si>
    <t>The company's procurement team worked closely with suppliers to negotiate the best prices.
회사 구매팀은 공급자와 협의하여 가장 좋은 가격을 협상했다.</t>
  </si>
  <si>
    <t>profanity</t>
  </si>
  <si>
    <t>욕어, 비속어, 비속한 말</t>
  </si>
  <si>
    <t>The comedian's use of profanity in the live show sparked a heated debate among the audience.
코미디언이 라이브 쇼에서 욕어를 사용해 관객들 사이에 뜨거운 논쟁을 일으켰다.</t>
  </si>
  <si>
    <t>proficiency</t>
  </si>
  <si>
    <t>능력, 실력, 숙련도</t>
  </si>
  <si>
    <t>Her proficiency in French allowed her to easily converse with the locals during her trip.
그녀의 프랑스어 실력으로 인해 여행 중에 현지인들과 쉽게 대화를 나눌 수 있었다.</t>
  </si>
  <si>
    <t>profit</t>
  </si>
  <si>
    <t>수익, 이익, 이윤</t>
  </si>
  <si>
    <t>The company's profit increased significantly after they diversified their product line.
회사 가 제품 라인 을 다양화 한 후 이익 이 크게 증가했다.</t>
  </si>
  <si>
    <t>profits</t>
  </si>
  <si>
    <t>The company's profits have been steadily increasing over the past year.
회사 수익은 지난 1년 동안 꾸준히 증가했다.</t>
  </si>
  <si>
    <t>profound</t>
  </si>
  <si>
    <t>심오한, 깊은, 깊은 뜻을 가진</t>
  </si>
  <si>
    <t>The philosopher's words were profound and had a lasting impact on the world.
철학자의 말은 깊은 뜻을 가진 것이었다.</t>
  </si>
  <si>
    <t>prohibits</t>
  </si>
  <si>
    <t>금지한다, 금지, 금지하는</t>
  </si>
  <si>
    <t>Smoking is prohibited in this building.
이 건물에서는 담배를 피우지 못합니다.</t>
  </si>
  <si>
    <t>projected</t>
  </si>
  <si>
    <t>1. 예상된 , 2. 투영된 , 3. 예상되는</t>
  </si>
  <si>
    <t>The company projected a significant increase in sales for the upcoming quarter.
회사에서는 올해 4분기에 큰 매출 증가를 예상했다.</t>
  </si>
  <si>
    <t>proliferate</t>
  </si>
  <si>
    <t>확산되다, 번식되다, 퍼지다 ,</t>
  </si>
  <si>
    <t>The new technology is expected to proliferate rapidly in the coming years.
새로운 기술은 앞으로 몇 년 동안 급속히 확산될 것으로 예상된다.</t>
  </si>
  <si>
    <t>prolong</t>
  </si>
  <si>
    <t>장시간, 연장, 지속</t>
  </si>
  <si>
    <t>The doctor tried to prolong the patient's life by administering a new medication.
의사는 새로운 약을 투여하여 환자의 생명을 연장하려고 했다.</t>
  </si>
  <si>
    <t>promotion</t>
  </si>
  <si>
    <t>프로모션 , 승진 , 홍보 , 광고 , 상승</t>
  </si>
  <si>
    <t>The company offered her a promotion to a higher position.
회사에서는 그녀에게 더 높은 직책으로 승진할 기회를 제공했다.</t>
  </si>
  <si>
    <t>promulgate</t>
  </si>
  <si>
    <t>공표하다, 선포하다, 확립하다</t>
  </si>
  <si>
    <t>The government will promulgate new laws to protect the environment.
정부는 환경을 보호하는 새로운 법률을 공표할 것입니다.</t>
  </si>
  <si>
    <t>prone</t>
  </si>
  <si>
    <t>1.  easily hurt or damaged,  a person who lies down,  to be likely to do something</t>
  </si>
  <si>
    <t>The patient is prone to infections due to her weakened immune system.
환자는 면역력이 약해 감염에 취약하다.</t>
  </si>
  <si>
    <t>pronounce</t>
  </si>
  <si>
    <t>발음하다, 발음, 발음하기</t>
  </si>
  <si>
    <t>She struggled to pronounce the difficult word correctly.
그녀는 어려운 단어를 정확하게 발음하기가 힘들었다.</t>
  </si>
  <si>
    <t>propagated</t>
  </si>
  <si>
    <t>1. 전파된, 퍼진 , 2. 확산된, 퍼진 , 3. 전파된, 확산된</t>
  </si>
  <si>
    <t>The new technology has been widely propagated throughout the country.
새로운 기술은 전국적으로 널리 퍼졌다.</t>
  </si>
  <si>
    <t>propensity</t>
  </si>
  <si>
    <t>성향, 성질, 경향</t>
  </si>
  <si>
    <t>Her propensity for taking risks often led her to make bold decisions.
그녀의 위험을 감수하는 성향이 그녀를 용감한 결정을 내리는 데 이끌었다.</t>
  </si>
  <si>
    <t>prophetic</t>
  </si>
  <si>
    <t>예언적, 예감적인, 미래를 예견하는</t>
  </si>
  <si>
    <t>The dream was prophetic, foretelling a great disaster that would soon strike the city.
꿈은 큰 재난이 도시를 강타할 것이라는 것을 미리 예견하는 예언적이었다.</t>
  </si>
  <si>
    <t>propitious</t>
  </si>
  <si>
    <t>우호적, 유리한, 좋은</t>
  </si>
  <si>
    <t>The propitious moment for a surprise attack had arrived.
충분히 좋은 기회가 찾아왔다.</t>
  </si>
  <si>
    <t>proprietary</t>
  </si>
  <si>
    <t>사유의, 특허의, 자사 제품의</t>
  </si>
  <si>
    <t>The company's proprietary software was not compatible with other systems.
회사 제품의 사유 소프트웨어는 다른 시스템과 호환되지 않았다.</t>
  </si>
  <si>
    <t>protecting</t>
  </si>
  <si>
    <t>보호하는 , 보호 , 안전한</t>
  </si>
  <si>
    <t>The government is working hard to protect the environment from pollution.
정부는 오염으로부터 환경을 보호하고 있습니다.</t>
  </si>
  <si>
    <t>protocols</t>
  </si>
  <si>
    <t>프로토콜 , 규약, 규정</t>
  </si>
  <si>
    <t>The company's IT department established strict protocols for data security.
회사 IT 부서에서는 엄격한 데이터 보안 프로토콜을 설정했습니다.</t>
  </si>
  <si>
    <t>protract</t>
  </si>
  <si>
    <t>장시간, 연장, 지연</t>
  </si>
  <si>
    <t>The project was delayed, and the deadline had to be protracted.
프로젝트는 지연되어 마감일이 연장되었다.</t>
  </si>
  <si>
    <t>protrude</t>
  </si>
  <si>
    <t>부각되다, 튀어나오다, 돌출되다</t>
  </si>
  <si>
    <t>The rock's sharp edge began to protrude from the sand.
바위의 날카로운 모서리가 모래에서 부각되기 시작했다.</t>
  </si>
  <si>
    <t>publication</t>
  </si>
  <si>
    <t>기사, 출판물, 출판, 보도</t>
  </si>
  <si>
    <t>The company's annual report was a major publication that attracted significant media attention.
회사 연간 보고서가 큰 관심을 끈 주요 출판물이었다.</t>
  </si>
  <si>
    <t>pulverized</t>
  </si>
  <si>
    <t>파쇄된, 분말된, 연마된</t>
  </si>
  <si>
    <t>The once-thriving factory was now a mere memory, its buildings pulverized by the devastating earthquake.
그것은 한때 번성하던 공장이었지만, 재난적인 지진으로 인해 파괴되어 버렸다.</t>
  </si>
  <si>
    <t>punctilious</t>
  </si>
  <si>
    <t>정성스러운, 세심한, 정확한</t>
  </si>
  <si>
    <t>She was a punctilious editor, making sure that every detail in the manuscript was accurate.
그녀는 편집자로서 매우 정성스럽게 모든 문헌의 세부사항을 정확하게 확인했다.</t>
  </si>
  <si>
    <t>punctual</t>
  </si>
  <si>
    <t>정확한 시간에, 정해진 시간에, 정확한 시간에 도착하는 것,</t>
  </si>
  <si>
    <t>She was a punctual person who always arrived on time.
그녀는 항상 정해진 시간에 도착하는 정확한 사람이었다.</t>
  </si>
  <si>
    <t>punctured</t>
  </si>
  <si>
    <t>구멍이 났다, 구멍을 낸다, 구멍이 있는</t>
  </si>
  <si>
    <t>The tire was punctured during the long drive.
길을 달리다 보면 타이어가 구멍이 났다.</t>
  </si>
  <si>
    <t>purified</t>
  </si>
  <si>
    <t>정화된, 깨끗한, 정제된</t>
  </si>
  <si>
    <t>The water was purified through a series of filters.
물은 필터를 거쳐 정화되었다.</t>
  </si>
  <si>
    <t>pursuit</t>
  </si>
  <si>
    <t>도전, 추구, 추적</t>
  </si>
  <si>
    <t>The police launched a pursuit of the speeding car.
경찰은 속도를 높인 차를 추적했다.</t>
  </si>
  <si>
    <t>pushing</t>
  </si>
  <si>
    <t>도전, 밀어붙이기, 밀어붙임, 강제, 밀어붙이는</t>
  </si>
  <si>
    <t>The company is pushing the boundaries of innovation with its new product line.
회사에서는 새로운 제품 라인으로 혁신의 경계를 밀어붙이고 있습니다.</t>
  </si>
  <si>
    <t>put in for</t>
  </si>
  <si>
    <t>신청하다, 지원하다, 신청서를 제출하다</t>
  </si>
  <si>
    <t>She put in for a promotion at work.
그녀는 직장에서 승진을 신청했다.</t>
  </si>
  <si>
    <t>put up with</t>
  </si>
  <si>
    <t>수용하다, 참다, 참고하다</t>
  </si>
  <si>
    <t>She's been putting up with his snoring for years, but it's starting to drive her crazy.
그의에 수년 동안 참고 왔지만 이제는 정신을 차리기 어렵다.</t>
  </si>
  <si>
    <t>put you up</t>
  </si>
  <si>
    <t>호텔을 제공하다, 숙박을 제공하다, 방을 제공하다</t>
  </si>
  <si>
    <t>She offered to put me up for the night.
그녀가 저에게 한밤중에 숙박을 제공했다.</t>
  </si>
  <si>
    <t>putdowns</t>
  </si>
  <si>
    <t>비하, 비하말, 비하하는 말</t>
  </si>
  <si>
    <t>The comedian's putdowns of the politician's fashion sense were widely reported in the media.
코미디언은 정치인의 패션 센스를 비하하는 말로 널리 보도되었다.</t>
  </si>
  <si>
    <t>qualifying</t>
  </si>
  <si>
    <t>품질인증, 자격을 얻는, 자격을 갖춘</t>
  </si>
  <si>
    <t>The new employee had to pass a qualifying exam to get the promotion.
신입 직원은 승진을 얻기 위해 자격시험을 통과해야 했다.</t>
  </si>
  <si>
    <t>quandary</t>
  </si>
  <si>
    <t>고민, 혼란, 어려운 문제</t>
  </si>
  <si>
    <t>She was in a quandary about what to do with her life after graduation.
대학 졸업 후 삶에 대한 그녀의 선택에 대해 그녀는 고민을 했다.</t>
  </si>
  <si>
    <t>quarantined</t>
  </si>
  <si>
    <t>격리된, 격리, 방역</t>
  </si>
  <si>
    <t>The city was quarantined to prevent the spread of the disease.
도시는 질병이 퍼지지 않도록 격리되었다.</t>
  </si>
  <si>
    <t>queasy</t>
  </si>
  <si>
    <t>나쁜, 불편한, 불안한</t>
  </si>
  <si>
    <t>She felt queasy after eating the spoiled food.
그녀는 썩은 음식을 먹고 나서 불편했다.</t>
  </si>
  <si>
    <t>quirk</t>
  </si>
  <si>
    <t>나쁜 습관, 특이한 성격, 이상한 성향</t>
  </si>
  <si>
    <t>Her quirky sense of humor often caught people off guard.
그녀의 특이한 hàihumor가 사람들을 놀라게 했다.</t>
  </si>
  <si>
    <t>rake in</t>
  </si>
  <si>
    <t>수입하다, 돈을 많이 벌다, 수확하다</t>
  </si>
  <si>
    <t>The company's profits will rake in millions of dollars this year.
이 회사의 이익은 올해 백만 달러를 벌어 들 것입니다.</t>
  </si>
  <si>
    <t>ramble</t>
  </si>
  <si>
    <t>길게 말하다, 방탕하게 걷다, 무작위로 말하다</t>
  </si>
  <si>
    <t>The professor's lecture began to ramble, and the students started to get bored.
교수님의 강의는 길게 말하기 시작했고 학생들은 지루해졌다.</t>
  </si>
  <si>
    <t>rammed</t>
  </si>
  <si>
    <t>압축된, 강타된, 밀착된</t>
  </si>
  <si>
    <t>The car was rammed into a tree.
차가 나무에 강타되었다.</t>
  </si>
  <si>
    <t>ransacked</t>
  </si>
  <si>
    <t>도난당한, 약탈당한, 뒤지다</t>
  </si>
  <si>
    <t>The thieves ransacked the entire house in search of valuables.
도둑들은 가치 있는 물건을 찾기 위해 집을 뒤졌다.</t>
  </si>
  <si>
    <t>rattled</t>
  </si>
  <si>
    <t>신경이 쓰여진 것 같다, 무서워서 흔들린 것 같다, 불안해진 것 같다</t>
  </si>
  <si>
    <t>The noise from the construction site rattled the windows of the old house.
건설 현장에서 나는 소음이 오래된 집의 창문을 흔들었다.</t>
  </si>
  <si>
    <t>ravaging</t>
  </si>
  <si>
    <t>파괴, 파괴적인, 파괴하다, 파괴적으로</t>
  </si>
  <si>
    <t>The hurricane was ravaging the coastal towns, leaving a trail of destruction in its wake.
태풍은 해안도시를 파괴하고, 그 뒤를 따라 파괴의 흔적을 남겼다.</t>
  </si>
  <si>
    <t>reachable</t>
  </si>
  <si>
    <t>도달할 수 있는, 접근할 수 있는, 도달 가능한</t>
  </si>
  <si>
    <t>The emergency exit is reachable from anywhere in the building.
건물 내 어디서든지 응급 출구에 도달할 수 있다.</t>
  </si>
  <si>
    <t>readership</t>
  </si>
  <si>
    <t>독자층, 독자 수, 읽는 사람</t>
  </si>
  <si>
    <t>The magazine's readership has been declining steadily over the past few years.
지난 몇 년 동안 잡지의 독자층이 꾸준히 감소하고 있습니다.</t>
  </si>
  <si>
    <t>realistic</t>
  </si>
  <si>
    <t>실용적, 현실적, 사실적인</t>
  </si>
  <si>
    <t>The movie's special effects were surprisingly realistic.
영화의 특수효과는 놀랍게도 실제적인 것이었다.</t>
  </si>
  <si>
    <t>reassuring</t>
  </si>
  <si>
    <t>부여하는 안심, 위안, 안정</t>
  </si>
  <si>
    <t>The doctor's calm demeanor was reassuring to the anxious patient.
의사가 안타까운 환자에게 평온한 태도를 부여했다.</t>
  </si>
  <si>
    <t>rebuff</t>
  </si>
  <si>
    <t>거절, 반격, 거부</t>
  </si>
  <si>
    <t>She tried to make amends, but her offer was met with a rebuff.
그녀는 화해하려 했지만, 그녀의 제안은 거절당했다.</t>
  </si>
  <si>
    <t>rebuke</t>
  </si>
  <si>
    <t>비판, 질책, 책임지우다</t>
  </si>
  <si>
    <t>The teacher gave the student a stern rebuke for not completing the homework.
선생님은 숙제를 못 끝내서 학생에게 엄격한 질책을 했다.</t>
  </si>
  <si>
    <t>recall</t>
  </si>
  <si>
    <t>기억, 되돌리다, 다시 생각하다</t>
  </si>
  <si>
    <t>She tried to recall the exact date of her birthday.
그녀는 정확한 생일 날짜를 기억하려고 했다.</t>
  </si>
  <si>
    <t>recanted</t>
  </si>
  <si>
    <t>거부한 것, 철회한 말, 후회한 일</t>
  </si>
  <si>
    <t>The politician recanted his earlier statement, saying it was a mistake.
정치인은 이전에 말한 것을 거부하고 그것이 실수였다는 것을 말했다.</t>
  </si>
  <si>
    <t>recession</t>
  </si>
  <si>
    <t>경기 침체, 경제 침체, 수요 감소</t>
  </si>
  <si>
    <t>The country's economy has been in a recession for the past three years.
이국은 지난 3년 동안 경제 침체 상태에 있다.</t>
  </si>
  <si>
    <t>reciprocated</t>
  </si>
  <si>
    <t>반환된 것, 상호 작용, 상호 보답</t>
  </si>
  <si>
    <t>Their love for each other was reciprocated, and they eventually got married.
그들 사이의 사랑은 서로 반영되어 결국 결혼을 하게 되었다.</t>
  </si>
  <si>
    <t>reckless</t>
  </si>
  <si>
    <t>무심한, 무책임한, 무방비한</t>
  </si>
  <si>
    <t>She drove recklessly through the city streets, weaving in and out of traffic.
그녀는 도시 거리를 무심하게 달리며 교통을 피했다.</t>
  </si>
  <si>
    <t>reckoned</t>
  </si>
  <si>
    <t>계산된, 추정된, 생각한</t>
  </si>
  <si>
    <t>She was reckoned one of the most talented young artists in the city.
그녀는 도시에서 가장 유명한 젊은 예술가 중 한 명으로 여겨졌다.</t>
  </si>
  <si>
    <t>recognition</t>
  </si>
  <si>
    <t>인식, 인정, 인지도</t>
  </si>
  <si>
    <t>The company received recognition for its innovative approach to sustainability.
회사은 지속가능성에 대한 혁신적인 접근으로 인정을 받았다.</t>
  </si>
  <si>
    <t>recoil</t>
  </si>
  <si>
    <t>회피, 반격, 물러서다</t>
  </si>
  <si>
    <t>The sudden explosion caused the soldier to recoil in surprise.
갑작스러운 폭발로 군인은 놀라서 물러서었다.</t>
  </si>
  <si>
    <t>recollect</t>
  </si>
  <si>
    <t>기억하다, 기억, 회상</t>
  </si>
  <si>
    <t>She spent hours trying to recollect the exact words of her grandmother's farewell message.
그녀는 할머니가 마지막으로 남긴 말의 정확한 단어를 기억하기 위해 몇 시간을 보냈다.</t>
  </si>
  <si>
    <t>recount</t>
  </si>
  <si>
    <t>재계산, 재수, 재계산하기</t>
  </si>
  <si>
    <t>The judge ordered the jury to recount the votes.
판사는 재계산을 명령하여 투표 결과를 재수하라고 명령했다.</t>
  </si>
  <si>
    <t>recouped</t>
  </si>
  <si>
    <t>상환한 것, 회수한 것, 보상받은 것</t>
  </si>
  <si>
    <t>The company was able to recoup its losses after the successful launch of the new product.
회사에서는 새로운 제품이 성공적으로 출시된 후 손실을 상환할 수 있었다.</t>
  </si>
  <si>
    <t>recovered</t>
  </si>
  <si>
    <t>회복된, 회복, 재건된</t>
  </si>
  <si>
    <t>The patient has fully recovered from the illness.
환자는 병이 완전히 회복되었습니다.</t>
  </si>
  <si>
    <t>rectified</t>
  </si>
  <si>
    <t>정정된, 정상화된, 오류를 고친</t>
  </si>
  <si>
    <t>The company rectified the mistake and issued a formal apology.
회사에서는 실수를 고치고 공식 사과문을 발표했다.</t>
  </si>
  <si>
    <t>rectifies</t>
  </si>
  <si>
    <t>정정하다, 잘못된 것을 고쳐서 옳게 만드는 것, 잘못된 것을 고쳐서 옳게 만드는 행위</t>
  </si>
  <si>
    <t>The new policy rectifies the long-standing issue of unequal pay for women.
새로운 정책은 여성에게는 오랜 기간 동안 불평등한 급여가 있었던 문제를 해결했다.</t>
  </si>
  <si>
    <t>refined</t>
  </si>
  <si>
    <t>정제된</t>
  </si>
  <si>
    <t>The wine was refined and had a subtle flavor.
그 와인은 정제된 맛이 있었고, 미묘한 맛이 있었다.</t>
  </si>
  <si>
    <t>reform</t>
  </si>
  <si>
    <t>개혁, 개선, 변혁</t>
  </si>
  <si>
    <t>The government has proposed a comprehensive reform to address the country's economic crisis.
정부는 국가의 경제 위기 해결을 위한 전면적인 개혁 제안을 내놓았다.</t>
  </si>
  <si>
    <t>refurbished</t>
  </si>
  <si>
    <t>재구성된, 재수리된, 새로 꾸민</t>
  </si>
  <si>
    <t>The old house was completely refurbished and now it's a beautiful home.
구한 집은 완전히 재수리되어 이제는 아름다운 집이 되었다.</t>
  </si>
  <si>
    <t>regards</t>
  </si>
  <si>
    <t>인사, 존경, 관심</t>
  </si>
  <si>
    <t>She sent him a warm regards message on his birthday.
그녀는 그의 생일을 축하하는 따뜻한 인사를 보냈다.</t>
  </si>
  <si>
    <t>register</t>
  </si>
  <si>
    <t>신고, 등록, 등록기, 등록금, 등록일</t>
  </si>
  <si>
    <t>The hotel staff asked me to register my passport at the front desk.
호텔 직원은 나에게 프론트 데스크에서 여권을 등록하라고 했습니다.</t>
  </si>
  <si>
    <t>registry</t>
  </si>
  <si>
    <t>등록, 등록부, 관리</t>
  </si>
  <si>
    <t>The company's financial records are kept in a secure online registry.
회사 재무 기록은 안전한 온라인 등록 시스템에 보관됩니다.</t>
  </si>
  <si>
    <t>regret</t>
  </si>
  <si>
    <t>후회, 아쉬움, 후회스러운</t>
  </si>
  <si>
    <t>She couldn't shake off the feeling of regret that lingered long after the breakup.
그녀는 이별 후에도 오래도록 후회의 감정을 떨쳐내지 못했다.</t>
  </si>
  <si>
    <t>regretting</t>
  </si>
  <si>
    <t>후회하는, 후회, 후회스러운</t>
  </si>
  <si>
    <t>She spent years regretting her decision to leave the company.
그녀는 회사에서 떠나기로 한 것을 10년 동안 후회했다.</t>
  </si>
  <si>
    <t>rejected</t>
  </si>
  <si>
    <t>거부된 것, 거부당한 사람, 거부된 제안</t>
  </si>
  <si>
    <t>The company's proposal was rejected by the investors.
투자자들로부터 회사 제안이 거부되었다.</t>
  </si>
  <si>
    <t>relate</t>
  </si>
  <si>
    <t>관계, 관련, 연결</t>
  </si>
  <si>
    <t>The new policy relates to the recent economic downturn.
새로운 정책은 최근 경제 침체와 관련이 있다.</t>
  </si>
  <si>
    <t>relax</t>
  </si>
  <si>
    <t>쉬다 , 편안한 , 휴식</t>
  </si>
  <si>
    <t>She decided to take a break and relax on the beach.
그녀는 휴식을 취하기로 결정하고 해변에서 편안하게 쉬기로 했다.</t>
  </si>
  <si>
    <t>released</t>
  </si>
  <si>
    <t>발표된, 방출된, 자유로워진</t>
  </si>
  <si>
    <t>The new movie was released last Friday.
새 영화는 지난 금요일에 공개되었습니다.</t>
  </si>
  <si>
    <t>releases</t>
  </si>
  <si>
    <t>발표, 출시, 해방</t>
  </si>
  <si>
    <t>The new album's releases have been highly anticipated by fans worldwide.
새 앨범의 발매가 전 세계 팬들로부터 높은 관심을 받고 있습니다.</t>
  </si>
  <si>
    <t>reliable</t>
  </si>
  <si>
    <t>신뢰할 수 있는, 믿을 수 있는, 신뢰할 만한</t>
  </si>
  <si>
    <t>The company's financial reports are reliable sources of information for investors.
회사 재무보고서가 투자자들에게 신뢰할 수 있는 정보원이다.</t>
  </si>
  <si>
    <t>relieves</t>
  </si>
  <si>
    <t>구제하다, 편안케 하다, 경감하다</t>
  </si>
  <si>
    <t>The new policy relieves the financial burden on low-income families.
새 정책은 저소득층 가족에게 경제적 부담을 경감시킨다.</t>
  </si>
  <si>
    <t>rely</t>
  </si>
  <si>
    <t>의존하다, 믿다, 의지하다</t>
  </si>
  <si>
    <t>She relies heavily on her family for emotional support.
그녀는 가족에게 심하게 의지한다.</t>
  </si>
  <si>
    <t>remarkable</t>
  </si>
  <si>
    <t>기록할만한, 주목할만한, 놀라운</t>
  </si>
  <si>
    <t>The city's rich history and cultural heritage make it a remarkable destination for tourists.
이 도시의 풍부한 역사와 문화 유산으로 관광객들에게는 기록할만한 목적지입니다.</t>
  </si>
  <si>
    <t>remedy</t>
  </si>
  <si>
    <t>구제, 치료법, 보상</t>
  </si>
  <si>
    <t>The new medicine proved to be a remedy for the patient's chronic illness.
새로운 약이 환자의 만성 질병의 구제가 되었다.</t>
  </si>
  <si>
    <t>remind</t>
  </si>
  <si>
    <t>기억시키다, 떠올리다, 알리다</t>
  </si>
  <si>
    <t>She tried to remind him of their anniversary, but he had forgotten.
그녀는 그들이 결혼기념일을 잊어버렸다는 것을 알리려고 시도했지만 그는 잊어버렸다.</t>
  </si>
  <si>
    <t>remiss</t>
  </si>
  <si>
    <t>잠시, 부재, 부정기</t>
  </si>
  <si>
    <t>The company was remiss in not providing adequate training for its new employees.
회사에서는 새로운 직원들을 위한 충분한 교육을 제공하지 못했다고 생각했다.</t>
  </si>
  <si>
    <t>renounce</t>
  </si>
  <si>
    <t>거부하다, 포기하다, 사양하다</t>
  </si>
  <si>
    <t>She renounced her claim to the throne after her father's death.
그녀는 아버지가 죽은 후 왕위에 대한 그녀의 권리를 포기했다.</t>
  </si>
  <si>
    <t>renunciation</t>
  </si>
  <si>
    <t>거부, 포기, 사양</t>
  </si>
  <si>
    <t>The monk's renunciation of worldly possessions was a profound act of devotion.
승려의 세속적인 재산을 포기하는 행위는 절제의 깊은 행위였다.</t>
  </si>
  <si>
    <t>repatriated</t>
  </si>
  <si>
    <t>거국으로 돌아온 것, 국적을 되찾은 사람, 재입국한 사람</t>
  </si>
  <si>
    <t>The refugees were repatriated to their homeland after years of living in exile.
난민들은 수년간 망명생활을 한 후 고향으로 돌아왔다.</t>
  </si>
  <si>
    <t>repatriation</t>
  </si>
  <si>
    <t>거국귀화, 귀국, 재입국</t>
  </si>
  <si>
    <t>The government provided financial assistance to facilitate the repatriation of refugees from neighboring countries.
정부는 인접국가에서 난민을 위한 재입국을 지원하기 위해 재정적 지원을 제공했다.</t>
  </si>
  <si>
    <t>repealing</t>
  </si>
  <si>
    <t>해제하는, 취소하는, 철회하는</t>
  </si>
  <si>
    <t>The new law was enacted to repeal the outdated tax code.
새로운 법률은 폐기된 세법을 철회하기 위해 제정되었다.</t>
  </si>
  <si>
    <t>replacement</t>
  </si>
  <si>
    <t>수용, 대체, 교체</t>
  </si>
  <si>
    <t>The new employee will serve as a replacement for the one who left.
새로 들어온 직원은 떠난 사람을 대신할 것이다.</t>
  </si>
  <si>
    <t>reprehension</t>
  </si>
  <si>
    <t>반성의 기분, 비난의 감정, 비난의 반응</t>
  </si>
  <si>
    <t>The crowd's reprehension of the politician's statement was immediate and vocal.
정치인님의 발언에 대한 군중의 비난의 반응은 즉각적이고 목소리가 높았다.</t>
  </si>
  <si>
    <t>repressed</t>
  </si>
  <si>
    <t>억압된, 억압하는, 억압적인</t>
  </si>
  <si>
    <t>The repressed memories of her childhood trauma continued to haunt her.
그녀의 어린 시절의 트라우마가 억압된 기억으로 그녀를 괴롭혔다.</t>
  </si>
  <si>
    <t>repulsed</t>
  </si>
  <si>
    <t>거부감을 느끼다 , 거부당하다 , 거부감을 받다 ,</t>
  </si>
  <si>
    <t>The smell of the dumpster repulsed her.
쓰레기통의 냄새가 그녀를 거부했다.</t>
  </si>
  <si>
    <t>repulsion</t>
  </si>
  <si>
    <t>반감, 거부감, 거부력</t>
  </si>
  <si>
    <t>The smell of the dumpster filled her with repulsion.
쓰레기통의 냄새가 그녀를 반감으로 채웠다.</t>
  </si>
  <si>
    <t>reputability</t>
  </si>
  <si>
    <t>신뢰성, 명성, 신용성</t>
  </si>
  <si>
    <t>The company's reputation for quality and reliability has been a major factor in its success.
회사 품질과 신뢰성에 대한 명성이 그 성공의 주요 요인이었다.</t>
  </si>
  <si>
    <t>reputation</t>
  </si>
  <si>
    <t>명성, 신뢰, 평판</t>
  </si>
  <si>
    <t>Her reputation as a talented artist preceded her.
그녀의 재능 있는 예술가로서의 명성이 그녀를 앞서갔다.</t>
  </si>
  <si>
    <t>requesting</t>
  </si>
  <si>
    <t>요청하는, 요청, 요청사항</t>
  </si>
  <si>
    <t>The company is requesting a meeting with the investors to discuss the new project.
회사에서는 새로운 프로젝트에 대한 투자자와 회의를 요청하고 있습니다.</t>
  </si>
  <si>
    <t>rescinded</t>
  </si>
  <si>
    <t>취소된, 철회된, 무효화된</t>
  </si>
  <si>
    <t>The company rescinded its offer due to unforeseen financial difficulties.
회사에서는 예상치 못한 재정난으로 인해 제안을 취소했다.</t>
  </si>
  <si>
    <t>reserve</t>
  </si>
  <si>
    <t>예약, 보존, 예비, 예약금</t>
  </si>
  <si>
    <t>She made a reservation at the hotel for the following week.
그녀는 다음 주에 호텔 예약을 했다.</t>
  </si>
  <si>
    <t>reservoir</t>
  </si>
  <si>
    <t>수력, 저장소, 저수지</t>
  </si>
  <si>
    <t>The dam's reservoir was filled to capacity after a heavy rainfall.
폭우로 인해 댐의 저수지는 최대 용량에 이를었다.</t>
  </si>
  <si>
    <t>resistant</t>
  </si>
  <si>
    <t>저항력, 저항성, 강한</t>
  </si>
  <si>
    <t>The new antibiotic is resistant to most bacteria.
새로운 항생제는 대부분의 세균에 저항한다.</t>
  </si>
  <si>
    <t>resolve</t>
  </si>
  <si>
    <t>해결, 결정, 명확히 하다</t>
  </si>
  <si>
    <t>She struggled to resolve the conflict between her parents.
그녀는 부모 사이의 갈등을 해결하기 위해 애썼다.</t>
  </si>
  <si>
    <t>response</t>
  </si>
  <si>
    <t>응답, 반응, 대답</t>
  </si>
  <si>
    <t>The company's response to the crisis was swift and decisive.
회사에 대한 위기 대응은 급하고 결정적이었다.</t>
  </si>
  <si>
    <t>responsive</t>
  </si>
  <si>
    <t>응답적, 반응적, 반응하는</t>
  </si>
  <si>
    <t>The new software is highly responsive, allowing users to navigate the interface quickly and efficiently.
새로운 소프트웨어는 사용자가 인터페이스를 빠르고 효율적으로 탐색할 수 있도록 매우 응답적이다.</t>
  </si>
  <si>
    <t>restrained</t>
  </si>
  <si>
    <t>제한된, 억제된, 조절된</t>
  </si>
  <si>
    <t>The crowd was restrained from entering the restricted area.
crowd가 제한된 지역에 들어가는 것을 억제되었다.</t>
  </si>
  <si>
    <t>reticent</t>
  </si>
  <si>
    <t>수줍은, 말수가 적은, 침묵하는</t>
  </si>
  <si>
    <t>She was a reticent child who rarely spoke in class.
그녀는 수업시간에 거의 말하지 않는 수줍은 아이였다.</t>
  </si>
  <si>
    <t>retreated</t>
  </si>
  <si>
    <t>회피하다, 물러나다, 후퇴하다</t>
  </si>
  <si>
    <t>The army retreated to a safe distance after the enemy's attack.
적의 공격을 받은 후 군대는 안전한 거리를 물러났다.</t>
  </si>
  <si>
    <t>revered</t>
  </si>
  <si>
    <t>존경받는, 존경받다, 존경받는</t>
  </si>
  <si>
    <t>The legendary musician was a revered figure in the music industry.
전설적인 음악가가 음악계에서 존경받는 인물이었다.</t>
  </si>
  <si>
    <t>reviled</t>
  </si>
  <si>
    <t>혐오받다, 비난받다, 혐오스럽다</t>
  </si>
  <si>
    <t>The politician's scandalous behavior has left him reviled by the public.
정치인의 음해스러운 행동으로 그는 일반인들로부터 혐오받고 있다.</t>
  </si>
  <si>
    <t>revise</t>
  </si>
  <si>
    <t>수정하다, 재검토하다, 개정하다</t>
  </si>
  <si>
    <t>The professor asked the students to revise their essays before the deadline.
교수님은 학생들에게 기한 전에 수업을 수정하라고 했습니다.</t>
  </si>
  <si>
    <t>revoking</t>
  </si>
  <si>
    <t>해제하는 것, 취소하는 것, 철회하는 것</t>
  </si>
  <si>
    <t>The government announced plans to revoking the controversial tax law.
정부는 논란의 여지가 있는 세법을 철회하는 계획을 발표했다.</t>
  </si>
  <si>
    <t>rigged</t>
  </si>
  <si>
    <t>정조준된, 사전 준비된, 부정한 경쟁</t>
  </si>
  <si>
    <t>The election was rigged to favor the incumbent president.
선거는 현직 대통령을 위한 부정한 경쟁으로 조작되었다.</t>
  </si>
  <si>
    <t>rile</t>
  </si>
  <si>
    <t>불편함, 불쾌함, 분노</t>
  </si>
  <si>
    <t>The noise began to rile the crowd, and they started to chant for the band to play a different song.
소음이 군중을 불편하게 만들기 시작했고, 그들은 밴드가 다른 노래를 연주하라고 외치기 시작했다.</t>
  </si>
  <si>
    <t>rinse</t>
  </si>
  <si>
    <t>수세, 세수, 세탁, 세수</t>
  </si>
  <si>
    <t>She rinsed her mouth with water after eating the spicy meal.
그녀는 매운 음식을 먹은 후 물로 입을 씻었다.</t>
  </si>
  <si>
    <t>ripe</t>
  </si>
  <si>
    <t>성숙한, 익은, 완숙한</t>
  </si>
  <si>
    <t>The fruit was ripe and fell from the tree.
과일은 익어서 나무에서 떨어졌다.</t>
  </si>
  <si>
    <t>riper</t>
  </si>
  <si>
    <t>더숙성한 것, 더 성숙한 사람, 더 완숙한 상태</t>
  </si>
  <si>
    <t>The fruit will be riper if it's left on the tree for a few more days.
과일을 몇 일 더 나무에 남겨두면 더 숙성할 것이다.</t>
  </si>
  <si>
    <t>roaring</t>
  </si>
  <si>
    <t>소음, 큰 소리, 폭발적인</t>
  </si>
  <si>
    <t>The lion's roar echoed through the valley.
사자들의 큰 소리로 계곡을 울렸다.</t>
  </si>
  <si>
    <t>robust</t>
  </si>
  <si>
    <t>강건한, 튼튼한, 강력한</t>
  </si>
  <si>
    <t>The new software is robust and can handle even the most complex tasks with ease.
새로운 소프트웨어는 복잡한 작업을 쉽게 처리할 수 있는 강건한 소프트웨어입니다.</t>
  </si>
  <si>
    <t>rough</t>
  </si>
  <si>
    <t>가스름, 거친, 무질서</t>
  </si>
  <si>
    <t>The road was rough, but we made it to the top.
길은 가스름이었지만 우리는 꼭대기에 도착했다.</t>
  </si>
  <si>
    <t>routine</t>
  </si>
  <si>
    <t>일상, 정해진 일정, 정해진 방법</t>
  </si>
  <si>
    <t>She stuck to her morning routine of jogging and meditation.
그녀는 아침 일과에 달리기와 명상하는 정해진 방법을 지켰다.</t>
  </si>
  <si>
    <t>rubble</t>
  </si>
  <si>
    <t>파편, 쓰러진 돌, 파괴된 건물의 잔해</t>
  </si>
  <si>
    <t>The earthquake left a trail of rubble in its wake.
지진은 파편을 남겨 두었다.</t>
  </si>
  <si>
    <t>rummaging</t>
  </si>
  <si>
    <t>도굴, 도굴거리다, 도굴거리</t>
  </si>
  <si>
    <t>She spent the afternoon rummaging through her grandmother's attic, searching for old family heirlooms.
그녀는 할머니의 방바닥을 뒤적거리며 옛날 가계의 유물들을 찾으려 했다.</t>
  </si>
  <si>
    <t>run out of</t>
  </si>
  <si>
    <t>재고가되다, 부족하다, 떨어지다</t>
  </si>
  <si>
    <t>She ran out of money before her trip.
여행 전까지 돈이 다 떨어졌어.</t>
  </si>
  <si>
    <t>run up against</t>
  </si>
  <si>
    <t>어려움을 만나다, 문제를 만나다, 장애를 만나다</t>
  </si>
  <si>
    <t>She ran up against a lot of resistance when she tried to implement the new policy.
그녀는 새로운 정책을 시행하려고 할 때 많은 저항을 만나게 되었다.</t>
  </si>
  <si>
    <t>sacred</t>
  </si>
  <si>
    <t>신성한, 거룩한, 성스러운</t>
  </si>
  <si>
    <t>The temple was a sacred place where people came to pray and meditate.
성당은 사람들이 기도하고 명상하기 위해 오는 신성한 장소였다.</t>
  </si>
  <si>
    <t>sagacious</t>
  </si>
  <si>
    <t>지혜로운, 현명한, 통찰력 있는</t>
  </si>
  <si>
    <t>The sagacious investor made a fortune by predicting the market trends.
지혜로운 투자가 시장 동향을 예측하여 부를 만들었다.</t>
  </si>
  <si>
    <t>sanctioning</t>
  </si>
  <si>
    <t>제재, 금지, 처벌</t>
  </si>
  <si>
    <t>The international community imposed economic sanctioning on the country due to its human rights abuses.
국제 사회는 그 나라의 인권 침해로 경제적 제재를 가했다.</t>
  </si>
  <si>
    <t>sanguinary</t>
  </si>
  <si>
    <t>bloodthirsty, bloody, ferocious ,</t>
  </si>
  <si>
    <t>The sanguinary battle left the once-peaceful town in ruins.
피비린내 나는 전투로 평화로운 마을이 폐허로 변했다.</t>
  </si>
  <si>
    <t>sappy</t>
  </si>
  <si>
    <t>감성적인, 연약한, 감성적인 음악</t>
  </si>
  <si>
    <t>The movie's sappy ending left many viewers feeling sentimental but also a bit disappointed.
영화의 감성적인 결말은 많은 관객들에게 감동적이지만 조금 실망스러운 느낌을 주었다.</t>
  </si>
  <si>
    <t>satisfy</t>
  </si>
  <si>
    <t>만족하다, 충족시키다, 만족스럽다</t>
  </si>
  <si>
    <t>The new policy aims to satisfy the growing demand for affordable housing.
새로운 정책은 저렴한 주택에 대한 성장하는 수요를 만족시키기 위해 있다.</t>
  </si>
  <si>
    <t>saturated</t>
  </si>
  <si>
    <t>포화된,된,포화상태</t>
  </si>
  <si>
    <t>The air was saturated with the smell of freshly cut grass.
바람은 신선한 잔디의 냄새로 가득 차 있었다.</t>
  </si>
  <si>
    <t>sauntered</t>
  </si>
  <si>
    <t>길을 산책하다, 느리게 걸이다, 느긋하게 걸이다</t>
  </si>
  <si>
    <t>She sauntered into the party, her eyes scanning the room for familiar faces.
그녀는 당당한 표정으로 파티에 들어가며 방을 훑어보았습니다.</t>
  </si>
  <si>
    <t>savored</t>
  </si>
  <si>
    <t>맛있게 즐긴 것, 즐겨 먹은 음식, 즐겨하는 일</t>
  </si>
  <si>
    <t>She savored the last bite of her favorite dessert.
그녀는 그녀의 가장 좋아하는 디저트의 마지막 한입을 즐기며 먹었다.</t>
  </si>
  <si>
    <t>scaled</t>
  </si>
  <si>
    <t>계급, 계단, 비율</t>
  </si>
  <si>
    <t>The company scaled back its production due to the economic downturn.
회사에서는 경제 위기 때문에 생산을 축소했다.</t>
  </si>
  <si>
    <t>scarcity</t>
  </si>
  <si>
    <t>부족함, 결핍, 소량</t>
  </si>
  <si>
    <t>The country's food scarcity was exacerbated by the drought.
이 나라의 식량 부족함은 기근으로 더욱 악화되었다.</t>
  </si>
  <si>
    <t>scared</t>
  </si>
  <si>
    <t>두려움, 무서운, 겁을 먹다</t>
  </si>
  <si>
    <t>She was scared of the dark.
그녀는 어둠을 무서워했다.</t>
  </si>
  <si>
    <t>scattered</t>
  </si>
  <si>
    <t>분산된 것, 흩어져 있는 것, 무질서한 것</t>
  </si>
  <si>
    <t>The leaves were scattered all over the lawn after the storm.
폭풍으로 인해 잔디밭에 잎이 흩어져 있었다.</t>
  </si>
  <si>
    <t>scheme</t>
  </si>
  <si>
    <t>계획, 전략, 사기</t>
  </si>
  <si>
    <t>The company's scheme to cut costs and increase profits was met with resistance from employees.
회사에서 비용을 줄이고 이익을 늘리기 위한 계획이 직원들의 저항을 받았다.</t>
  </si>
  <si>
    <t>scour</t>
  </si>
  <si>
    <t>고치다, 고치기, 고치름, 고치듯이</t>
  </si>
  <si>
    <t>The city's streets were scoured by the police to find the suspect.
경찰은 용의자를 찾기 위해 도시의 거리를 고치다.</t>
  </si>
  <si>
    <t>scruple</t>
  </si>
  <si>
    <t>의심, 두려움, 고민</t>
  </si>
  <si>
    <t>She hesitated to accept the gift, having a scruple about the giver's motives.
그녀는 주는 사람의 의도가 의심되어 선물을 받기 망설였다.</t>
  </si>
  <si>
    <t>scuffle</t>
  </si>
  <si>
    <t>싸움, 격투, 혼란스러운 상황</t>
  </si>
  <si>
    <t>The two children began to scuffle over the last slice of cake.
두 아이가 마지막 케이크를 주고받는 싸움을 시작했다.</t>
  </si>
  <si>
    <t>sealed</t>
  </si>
  <si>
    <t>닫힌, 봉인된, 밀봉된, 밀봉, 봉인, 닫힌</t>
  </si>
  <si>
    <t>The package was sealed with a red sticker to prevent tampering.
패키지는 빨간 봉투로 밀봉되어 위조를 방지했다.</t>
  </si>
  <si>
    <t>sections</t>
  </si>
  <si>
    <t>부문, 구역, 장면</t>
  </si>
  <si>
    <t>The book is divided into several sections, each covering a different topic.
책은 여러 부문으로 나누어져 있으며, 각 부문은 다른 주제를 다룹니다.</t>
  </si>
  <si>
    <t>sedentary</t>
  </si>
  <si>
    <t>inactive, sedentary lifestyle, sitting-down work</t>
  </si>
  <si>
    <t>The doctor warned her about the dangers of a sedentary lifestyle.
의사는 그녀의 inactive한 생활 습관에 대해 경고했다.</t>
  </si>
  <si>
    <t>sediment</t>
  </si>
  <si>
    <t>물질, 침전물, 침전</t>
  </si>
  <si>
    <t>The river's sediment carried by the floodwaters clogged the nearby town's drainage system.
홍수 물에 의해 운반된 강물의 침전물이 근처 마을의 배수 시스템을 막았다.</t>
  </si>
  <si>
    <t>seething</t>
  </si>
  <si>
    <t>분노가 끓어오르는 것, 분노가 치밀어 오르는 것, 분노가 끓어오르는 감정</t>
  </si>
  <si>
    <t>The crowd's anger was seething just below the surface.
crowd의 분노가 끓어오르는 감정이 표면 아래에만 존재했다.</t>
  </si>
  <si>
    <t>segregation</t>
  </si>
  <si>
    <t>분리, 격리, 차별</t>
  </si>
  <si>
    <t>The city's segregation policies were widely criticized by human rights groups.
시의 차별 정책은 인권 단체들로부터 널리 비판을 받았다.</t>
  </si>
  <si>
    <t>seize</t>
  </si>
  <si>
    <t>강탈하다, 잡다, 포위하다, 확보하다</t>
  </si>
  <si>
    <t>The police had to seize the suspect to prevent him from escaping.
경찰은 용의자를 체포하기 위해 그를 붙잡아야 했다.</t>
  </si>
  <si>
    <t>selections</t>
  </si>
  <si>
    <t>선택, 선택된 것, 선정</t>
  </si>
  <si>
    <t>The museum's permanent collection features a wide range of selections from around the world.
박물관의 영구 전시관에는 전 세계에서 다양한 선택을 선보입니다.</t>
  </si>
  <si>
    <t>sequester</t>
  </si>
  <si>
    <t>1.  - 분리하다, 고립시키다,  - 분리된 장소, 고립된 상태</t>
  </si>
  <si>
    <t>The government will sequester funds from the budget to cover the unexpected expenses.
정부는 예상치 못한 비용을 보상하기 위해 예산에서 자금을 분리할 것입니다.</t>
  </si>
  <si>
    <t>serve</t>
  </si>
  <si>
    <t>서버, 서비스, 봉사, 제공, 섬기다, 봉사하다</t>
  </si>
  <si>
    <t>The waiter will serve the main course.
웨이터는 메인 코스를 제공합니다.</t>
  </si>
  <si>
    <t>set it up</t>
  </si>
  <si>
    <t>설치하기, 예약하기, 준비하기</t>
  </si>
  <si>
    <t>She asked him to set it up for her birthday party.
그녀는 생일 파티를 위해 그를 부탁했다.</t>
  </si>
  <si>
    <t>settled</t>
  </si>
  <si>
    <t>정착된 것, 정착, 정착된 상태</t>
  </si>
  <si>
    <t>The dispute was finally settled out of court.
분쟁은 최종적으로 법원 밖에서 해결되었다.</t>
  </si>
  <si>
    <t>shallow</t>
  </si>
  <si>
    <t>깊은 것, 얕은 물, 얕은 사람 , 얕다 , 얕은 , 얕게</t>
  </si>
  <si>
    <t>The conversation was shallow and lacked any real depth.
대화는 깊은 내용이 없이 얕은 느낌이 들었다.</t>
  </si>
  <si>
    <t>shattered</t>
  </si>
  <si>
    <t>깨진 것, 파괴된 것, 무너진 것</t>
  </si>
  <si>
    <t>The glass window was shattered by the strong wind.
강한 바람에 유리창이 깨졌다.</t>
  </si>
  <si>
    <t>shedding</t>
  </si>
  <si>
    <t>탈수, 털빠짐, 물러나다,</t>
  </si>
  <si>
    <t>The dog's shedding was causing a lot of hair to be found all over the house.
개가 털을 빠지기 때문에 집에 털이 여기저기서 발견되었다.</t>
  </si>
  <si>
    <t>sheen</t>
  </si>
  <si>
    <t>광택, 반짝임, 빛나는</t>
  </si>
  <si>
    <t>The expensive car had a luxurious sheen to its paint.
그 고가의 자동차는 그 페인트에 비싼 느낌의 광택을 가지고 있었다.</t>
  </si>
  <si>
    <t>shift</t>
  </si>
  <si>
    <t>변경, 전환, 시프트</t>
  </si>
  <si>
    <t>The company will shift its focus from manufacturing to software development.
회사에서는 제조업에서 소프트웨어 개발로 전환할 것입니다.</t>
  </si>
  <si>
    <t>shirk</t>
  </si>
  <si>
    <t>피할 것, 피하다, 피할 것 같은, 피하거나 피할 것 같은</t>
  </si>
  <si>
    <t>He tried to shirk his responsibilities by blaming others.
그는 책임을 지지 않으려 다른 사람에게 책임을 떠넘겼다.</t>
  </si>
  <si>
    <t>show you up</t>
  </si>
  <si>
    <t>1.  to embarrass, to humiliate, to make you look foolish 
2.  to expose your weakness or mistake 
3.  to surpass or outdo you</t>
  </si>
  <si>
    <t>She was determined not to let her rival show her up at the competition.
그녀는 경쟁에서 그녀의 라이벌에 의해 자신을 질주시키지 않기 위해 결심했다.</t>
  </si>
  <si>
    <t>shrewd</t>
  </si>
  <si>
    <t>계략적인, 현명한, 교활한</t>
  </si>
  <si>
    <t>She was a shrewd businesswoman who always managed to stay one step ahead of her competitors.
그녀는 항상 경쟁자들을 앞서 가는 계략적인 사업가였다.</t>
  </si>
  <si>
    <t>shrinking violet</t>
  </si>
  <si>
    <t>자화자찬하는 사람, 겁쟁이, 겁쟁이 같은 사람</t>
  </si>
  <si>
    <t>She was a shrinking violet who rarely spoke up in meetings.
회의에서 거의 말하지 않는 겁쟁이 같은 여자였다.</t>
  </si>
  <si>
    <t>shrivel</t>
  </si>
  <si>
    <t>건조되다, 말라 죽다, 말랐다는 뜻의 동사, 말라 죽은 것의 명사</t>
  </si>
  <si>
    <t>The once-lush garden began to shrivel under the scorching summer sun.
한때 풍성한 정원은 태양의 극심한 열로 말라 죽기 시작했다.</t>
  </si>
  <si>
    <t>sickening</t>
  </si>
  <si>
    <t>1. adjective , 2. noun , 3. verb</t>
  </si>
  <si>
    <t>The smell of rotting garbage was sickening.
부스러진 쓰레기의 냄새가 역겹다.</t>
  </si>
  <si>
    <t>simmering</t>
  </si>
  <si>
    <t>부글거리는, 끓어오르는, 점점 더 심해지는</t>
  </si>
  <si>
    <t>The tension between the two countries has been simmering for years.
두 나라 사이의 긴장감은 수년 동안 부글거렸다.</t>
  </si>
  <si>
    <t>sits on the fence</t>
  </si>
  <si>
    <t>Fence sitter, 중립 maintained, 양쪽에 서지 않는다</t>
  </si>
  <si>
    <t>She tends to sit on the fence when it comes to making difficult decisions.
그녀는 어려운 결정에 있어서는 양쪽에 서지 않는다.</t>
  </si>
  <si>
    <t>skeptical</t>
  </si>
  <si>
    <t>의심스러운, 의심하는, 의심할 여지가 있는</t>
  </si>
  <si>
    <t>She was skeptical about the company's claims of a new breakthrough technology.
그녀는 그 회사의 새로운 기술 개발에 대한 주장에 의심을 품었다.</t>
  </si>
  <si>
    <t>skinny</t>
  </si>
  <si>
    <t>마른, 가늘다, 얇다</t>
  </si>
  <si>
    <t>She tried to eat more to gain weight, but she remained skinny.
그녀는 체중을 늘리기 위해 더 많이 먹으려고 했지만 마른 체형이었다.</t>
  </si>
  <si>
    <t>slanted</t>
  </si>
  <si>
    <t>기울어진, 기울임, 기울어지다</t>
  </si>
  <si>
    <t>The book's pages were slanted, making it difficult to read.
책의 페이지가 기울어져서 읽기가 어려웠다.</t>
  </si>
  <si>
    <t>sleep</t>
  </si>
  <si>
    <t>자취, 수면, 잠들다, 잠잠한</t>
  </si>
  <si>
    <t>She needs to get some sleep before the big exam tomorrow.
그녀는 내일 큰 시험을 볼 때까지 잠을 잘 봐야 한다.</t>
  </si>
  <si>
    <t>slender</t>
  </si>
  <si>
    <t>가늘다, 연약한, 가는</t>
  </si>
  <si>
    <t>The tree's slender branches swayed gently in the breeze.
나무의 가늘고 연약한 가지가 바람에 흔들렸다.</t>
  </si>
  <si>
    <t>slick</t>
  </si>
  <si>
    <t>고무, 매끄러운, 속임수</t>
  </si>
  <si>
    <t>The salesman's slick presentation convinced many investors to invest in the company.
판매원의 매끄러운 발표로 많은 투자자들이 회사에 투자하기로 결정했다.</t>
  </si>
  <si>
    <t>sloppy</t>
  </si>
  <si>
    <t>부실한, 무질서한, 흐트러진</t>
  </si>
  <si>
    <t>The kitchen was a sloppy mess after the party.
파티 후 кух장은 부실한 상태였다.</t>
  </si>
  <si>
    <t>smacked</t>
  </si>
  <si>
    <t>다친 것, 때린 것, 맛이 없는 것</t>
  </si>
  <si>
    <t>The cake was smacked together with a rolling pin.
케이크는 굴림기를 사용해 급하게 만들어졌다.</t>
  </si>
  <si>
    <t>smoothed out</t>
  </si>
  <si>
    <t>가라앉힌, 부드러워진, 평탄해진</t>
  </si>
  <si>
    <t>The road was smoothed out after the winter snowmelt.
겨울 눈 녹음으로 도로가 가라앉혔습니다.</t>
  </si>
  <si>
    <t>soared</t>
  </si>
  <si>
    <t>고래, 높이, 급격히 상승하다, 높이 날아다니다,</t>
  </si>
  <si>
    <t>The eagle soared through the clear blue sky.
새는 맑은 하늘을 높이 날아다녔다.</t>
  </si>
  <si>
    <t>sobering</t>
  </si>
  <si>
    <t>1. 심각한, 무거운 , 2. 정신을 차리는 , 3. 현실을 깨닫는</t>
  </si>
  <si>
    <t>The statistics on the rising crime rate were sobering.
범죄율이 급증하는 통계는 무서운 것이었다.</t>
  </si>
  <si>
    <t>softer</t>
  </si>
  <si>
    <t>부드러운, 부드럽게, 부드러움</t>
  </si>
  <si>
    <t>The new pillow was softer than the old one.
새로운은 옛것보다 부드러웠다.</t>
  </si>
  <si>
    <t>soggy</t>
  </si>
  <si>
    <t>물기가 많은, 젖은, 비린</t>
  </si>
  <si>
    <t>The bread was soggy from being left out in the rain.
빗길에 두다 바람에 젖은 빵이었다.</t>
  </si>
  <si>
    <t>solicitation</t>
  </si>
  <si>
    <t>요청, 간청, 유인</t>
  </si>
  <si>
    <t>The company's aggressive solicitation of investors led to a series of financial scandals.
회사측의 투자자 유인에 대한 적극적인 행위가 금융 스캔들로 이어졌다.</t>
  </si>
  <si>
    <t>solidarity</t>
  </si>
  <si>
    <t>단결, 연대, 단합</t>
  </si>
  <si>
    <t>The workers' union demonstrated their solidarity with the striking miners.
노동조합은 파업하는 광부들과 단결을 보여주었다.</t>
  </si>
  <si>
    <t>solvent</t>
  </si>
  <si>
    <t>용매, 용해제, 용해성</t>
  </si>
  <si>
    <t>The chemical was used as a solvent in the manufacturing process.
화학 물질은 제조 공정에서 용매로 사용되었다.</t>
  </si>
  <si>
    <t>solves</t>
  </si>
  <si>
    <t>해결한다, 문제를 해결하는 방법, 문제를 해결한 결과</t>
  </si>
  <si>
    <t>The new software solves many complex problems that were previously unsolvable.
새로운 소프트웨어는 이전에 해결할 수 없었던 복잡한 문제를 많이 해결한다.</t>
  </si>
  <si>
    <t>soothing</t>
  </si>
  <si>
    <t>편안한, 위안을 주는, 진정시키는</t>
  </si>
  <si>
    <t>The sound of the ocean waves was soothing to her tired ears.
바다 물결의 소리는 그녀의 피곤한 귀에 편안했다.</t>
  </si>
  <si>
    <t>sources</t>
  </si>
  <si>
    <t>원천, 출처, 근거</t>
  </si>
  <si>
    <t>The company's financial reports were based on reliable sources.
회사 재무보고서는 신뢰할 수 있는 출처에 기반하고 있었다.</t>
  </si>
  <si>
    <t>space</t>
  </si>
  <si>
    <t>공간, 우주, 여백</t>
  </si>
  <si>
    <t>The astronauts floated in space for several hours.
에서 수 시간 동안 우주인들은 떠다녔다.</t>
  </si>
  <si>
    <t>spacious</t>
  </si>
  <si>
    <t>대공간적인, 넓은, 넓고 편안한</t>
  </si>
  <si>
    <t>The new office building has a spacious conference room that can accommodate hundreds of people.
새로운 사무실 건물에는 수백 명의 사람들이 모일 수 있는 넓은 회의실이 있습니다.</t>
  </si>
  <si>
    <t>species</t>
  </si>
  <si>
    <t>종 , 종류 , 종속</t>
  </si>
  <si>
    <t>The new species of orchid was discovered in the remote jungle.
새로운 종의 개나리 식물이 원림에서 발견되었다.</t>
  </si>
  <si>
    <t>speculating</t>
  </si>
  <si>
    <t>예측하는 것, 추측하는 것, 가설을 세우는 것</t>
  </si>
  <si>
    <t>The economist was speculating about the potential impact of the new policy on the economy.
경제학자는 새로운 정책이 경제에 미칠 잠재적 영향을 예측하고 있었다.</t>
  </si>
  <si>
    <t>sprawled</t>
  </si>
  <si>
    <t>가로놓인, 널뛰어, 널뛰는</t>
  </si>
  <si>
    <t>The city's sprawl was a major concern for urban planners.
도시의 널뛰어는 도시 계획가들에게 큰 우려가 되었다.</t>
  </si>
  <si>
    <t>spur</t>
  </si>
  <si>
    <t>스푸르 , 자극하다 , 자극적인</t>
  </si>
  <si>
    <t>The new policy will spur economic growth in the region.
새 정책은 지역 경제 성장에 자극을 주었다.</t>
  </si>
  <si>
    <t>spurning</t>
  </si>
  <si>
    <t>거부, 거부하는, 경멸</t>
  </si>
  <si>
    <t>The company's decision to spurning the government's offer was seen as a major setback.
정부의 제안을 거부하는 이 회사의 결정은 큰 타격으로 여겨졌다.</t>
  </si>
  <si>
    <t>squirt</t>
  </si>
  <si>
    <t>물방울, 물뿌리기, 작은 물방울</t>
  </si>
  <si>
    <t>The child squirted water at her brother.
아이가 형에게 물을 뿌렸다.</t>
  </si>
  <si>
    <t>stale</t>
  </si>
  <si>
    <t>기름진, 기름진, 기름진</t>
  </si>
  <si>
    <t>The bread was stale and tasted unpleasantly bitter.
빵은 기름진 맛이 나서 불쾌하게 맛있었다.</t>
  </si>
  <si>
    <t>stall</t>
  </si>
  <si>
    <t>상점, 정차, 지연</t>
  </si>
  <si>
    <t>The horse suddenly stumbled and caused the carriage to stall.
말이 갑자기 넘어져서 마차가 멈췄다.</t>
  </si>
  <si>
    <t>stammer</t>
  </si>
  <si>
    <t>말랄라, 말랄, 말랄하</t>
  </si>
  <si>
    <t>The young boy began to stammer when he tried to introduce himself to the class.
소년은 자신을 소개할 때부터 말랄랄하게 시작했다.</t>
  </si>
  <si>
    <t>stamp</t>
  </si>
  <si>
    <t>스탬프 , 스템프 , 찍기 , 찍힌</t>
  </si>
  <si>
    <t>She carefully placed the stamp on the envelope.
그녀는 편지에 스탬프를 신중하게 찍었다.</t>
  </si>
  <si>
    <t>stances</t>
  </si>
  <si>
    <t>stances  : 태도, 입장, 자세</t>
  </si>
  <si>
    <t>The two candidates took different stances on the issue of free trade.
두 후보자는 자유 무역에 대한 입장에서 차이를 보였다.</t>
  </si>
  <si>
    <t>standardize</t>
  </si>
  <si>
    <t>표준화하다, 표준을 정립하다, 일반화하다</t>
  </si>
  <si>
    <t>The company will standardize its production process to increase efficiency.
회사에서는 생산 과정의 표준화를 통해 효율성을 높이기로 했다.</t>
  </si>
  <si>
    <t>standoffish</t>
  </si>
  <si>
    <t>기피적, 거리두는 태도, 거리를 두는 사람</t>
  </si>
  <si>
    <t>She found it difficult to get close to her standoffish neighbor.
그의 기피적인 이웃과 가까이 다가가기 어려웠다.</t>
  </si>
  <si>
    <t>starved</t>
  </si>
  <si>
    <t>가난하다, 배고파하다, 굶주림</t>
  </si>
  <si>
    <t>The refugees were starved and exhausted after being stranded on the island for weeks.
난민들은 섬에 몇 주 동안 갇혀있어서 굶주리고 피로해있었습니다.</t>
  </si>
  <si>
    <t>stationed</t>
  </si>
  <si>
    <t>기지에 주둔하다, 주둔, 기지</t>
  </si>
  <si>
    <t>The soldiers were stationed at the base for several months.
군인들은 몇 달 동안 기지에 주둔했다.</t>
  </si>
  <si>
    <t>stature</t>
  </si>
  <si>
    <t>신체 크기, 사회적 지위, 위상</t>
  </si>
  <si>
    <t>Her stature and poise commanded respect from everyone in the room.
그녀의 신체 크기와 위엄이 방에서 모든 사람에게 존경을 받았다.</t>
  </si>
  <si>
    <t>stay</t>
  </si>
  <si>
    <t>숙소, 머무르다, 지속</t>
  </si>
  <si>
    <t>She decided to stay in the city for a few more days.
그녀는 도시에서 몇 일 더 머물기로 결정했다.</t>
  </si>
  <si>
    <t>sterile</t>
  </si>
  <si>
    <t>부패하지 않은, 세균이 없는, 비임신</t>
  </si>
  <si>
    <t>The hospital's operating room was designed to be completely sterile to prevent infection.
병원 운영실은 감염을 예방하기 위해 완전히 세균이 없는 환경으로 설계되었다.</t>
  </si>
  <si>
    <t>stick to</t>
  </si>
  <si>
    <t>지키다, 고수하다, 고정시키다</t>
  </si>
  <si>
    <t>She tried to stick to her diet, but it was hard.
그녀는 식단을 지키려고 노력했지만 어려웠다.</t>
  </si>
  <si>
    <t>stingy</t>
  </si>
  <si>
    <t>돈을 아끼는 사람, 아낌새 없는 사람, 비싼 것을 싫어하는 사람</t>
  </si>
  <si>
    <t>She was stingy with her compliments, only giving them to people she truly admired.
그녀는 칭찬을 아끼는 사람이었다.</t>
  </si>
  <si>
    <t>stipulates</t>
  </si>
  <si>
    <t>1. 명시한다, 규정한다 , 
2. 요구한다, 명령한다 , 
3. 조건을 명시한다</t>
  </si>
  <si>
    <t>The contract stipulates that the company will provide a 10% discount for early payment.
계약서는 회사에서 일찍 지불할 경우 10%의 할인 제공한다고 명시하고 있다.</t>
  </si>
  <si>
    <t>stipulations</t>
  </si>
  <si>
    <t>약정, 조건, 규정</t>
  </si>
  <si>
    <t>The contract was contingent on meeting certain stipulations regarding the company's financial stability.
계약은 회사 재정 안정에 대한 특정 조건을 충족하는 데 달려 있었다.</t>
  </si>
  <si>
    <t>stirred</t>
  </si>
  <si>
    <t>움직여졌음, 혼란스럽게 된, 저어지다</t>
  </si>
  <si>
    <t>The news stirred up a lot of controversy.
뉴스가 많은 논란을 일으켰다.</t>
  </si>
  <si>
    <t>stirring</t>
  </si>
  <si>
    <t>활기, 움직임, 흥미</t>
  </si>
  <si>
    <t>The movie's stirring plot twist kept viewers on the edge of their seats.
영화의 흥미로운 줄거리가 시청자들을 긴장하게 만들었다.</t>
  </si>
  <si>
    <t>stocked</t>
  </si>
  <si>
    <t>재고된 것, 보유한 재산, 준비된 상태</t>
  </si>
  <si>
    <t>The store was stocked with fresh produce every morning.
상점은 매일 아침에 신선한 과일과 채소로 가득 채워져 있었다.</t>
  </si>
  <si>
    <t>stooped</t>
  </si>
  <si>
    <t>가슴이 기울어져 있는 것, 기울어진 자세, 허물어져 있는 것</t>
  </si>
  <si>
    <t>The old man walked with a stooped back.
노인은 가슴이 기울어져서 걸었다.</t>
  </si>
  <si>
    <t>stooping</t>
  </si>
  <si>
    <t>가슴을 숙이는 것, 기울어지는 것, 낮은 자세를 취하는 것</t>
  </si>
  <si>
    <t>The old man was stooping over to pick up the newspaper.
어르신은 신문을 줍기 위해 기울어졌다.</t>
  </si>
  <si>
    <t>stored</t>
  </si>
  <si>
    <t>저장된 것, 보관된 물건, 기록된 데이터</t>
  </si>
  <si>
    <t>The files were stored on an external hard drive.
파일은 외장 하드 드라이브에 저장되었다.</t>
  </si>
  <si>
    <t>straddled</t>
  </si>
  <si>
    <t>1.  - 두 다리를 한 줄기에 걸쳐놓다, 한 줄기에 걸쳐놓다, 
2.  - 두 다리를 걸쳐놓다, 
3.  - 두 다리를 걸쳐놓다, 한 줄기에 걸쳐놓다</t>
  </si>
  <si>
    <t>She straddled the fence, trying to get a better view of the surrounding area.
그녀는 울타리를 걸쳐서 서서 주변을 더 잘 볼 수 있도록 했다.</t>
  </si>
  <si>
    <t>stranded</t>
  </si>
  <si>
    <t>고립된, 버려진, 기상 악화로 바다에 좌초된</t>
  </si>
  <si>
    <t>The storm left the sailors stranded on a deserted island.
폭풍으로 선원들은 무인도에 버려졌습니다.</t>
  </si>
  <si>
    <t>strict</t>
  </si>
  <si>
    <t>엄격한, 엄격히, 규율, 규율을 지키는</t>
  </si>
  <si>
    <t>The teacher enforced a strict dress code in the classroom.
교사는 교실에서 엄격한 의복 규정을 시행했다.</t>
  </si>
  <si>
    <t>strident</t>
  </si>
  <si>
    <t>고성한, 거친, 강한</t>
  </si>
  <si>
    <t>The strident cry of the siren pierced the night air.
고성한 경보기의 울음소리가 밤공기를 뚫고 들어왔다.</t>
  </si>
  <si>
    <t>striking</t>
  </si>
  <si>
    <t>명징력있는, 강렬한, 주목할만한</t>
  </si>
  <si>
    <t>The city's skyline is striking, with its towering skyscrapers.
도시의 도시 풍경은 거대한 빌딩들로 구성되어 있어 눈에 띄는다.</t>
  </si>
  <si>
    <t>stringent</t>
  </si>
  <si>
    <t>엄격한, 강한, 엄격한 규칙</t>
  </si>
  <si>
    <t>The new regulations will be enforced with stringent controls to prevent pollution.
새로운 규정은 오염을 방지하기 위해 엄격한 통제를 통해 시행될 것입니다.</t>
  </si>
  <si>
    <t>strive</t>
  </si>
  <si>
    <t>시도하다, 노력하다, 애쓰다</t>
  </si>
  <si>
    <t>She will strive to become a successful businesswoman.
그녀는 성공적인 사업가가 되기 위해 노력할 것이다.</t>
  </si>
  <si>
    <t>striving</t>
  </si>
  <si>
    <t>도전하는 것, 노력하는 것, 애쓰는 것</t>
  </si>
  <si>
    <t>She has been striving to improve her language skills for years.
그녀는 수년 동안 언어 능력을 향상시키기 위해 노력해왔다.</t>
  </si>
  <si>
    <t>structured</t>
  </si>
  <si>
    <t>구조화된, 체계화된, 정형화된</t>
  </si>
  <si>
    <t>The company's financial reports are structured to make it easier for investors to understand.
회사 재무보고서가 투자자들이 이해하기 쉽도록 구조화되어 있습니다.</t>
  </si>
  <si>
    <t>struggle</t>
  </si>
  <si>
    <t>싸움, 어려움, 노력, 힘들다,</t>
  </si>
  <si>
    <t>She struggled to find a job after graduating from college.
대학을 졸업한 후 그녀는 일자리를 찾기 위해 노력했다.</t>
  </si>
  <si>
    <t>struggles</t>
  </si>
  <si>
    <t>싸움, 어려움, 노력</t>
  </si>
  <si>
    <t>She has been struggling to find a job after graduation.
대학을 졸업한 후에 그녀는 일자리를 찾기 위해 노력하고 있다.</t>
  </si>
  <si>
    <t>strut</t>
  </si>
  <si>
    <t>1.  - strut , 2.  - strut , 3.  - strut</t>
  </si>
  <si>
    <t>She began to strut down the catwalk, confident in her new outfit.
그녀는 새 옷을 입고 걸음이 자신감 넘치는 가식을 걸었다.</t>
  </si>
  <si>
    <t>stumped</t>
  </si>
  <si>
    <t>어리석다, 당황하다, 막히다</t>
  </si>
  <si>
    <t>She was stumped by the complex math problem.
그녀는 복잡한 수학 문제에 당황했다.</t>
  </si>
  <si>
    <t>stunt</t>
  </si>
  <si>
    <t>스턴트  - 특수한 동작, 장난, 위험한 행동, 스틸 촬영, 
스턴트  - 위험한 행동을 하다, 장난을 치다</t>
  </si>
  <si>
    <t>The driver performed a daring stunt by driving the car off a cliff.
운전자는 자동차를 절벽에서 떨어뜨려 위험한 스틸 촬영을 했다.</t>
  </si>
  <si>
    <t>subjected</t>
  </si>
  <si>
    <t>1.  - subject, topic, 
2.  - expose, submit, 
3.  - make someone suffer, oppress</t>
  </si>
  <si>
    <t>The company's employees were subjected to a rigorous training program.
회사 직원들은 엄격한 훈련 프로그램에 노출되었다.</t>
  </si>
  <si>
    <t>subjugated</t>
  </si>
  <si>
    <t>서민화된, 지배당한, 종속된</t>
  </si>
  <si>
    <t>The indigenous people were subjugated by the colonial powers.
원주민들은 식민지 세력에 의해 지배당했다.</t>
  </si>
  <si>
    <t>submerged</t>
  </si>
  <si>
    <t>수면, 잠긴, 잠겨 있는</t>
  </si>
  <si>
    <t>The city was submerged under a massive flood.
도시는 거대한 홍수로 잠겼다.</t>
  </si>
  <si>
    <t>subsided</t>
  </si>
  <si>
    <t>감소하다, 침체되다, 저하되다</t>
  </si>
  <si>
    <t>The storm finally subsided, and the sun broke through the clouds.
폭풍은 결국 가라앉았고, 태양은 구름 사이로 비추기 시작했다.</t>
  </si>
  <si>
    <t>subsisterst</t>
  </si>
  <si>
    <t>Unfortunately, 'subsisterst' is not a valid English word. It seems to be a non-existent or misspelled term.</t>
  </si>
  <si>
    <t>There is no example sentence for 'subsisterst' as it is not a recognized English word.
이 단어는 영어 사전에 등록되지 않은 것으로 보입니다.</t>
  </si>
  <si>
    <t>substitute</t>
  </si>
  <si>
    <t>수용자, 대체품, 대리인</t>
  </si>
  <si>
    <t>The teacher asked the student to be a substitute for the absent classmate.
선생님은 결석한 동급생을 대신할 학생에게 부탁했다.</t>
  </si>
  <si>
    <t>subtle</t>
  </si>
  <si>
    <t>상미한, 미묘한, 은밀한</t>
  </si>
  <si>
    <t>The actress's subtle smile hinted at a deeper emotional complexity.
배우의 상미한 미소는 더 깊은 감정적 복잡성을 암시했다.</t>
  </si>
  <si>
    <t>succinct</t>
  </si>
  <si>
    <t>정확한, 간결한, 명확한</t>
  </si>
  <si>
    <t>The professor's succinct explanation of the complex theory helped the students understand it quickly.
교수님의 복잡한 이론을 설명하는 정확한 말은 학생들이 빠르게 이해할 수 있도록 도와주었다.</t>
  </si>
  <si>
    <t>suits</t>
  </si>
  <si>
    <t>복장, 정장, 맞는 옷</t>
  </si>
  <si>
    <t>The new employee wore a suit to the meeting.
새로운 직원은 회의에 정장을 입었다.</t>
  </si>
  <si>
    <t>summit</t>
  </si>
  <si>
    <t>정상, 최고, 최상</t>
  </si>
  <si>
    <t>The two leaders met at the summit to discuss the ongoing conflict.
두 지도자들은 진행 중인 갈등을 논의하기 위해 정상회담을 열었습니다.</t>
  </si>
  <si>
    <t>superfluous</t>
  </si>
  <si>
    <t>부수적, 불필요한, 과도한</t>
  </si>
  <si>
    <t>The company's new policy was deemed superfluous by many employees, who felt it only added to their workload without providing any real benefits.
회사 새로운 정책은 많은 직원들에게 부수적이라고 여겨졌는데, 그들은 그것이 실제로 이익을 제공하지 않고만 업무 부하를 더해준다고 생각했다.</t>
  </si>
  <si>
    <t>supersede</t>
  </si>
  <si>
    <t>1. 대체하다, 교체하다 , 
2. 우월하다, 뛰어나다 , 
3. 대신하다</t>
  </si>
  <si>
    <t>The new policy will supersede the old one, effective immediately.
새로운 정책은 즉시 이전 정책을 대체합니다.</t>
  </si>
  <si>
    <t>surmise</t>
  </si>
  <si>
    <t>의심, 추측, 예상</t>
  </si>
  <si>
    <t>She tried to surmise the reason behind his sudden departure.
그의 갑작스러운 떠남의 이유를 추측하려고 했다.</t>
  </si>
  <si>
    <t>surmounted</t>
  </si>
  <si>
    <t>고른다, 극복하다, 위에 있다</t>
  </si>
  <si>
    <t>The mountain peak had been surmounted by many brave adventurers.
산 정상은 많은 용감한 모험가들이 극복했다.</t>
  </si>
  <si>
    <t>surrender</t>
  </si>
  <si>
    <t>유예, 항복, 항복, 포기, 항복</t>
  </si>
  <si>
    <t>The city will surrender to the enemy without a fight.
도시는 무력하게 적에게 항복할 것이다.</t>
  </si>
  <si>
    <t>surreptitiously</t>
  </si>
  <si>
    <t>속으로, 은밀히,적으로</t>
  </si>
  <si>
    <t>She watched him surreptitiously, trying not to be seen.
그를 속으로 지켜보았다.</t>
  </si>
  <si>
    <t>surrounding</t>
  </si>
  <si>
    <t>가까운 지역, 주변, 둘러싸인 곳</t>
  </si>
  <si>
    <t>The city's noise and pollution are surrounding the park.
도시의 소음과 오염이 공원에 둘러싸고 있다.</t>
  </si>
  <si>
    <t>susceptible</t>
  </si>
  <si>
    <t>감염성, 취약성, 민감성</t>
  </si>
  <si>
    <t>The new employee was susceptible to office gossip and rumors.
신입 직원은 사무실 소문과 루머에 취약했다.</t>
  </si>
  <si>
    <t>suspend</t>
  </si>
  <si>
    <t>정지하다, 중단시키다, 잠시 멈추다</t>
  </si>
  <si>
    <t>The court suspended the sentence, allowing the defendant to serve the remainder of their time under house arrest.
법원은 판결을 정지시켜 재판받은 사람에게 집에 있는 동안 나머지 기간을 복역하도록 허용했다.</t>
  </si>
  <si>
    <t>suspended</t>
  </si>
  <si>
    <t>정지된, 중단된, 보류된</t>
  </si>
  <si>
    <t>The project was suspended due to lack of funding.
프로젝트는 자금 부족으로 인해 중단되었다.</t>
  </si>
  <si>
    <t>sustain</t>
  </si>
  <si>
    <t>유지하다, 지속하다, 지키다</t>
  </si>
  <si>
    <t>The company will sustain its efforts to reduce carbon emissions.
회사에서는 탄소 배출량을 줄이기 위한 노력을 계속할 것입니다.</t>
  </si>
  <si>
    <t>syllabus</t>
  </si>
  <si>
    <t>과목 목록, 강의 계획서, 교과 과정</t>
  </si>
  <si>
    <t>The professor distributed the syllabus to the students at the beginning of the semester.
교수는 학기 초에 학생들에게 강의 계획서를 배포했다.</t>
  </si>
  <si>
    <t>tainted</t>
  </si>
  <si>
    <t>1. 오염된 , 2. 더럽혀진 , 3. 오염시키다</t>
  </si>
  <si>
    <t>The company's reputation was tainted by the scandal.
회사 이름은 스캔들로 더럽혀졌다.</t>
  </si>
  <si>
    <t>take after</t>
  </si>
  <si>
    <t>유사하다, 닮다, 모방하다</t>
  </si>
  <si>
    <t>She takes after her mother in her love of gardening.
그녀는 어머니와 같은 식물에 대한 사랑을 닮았다.</t>
  </si>
  <si>
    <t>taking</t>
  </si>
  <si>
    <t>수업, 수용, 취급, 취소,</t>
  </si>
  <si>
    <t>She's taking a break from her busy schedule to relax.
그녀는 바쁜 일정에서 휴식을 취합니다.</t>
  </si>
  <si>
    <t>tampering</t>
  </si>
  <si>
    <t>훔치기, 변조, 조작</t>
  </si>
  <si>
    <t>The company was fined for tampering with the safety data of their products.
회사 제품의 안전 데이터를 조작한 죄로 벌금을 부과받았다.</t>
  </si>
  <si>
    <t>tang</t>
  </si>
  <si>
    <t>수건, 타는 것, 향수</t>
  </si>
  <si>
    <t>The fabric felt warm to the touch.
수건은 따뜻하게 느껴졌다.</t>
  </si>
  <si>
    <t>tangible</t>
  </si>
  <si>
    <t>물리적, 실질적, 감각적으로 느껴지는</t>
  </si>
  <si>
    <t>The company's financial struggles are a tangible sign of the economic downturn.
회사 경제적 어려움은 경제 침체의 실질적인 징후입니다.</t>
  </si>
  <si>
    <t>tantalize</t>
  </si>
  <si>
    <t>유혹하다, 유혹적으로 보이다, 유혹적인 것</t>
  </si>
  <si>
    <t>The aroma of freshly baked cookies tantalized the children, making them even more excited for dessert.
새로 구운 쿠키의 향이 아이들을 더욱 달콤한 디저트를 기다리게 하며 유혹했다.</t>
  </si>
  <si>
    <t>tapped</t>
  </si>
  <si>
    <t>수신한, 누르다, 누른</t>
  </si>
  <si>
    <t>She tapped her foot impatiently while waiting for the bus.
그녀는 버스를 기다리다 불편해져 발을 누르기 시작했다.</t>
  </si>
  <si>
    <t>tardy</t>
  </si>
  <si>
    <t>늦은 , 지각하지 못한 , 늦게 오는</t>
  </si>
  <si>
    <t>The bus was late, and I had to wait for over an hour.
버스는 늦었고, 나도 1시간 이상 기다려야 했다.</t>
  </si>
  <si>
    <t>taunted</t>
  </si>
  <si>
    <t>어린, 괴롭힌, 비난한</t>
  </si>
  <si>
    <t>She was taunted by her classmates for wearing the same dress as the movie star.
그녀는 영화스타가 입은 옷과 똑같은 옷을 입은 이유로 동급생들로부터 괴롭혔다.</t>
  </si>
  <si>
    <t>temperaments</t>
  </si>
  <si>
    <t>성격, 기질, 성향</t>
  </si>
  <si>
    <t>The doctor tried to understand the patient's temperaments before prescribing medication.
의사는 약을 처방하기 전에 환자의 성격을 이해하려고 했다.</t>
  </si>
  <si>
    <t>tension</t>
  </si>
  <si>
    <t>긴장, 긴장감, 불안감</t>
  </si>
  <si>
    <t>The city was filled with a palpable sense of tension as the election results were announced.
선거 결과가 발표된 순간 도시에는 분명한 긴장감이 가득했다.</t>
  </si>
  <si>
    <t>tentative</t>
  </si>
  <si>
    <t>예비적, 미정, 불확실</t>
  </si>
  <si>
    <t>The company's plans for expansion are still tentative.
회사 확장 계획은 아직 예비적이다.</t>
  </si>
  <si>
    <t>tentatively</t>
  </si>
  <si>
    <t>예비적으로, 조심스럽게, 잠정적으로</t>
  </si>
  <si>
    <t>She approached him tentatively, not wanting to startle him.
그녀는 그를 조심스럽게 다가갔다.</t>
  </si>
  <si>
    <t>tepid</t>
  </si>
  <si>
    <t>온난한, 온화한, 온도 낮은</t>
  </si>
  <si>
    <t>The water was too tepid for a refreshing bath.
물이 너무 온난하여 시원한 목욕을 하기에는 적합하지 않았다.</t>
  </si>
  <si>
    <t>terminate</t>
  </si>
  <si>
    <t>종료하다, 끝내다, 중단하다</t>
  </si>
  <si>
    <t>The company will terminate the contract with the supplier due to their poor performance.
회사에서는 공급자의 성과가 좋지 않아 계약을 종료하려고 합니다.</t>
  </si>
  <si>
    <t>terrain</t>
  </si>
  <si>
    <t>지형, 토지, 지역</t>
  </si>
  <si>
    <t>The hikers had to navigate through the rugged terrain to reach the summit.
등산객들은 험준한 지형을 통해 정상에 도달하기 위해야 했다.</t>
  </si>
  <si>
    <t>terrestrial</t>
  </si>
  <si>
    <t>지구의, 육지의, 천상의</t>
  </si>
  <si>
    <t>The telescope was designed to study the terrestrial atmosphere of distant planets.
천체 망원경은 먼 행성의 지구 대기 연구를 위해 설계되었다.</t>
  </si>
  <si>
    <t>throws a tantrum</t>
  </si>
  <si>
    <t>분노의 폭발, 아이가 울부짖다, 어린이가 과민을 보인다</t>
  </si>
  <si>
    <t>The child throws a tantrum whenever she doesn't get her way.
아이가 원하는 대로 되지 않으면 항상 울부짖는다.</t>
  </si>
  <si>
    <t>thwart</t>
  </si>
  <si>
    <t>장애, 방해, 저지</t>
  </si>
  <si>
    <t>The new security measures were put in place to thwart potential terrorist attacks.
신규 보안 조치가 잠재적인 테러 공격을 저지하기 위해 시행되었다.</t>
  </si>
  <si>
    <t>tick</t>
  </si>
  <si>
    <t>시계, ,</t>
  </si>
  <si>
    <t>The clock ticked away the seconds until midnight.
시계는 자정까지 초를 세어갔다.</t>
  </si>
  <si>
    <t>tilted</t>
  </si>
  <si>
    <t>The artist's painting was a tilted perspective of a cityscape.
가정주의 화가는 도시 풍경의 기울어진 관점을 그렸다.</t>
  </si>
  <si>
    <t>timid</t>
  </si>
  <si>
    <t>부드러운, 겁쟁이, 겁이 많은</t>
  </si>
  <si>
    <t>She was too timid to speak up in the meeting.
그녀는 회의에서 목소리를 내기가 너무 겁이 났다.</t>
  </si>
  <si>
    <t>torrential</t>
  </si>
  <si>
    <t>폭우의, 강한, 비가</t>
  </si>
  <si>
    <t>The storm unleashed a torrential downpour that flooded the streets.
폭풍우가 거센 비를 내리며 거리를 물로 덮었다.</t>
  </si>
  <si>
    <t>total</t>
  </si>
  <si>
    <t>총계, 전체, 완전</t>
  </si>
  <si>
    <t>The total cost of the project was $10 million.
이 프로젝트의 총 비용은 10억 달러였다.</t>
  </si>
  <si>
    <t>trade</t>
  </si>
  <si>
    <t>수출, 수입, 무역, 교역, 거래</t>
  </si>
  <si>
    <t>The company has been in the trade of importing and exporting electronics for over a decade.
회사에서는 전자제품을 수출입하는 업무를 10년 이상 하고 있습니다.</t>
  </si>
  <si>
    <t>traded</t>
  </si>
  <si>
    <t>거래한 것, 교환한 것, 바꾼 것</t>
  </si>
  <si>
    <t>The company traded its old equipment for a new one.
회사에서는 구비된 장비를 새로운 것으로 교환했다.</t>
  </si>
  <si>
    <t>transactions</t>
  </si>
  <si>
    <t>거래, 거래처, 거래량</t>
  </si>
  <si>
    <t>The bank's online platform allows users to view their transactions in real-time.
은행의 온라인 플랫폼은 사용자가 실시간으로 거래를 볼 수 있도록 해줍니다.</t>
  </si>
  <si>
    <t>transcending</t>
  </si>
  <si>
    <t>고상하다, 초월하다, 넘어서다</t>
  </si>
  <si>
    <t>The artist's transcending use of color and light created a breathtaking atmosphere in the gallery.
예술가의 색과 빛을 초월한 표현이 갤러리의 압권적인 분위기를 만들었다.</t>
  </si>
  <si>
    <t>transfers</t>
  </si>
  <si>
    <t>수수료, 이전, 이전, 이전, 이전</t>
  </si>
  <si>
    <t>The airline will transfer your luggage to the next flight if it's delayed.
항공사는 비행기가 지연되면 다음 비행에 짐을 이전합니다.</t>
  </si>
  <si>
    <t>transgressed</t>
  </si>
  <si>
    <t>범죄를 저지른 것, 위반한 것, 침범한 것</t>
  </si>
  <si>
    <t>The company's financial records showed that they had transgressed several laws.
회사 재무 기록에 따르면 그들은 여러 법을 위반한 것으로 나타났다.</t>
  </si>
  <si>
    <t>transmission</t>
  </si>
  <si>
    <t>전송, 전달, 변속기 , 전달하다</t>
  </si>
  <si>
    <t>The car's transmission system was damaged in the accident.
차량의 변속기 시스템이 사고로 손상되었다.</t>
  </si>
  <si>
    <t>transmitted</t>
  </si>
  <si>
    <t>신호, 전파, 전달된 것, 전송된 것</t>
  </si>
  <si>
    <t>The disease was transmitted to her through a mosquito bite.
그녀는 개미핥기 물림으로 병이 전염되었다.</t>
  </si>
  <si>
    <t>transmitting</t>
  </si>
  <si>
    <t>전송하는, 전송, 전파하는, 전송기, 전파</t>
  </si>
  <si>
    <t>The radio station is transmitting a signal to the entire city.
라디오 방송국은 전부 도시로 신호를 전송하고 있습니다.</t>
  </si>
  <si>
    <t>transport</t>
  </si>
  <si>
    <t>운수, 교통, 수송, 수송물, 교통수단</t>
  </si>
  <si>
    <t>The company specializes in transporting goods across the country.
그 회사는 국가 전역으로 물건을 운송하는 것을 전문으로 한다.</t>
  </si>
  <si>
    <t>transported</t>
  </si>
  <si>
    <t>수송된 것, 옮겨진 사람, 옮겨진 물건</t>
  </si>
  <si>
    <t>The fragile vase was carefully transported to the museum for preservation.
유약한 그릇은 보존을 위해 박물관으로 신중하게 옮겨졌습니다.</t>
  </si>
  <si>
    <t>travesty</t>
  </si>
  <si>
    <t>1. travesty  - 거짓된 것, 부조리한 일, travesty  - 거짓된 것처럼 만들다, travesty  - 부조리한, travesty  - 부조리하게</t>
  </si>
  <si>
    <t>The government's handling of the crisis was a travesty of justice.
정부의 위기 처리는 정의의 travesty 였다.</t>
  </si>
  <si>
    <t>treacherous</t>
  </si>
  <si>
    <t>위험한, 배신적인, 유인적인</t>
  </si>
  <si>
    <t>The mountain trail was treacherous, with steep cliffs and loose rocks.
산길은 험난한데, 절벽과 미끄러운 돌이 많았다.</t>
  </si>
  <si>
    <t>treat</t>
  </si>
  <si>
    <t>식사, 치료, 대우, 선물</t>
  </si>
  <si>
    <t>She decided to treat her friends to a night out at the movies.
그녀는 친구들을 영화관에 밤을 보내는 대로 대우하기로 결정했다.</t>
  </si>
  <si>
    <t>treaties</t>
  </si>
  <si>
    <t>협약, 조약, 계약</t>
  </si>
  <si>
    <t>The two countries signed several treaties to resolve their long-standing disputes.
두 국가가 오랜 기간 동안의 분쟁을 해결하기 위해 여러 협약을 체결했다.</t>
  </si>
  <si>
    <t>treaty</t>
  </si>
  <si>
    <t>협약, 조약, 협의</t>
  </si>
  <si>
    <t>The two countries signed a treaty to end the war.
두 국가가 전쟁을 끝내는 협약을 체결했다.</t>
  </si>
  <si>
    <t>trial</t>
  </si>
  <si>
    <t>사건, 재판, 시도, 실험</t>
  </si>
  <si>
    <t>The jury will deliberate on the evidence presented during the trial.
심판을 받은 증거에 대한 심의를 하여야 한다.</t>
  </si>
  <si>
    <t>triggered</t>
  </si>
  <si>
    <t>감격, 트리거, 유도</t>
  </si>
  <si>
    <t>Her sensitive nature was triggered by the harsh criticism.
그의 감성적인 성격은 거친 비판에 의해 유도되었다.</t>
  </si>
  <si>
    <t>truculent</t>
  </si>
  <si>
    <t>가혹한, 공격적인, 무리한</t>
  </si>
  <si>
    <t>The truculent dog growled at anyone who approached.
무리한 개는 누구에게나 다가오는 사람에게 짖었다.</t>
  </si>
  <si>
    <t>turn on</t>
  </si>
  <si>
    <t>전원, 켜다,  켜다,  켜다,  점화,  작동</t>
  </si>
  <si>
    <t>She tried to turn on the lights, but the switch was broken.
그녀는 불을 켜려 했지만 스위치가 고장 났었다.</t>
  </si>
  <si>
    <t>turn you in</t>
  </si>
  <si>
    <t>신고하다, 밀고넘기다, 고발하다</t>
  </si>
  <si>
    <t>The teacher threatened to turn you in if you didn't finish your homework on time.
선생님은 일찍이 숙제를 끝내지 않으면 신고할 것이라고 위협했다.</t>
  </si>
  <si>
    <t>turnover</t>
  </si>
  <si>
    <t>회전율, 교체율, 매출액의 변동</t>
  </si>
  <si>
    <t>The company's quarterly turnover exceeded expectations.
회사 매출액은 예상보다 높았다.</t>
  </si>
  <si>
    <t>typically</t>
  </si>
  <si>
    <t>일반적으로, 보통, 정상적으로</t>
  </si>
  <si>
    <t>She typically wakes up early to go for a run.
그녀는 아침 일찍 일어나서 달리기를 합니다.</t>
  </si>
  <si>
    <t>unavailable</t>
  </si>
  <si>
    <t>1. 불가 , 2. 이용 불가 , 3. 제공 불가</t>
  </si>
  <si>
    <t>The hotel room was unavailable due to a last-minute cancellation.
호텔 객실은 갑자기 취소로 이용 불가했다.</t>
  </si>
  <si>
    <t>unconscious</t>
  </si>
  <si>
    <t>무의식, 의식하지 못하는, 무감각</t>
  </si>
  <si>
    <t>She was rushed to the hospital and remained unconscious for several hours.
그녀는 병원으로 옮겨져 수 시간 동안 의식하지 못했다.</t>
  </si>
  <si>
    <t>underlie</t>
  </si>
  <si>
    <t>1. 지지하다, 근거되다 , 
2. 깊숙이 있다, 깔려 있다 , 
3. 근본이 있다</t>
  </si>
  <si>
    <t>The underlying assumption of the plan is that the economy will continue to grow.
이 계획의 근본적인 가정은 경제가 계속 성장할 것이라는 것이다.</t>
  </si>
  <si>
    <t>undermine</t>
  </si>
  <si>
    <t>파괴하다, 기초를 흔들다, 저하하다</t>
  </si>
  <si>
    <t>The company's financial troubles began to undermine investor confidence.
회사 재정난은 투자자들의 신뢰를 흔들기 시작했다.</t>
  </si>
  <si>
    <t>undermines</t>
  </si>
  <si>
    <t>1.  무너뜨린다, 약화시킨다, 저주한다, 
2.  무너뜨림, 약화, 저주</t>
  </si>
  <si>
    <t>The politician's scandal undermines the public's trust in the government.
정치인의 스캔들이 정부에 대한 국민의 신뢰를 무너뜨린다.</t>
  </si>
  <si>
    <t>underscore</t>
  </si>
  <si>
    <t>underline, emphasis, stress , emphasize , underlined</t>
  </si>
  <si>
    <t>The professor emphasized the importance of the project by writing it in bold and underscore the key points.
교수님은 프로젝트의 중요성을 강조하기 위해 굵은 글씨로 쓰고 중요한 부분을 밑줄로 표시했습니다.</t>
  </si>
  <si>
    <t>undetected</t>
  </si>
  <si>
    <t>감시를 받지 못한, 발견되지 않은, 감지되지 않은</t>
  </si>
  <si>
    <t>The hackers managed to infiltrate the system undetected.
해커들은 감시를 받지 못한 채 시스템에 침투했다.</t>
  </si>
  <si>
    <t>undulated</t>
  </si>
  <si>
    <t>곡선, 파도치는, 파랗게 물들인</t>
  </si>
  <si>
    <t>The hills undulated gently in the distance.
거리는 언덕이 부드럽게 파랗게 물들어 있었다.</t>
  </si>
  <si>
    <t>unfathomable</t>
  </si>
  <si>
    <t>무의식, 이해할 수 없는, 깊은</t>
  </si>
  <si>
    <t>The mysteries of the universe are unfathomable to human understanding.
우주에 대한 비밀은 인간의 이해를 넘어간다.</t>
  </si>
  <si>
    <t>unfolded</t>
  </si>
  <si>
    <t>사라진, 펼쳐진, 펼쳐지지 않은</t>
  </si>
  <si>
    <t>The map had been unfolded on the table.
지도는 테이블 위에 펼쳐져 있었다.</t>
  </si>
  <si>
    <t>unimpeded</t>
  </si>
  <si>
    <t>무방해, 방해받지 않고, 자유롭게</t>
  </si>
  <si>
    <t>The hikers enjoyed the unimpeded view of the valley from the top of the mountain.
등산객들은 산 정상에서 계곡의 무방해한 전망을 즐겼다.</t>
  </si>
  <si>
    <t>unleash</t>
  </si>
  <si>
    <t>무장시키다, 풀어주다, 방출하다</t>
  </si>
  <si>
    <t>The new policy will unleash a wave of innovation in the tech industry.
새 정책은 기술 산업에 혁신의 파도를 풀어줄 것이다.</t>
  </si>
  <si>
    <t>unruly</t>
  </si>
  <si>
    <t>무질서한, 무장의, 폭동하는</t>
  </si>
  <si>
    <t>The unruly crowd stormed the city hall.
무질서한 군중이 시청사를 폭동했다.</t>
  </si>
  <si>
    <t>unwilling</t>
  </si>
  <si>
    <t>반대되는 의지, 거부하는 태도, 불쾌한 감정</t>
  </si>
  <si>
    <t>She was unwilling to accept the apology.
그녀는 사과를 받아들이기를 거부했다.</t>
  </si>
  <si>
    <t>upbraid</t>
  </si>
  <si>
    <t>비난하다, 책망하다, 비판하다</t>
  </si>
  <si>
    <t>She upbraided him for his careless behavior.
그의 무심한 행동으로 인해 그녀가 그를 비난했다.</t>
  </si>
  <si>
    <t>upgraded</t>
  </si>
  <si>
    <t>업그레이드된, 업그레이드, 향상된</t>
  </si>
  <si>
    <t>The company upgraded its software to improve performance and security.
회사에서는 성능과 보안을 향상시키기 위해 소프트웨어를 업그레이드했다.</t>
  </si>
  <si>
    <t>usable</t>
  </si>
  <si>
    <t>사용할 수 있는, 사용 가능한, 쓸모 있는</t>
  </si>
  <si>
    <t>The new software is usable on both Windows and Mac operating systems.
새로운 소프트웨어는 윈도우와 맥 운영 체제 모두에서 사용할 수 있습니다.</t>
  </si>
  <si>
    <t>vacate</t>
  </si>
  <si>
    <t>1.  - 방해를 받지 않도록 떠나다,  - 임시로 비우다,  - 임무를 수행한 후에 떠나다</t>
  </si>
  <si>
    <t>The company will vacate the building by the end of the month.
회사에서는 이 달 말까지 건물을 비우기로 했다.</t>
  </si>
  <si>
    <t>validate</t>
  </si>
  <si>
    <t>확인하다, 유효성 검사하다, 인증하다</t>
  </si>
  <si>
    <t>The new policy will be implemented only after it has been validated by the board of directors.
새 정책은 이사회에서 인증된 후에만 시행될 것입니다.</t>
  </si>
  <si>
    <t>vandalized</t>
  </si>
  <si>
    <t>파괴된, 훼손된, 방화나 훼손을 당한</t>
  </si>
  <si>
    <t>The city's famous fountain was vandalized during the night.
도시의 유명한 분수대는 밤에 훼손되었다.</t>
  </si>
  <si>
    <t>vanguard</t>
  </si>
  <si>
    <t>전진대, 선진대, 선봉대</t>
  </si>
  <si>
    <t>The vanguard of the revolution was made up of young, idealistic activists.
혁명 선봉대는 젊은 나이의 이상주의자들로 구성되어 있었다.</t>
  </si>
  <si>
    <t>vanquished</t>
  </si>
  <si>
    <t>defeated, conquered, overcome</t>
  </si>
  <si>
    <t>The once-mighty empire was vanquished by a coalition of smaller nations.
강국이었던 제국은 작은 국가들의 연합에 의해 무너졌다.</t>
  </si>
  <si>
    <t>variable</t>
  </si>
  <si>
    <t>변수, 변동, 가변</t>
  </si>
  <si>
    <t>The company's profits are a variable that can affect the overall performance of the stock.
회사 수익은 주식의 전체 성과에 영향을 미치는 변수입니다.</t>
  </si>
  <si>
    <t>variety</t>
  </si>
  <si>
    <t>다양성, 다양한, 다양하다</t>
  </si>
  <si>
    <t>The show features a variety of musical performances.
이 쇼는 다양한 음악 공연을 특징으로 한다.</t>
  </si>
  <si>
    <t>veering</t>
  </si>
  <si>
    <t>회피하는, 방향을 틀다, 방향을 틀어지는</t>
  </si>
  <si>
    <t>The car's tires began to veer off the road as it hit the patch of ice.
차가 얼음 조각에 부딪쳐서 방향을 틀어 가로등을 향해 달리기 시작했다.</t>
  </si>
  <si>
    <t>veers</t>
  </si>
  <si>
    <t>도약하다, 방향을 틀다, 기울어지다</t>
  </si>
  <si>
    <t>The road veers sharply to the left.
길이 급격히 왼쪽으로 기울어지다.</t>
  </si>
  <si>
    <t>venerable</t>
  </si>
  <si>
    <t>존경할 만한 사람, 고령의 사람, 존경받는 사람</t>
  </si>
  <si>
    <t>The venerable professor has spent his entire career studying ancient civilizations.
존경받는 교수는 오랜 세월 동안 고대 문명에 대한 연구를 했다.</t>
  </si>
  <si>
    <t>venerate</t>
  </si>
  <si>
    <t>존경하다, 숭배하다, 공경하다</t>
  </si>
  <si>
    <t>She venerated her ancestors by visiting their graves every year.
그녀는 매년 조상들의 무덤을 방문하여 그들을 존경했다.</t>
  </si>
  <si>
    <t>ventilated</t>
  </si>
  <si>
    <t>공기순환, 환기, 공기순환장치</t>
  </si>
  <si>
    <t>The room was well ventilated, making it feel cooler than it actually was.
방은 잘 환기되어 있었는데, 실제보다 더 쾌적하게 느껴졌다.</t>
  </si>
  <si>
    <t>venture</t>
  </si>
  <si>
    <t>투자, 사업, 위험을 감수하는 것, 모험</t>
  </si>
  <si>
    <t>She decided to venture into the world of entrepreneurship.
그녀는 기업가로의 삶을 시작하기로 결정했다.</t>
  </si>
  <si>
    <t>verbose</t>
  </si>
  <si>
    <t>말많은, 장황한, 길게 말하는</t>
  </si>
  <si>
    <t>The professor's verbose explanation of the complex theory confused the students.
교수님의 복잡한 이론에 대한 장황한 설명이 학생들을 혼란에 빠뜨렸다.</t>
  </si>
  <si>
    <t>verdict</t>
  </si>
  <si>
    <t>사실 , 판결 , 결론</t>
  </si>
  <si>
    <t>The jury delivered a guilty verdict after only 30 minutes of deliberation.
심판은 30분 만에 유죄 판결을 내렸다.</t>
  </si>
  <si>
    <t>verifiable</t>
  </si>
  <si>
    <t>확인 가능한, 증명 가능한, 확인할 수 있는</t>
  </si>
  <si>
    <t>The company's financial records are verifiable through independent audits.
회사 재무서류는 독립적인 감사를 통해 확인할 수 있습니다.</t>
  </si>
  <si>
    <t>verifying</t>
  </si>
  <si>
    <t>확인하는, 인증하는, 사실을 확인하는</t>
  </si>
  <si>
    <t>The company is verifying the authenticity of the product before shipping it to customers.
회사에서는 제품의 진위를 확인한 후 고객에게 배송합니다.</t>
  </si>
  <si>
    <t>vernacular</t>
  </si>
  <si>
    <t>표준어, 지역어, 대중어</t>
  </si>
  <si>
    <t>The local dialect is often used in the vernacular literature of the region.
지역의 지역어는 종종 지역의 대중문학에서 사용된다.</t>
  </si>
  <si>
    <t>verve</t>
  </si>
  <si>
    <t>에너지, 열정, 활기</t>
  </si>
  <si>
    <t>The city's vibrant nightlife was infused with a sense of verve.
도시의 활기찬 밤생활은 열정적인 에너지를 담고 있었다.</t>
  </si>
  <si>
    <t>veto</t>
  </si>
  <si>
    <t>거부권, 거부, 반대</t>
  </si>
  <si>
    <t>The president threatened to veto the bill if it was passed in its current form.
대통령은 현재의 형태로 법안이 통과되면 거부권을 행사하겠다고 위협했다.</t>
  </si>
  <si>
    <t>vigilant</t>
  </si>
  <si>
    <t>경계적, 주의깊게, 경계를 지키는</t>
  </si>
  <si>
    <t>The security team remained vigilant throughout the night, monitoring the perimeter for any signs of intruders.
보안 팀은 밤을 지새워 경계를 지키며 침입자들의 신호를 감시했다.</t>
  </si>
  <si>
    <t>vigorous</t>
  </si>
  <si>
    <t>활기찬, 강력한, 열정적인</t>
  </si>
  <si>
    <t>The team's vigorous training paid off as they won the championship.
팀의 활기찬 훈련은 결국 우승으로 이어졌다.</t>
  </si>
  <si>
    <t>vindictive</t>
  </si>
  <si>
    <t>복수심있는, 복수심을 가진, 악의적인</t>
  </si>
  <si>
    <t>Her vindictive behavior towards her former colleagues was well-known in the industry.
그녀는 옛 동료들에 대한 복수심을 가진 것으로 유명했다.</t>
  </si>
  <si>
    <t>virtually</t>
  </si>
  <si>
    <t>실질적으로, 실제로, 거의</t>
  </si>
  <si>
    <t>The company is virtually bankrupt, but the CEO is still optimistic about its future.
회사은 실질적으로 파산한 상태이나 CEO는 회사의 미래에 대해 아직도 낙관적이다.</t>
  </si>
  <si>
    <t>visit</t>
  </si>
  <si>
    <t>방문, 방문객, 방문하다, 방문자</t>
  </si>
  <si>
    <t>She plans to visit her grandparents in the countryside this summer.
그녀는 여름에 시골로 할머니 할아버지 방문하기를 계획하고 있습니다.</t>
  </si>
  <si>
    <t>vitiated</t>
  </si>
  <si>
    <t>부정확한, 오염된 ,  오염된, 훼손된 ,  오염된, 부정확한</t>
  </si>
  <si>
    <t>The evidence was vitiated by the fact that the witness had a clear motive to lie.
증거는 증인에게 거짓말할 동기를 가지고 있기 때문에 부정확했다.</t>
  </si>
  <si>
    <t>vivacious</t>
  </si>
  <si>
    <t>활기찬, 기발한, 매력적인</t>
  </si>
  <si>
    <t>Her vivacious personality immediately put everyone at ease.
그녀의 활기찬 성격은 모두를 편안하게 만들었다.</t>
  </si>
  <si>
    <t>voice</t>
  </si>
  <si>
    <t>소리, 목소리, 발성</t>
  </si>
  <si>
    <t>Her voice echoed through the empty hall.
그녀의 목소리가 텅 빈 홀을 통해 울려 퍼졌다.</t>
  </si>
  <si>
    <t>volume</t>
  </si>
  <si>
    <t>볼륨, 소음, 크기</t>
  </si>
  <si>
    <t>The sound system in the auditorium had a surprisingly low volume.
홀의 사운드 시스템은 의외로 낮은 볼륨을 가지고 있었다.</t>
  </si>
  <si>
    <t>vowed</t>
  </si>
  <si>
    <t>약속했다, 맹세했다, 약속을 지켰다</t>
  </si>
  <si>
    <t>She vowed to donate all her wealth to charity after her death.
그녀는 죽은 후 모든 재산을 기부할 것을 맹세했다.</t>
  </si>
  <si>
    <t>vulnerable</t>
  </si>
  <si>
    <t>약한, 취약한, 취약점</t>
  </si>
  <si>
    <t>The city's infrastructure made it vulnerable to flooding during heavy rainfall.
폭우가 오면 도시의infrastructure가 취약해 물에 잠기기 쉬웠다.</t>
  </si>
  <si>
    <t>wagered</t>
  </si>
  <si>
    <t>배팅한 것, 베팅한 것, 도박한 것</t>
  </si>
  <si>
    <t>She had wagered her entire savings on the lottery.
그녀는 로또에 그녀의 전부를 걸었다.</t>
  </si>
  <si>
    <t>waived</t>
  </si>
  <si>
    <t>1.  - 면제된 것, 무효된 것, 
2.  - 면제하다, 무효시키다, 
3.  - 면제된, 무효된</t>
  </si>
  <si>
    <t>The judge waived the fine for the first-time offender.
판사는 범죄자가 처음이라면 벌금을 면제했다.</t>
  </si>
  <si>
    <t>warn</t>
  </si>
  <si>
    <t>경고하다, 경고, 경고의 뜻</t>
  </si>
  <si>
    <t>The authorities warned people to stay away from the area.
당국은 사람들에게 그 지역에서 멀리 떨어져 있어야 한다고 경고했다.</t>
  </si>
  <si>
    <t>warrant</t>
  </si>
  <si>
    <t>권리, 증명서, 합리화, 보증, 허가</t>
  </si>
  <si>
    <t>The police officer had a warrant to arrest the suspect.
경찰관은 용의자를 체포할 권리를 가지고 있었다.</t>
  </si>
  <si>
    <t>wasted</t>
  </si>
  <si>
    <t>잃은 시간, 낭비된 시간, 낭비, 허투로 사용된 시간, 낭비된 자원</t>
  </si>
  <si>
    <t>She spent the entire day watching TV and felt wasted.
그녀는 하루를 전부 티비를 보며 보냈고 허투로 느꼈다.</t>
  </si>
  <si>
    <t>watch</t>
  </si>
  <si>
    <t>시계, 관찰하다, 경계하다</t>
  </si>
  <si>
    <t>She carefully watched the child playing in the park.
그녀는 공원에서 뛰어놀고 있는 아이를 조심스럽게 지켜보았다.</t>
  </si>
  <si>
    <t>welcome</t>
  </si>
  <si>
    <t>환영 , 환영하다 , 환영받다 , 환영적인</t>
  </si>
  <si>
    <t>The hotel staff will be happy to welcome you to our new facility.
호텔 직원들은 새로운 시설에 여러분을 환영합니다.</t>
  </si>
  <si>
    <t>whimper</t>
  </si>
  <si>
    <t>울음, 소리를 내다, 약한 소리를 내다</t>
  </si>
  <si>
    <t>The puppy let out a faint whimper as it lay on the cold floor.
강아지는 차가운 바닥에 누워 울음소리를 내었다.</t>
  </si>
  <si>
    <t>wilt</t>
  </si>
  <si>
    <t>엉키다, پژ무다, 약해지다</t>
  </si>
  <si>
    <t>The flowers began to wilt in the scorching heat.
꽃들은 극한의 열기에 의해 엉키기 시작했다.</t>
  </si>
  <si>
    <t>withdraw</t>
  </si>
  <si>
    <t>수표, 은행, 철수</t>
  </si>
  <si>
    <t>She decided to withdraw from the competition due to her injury.
그녀는 부상으로 인해 대회에서 철수했다.</t>
  </si>
  <si>
    <t>withdraws</t>
  </si>
  <si>
    <t>수표를 인출한다, 물러난다, 물러서다, 인출하다</t>
  </si>
  <si>
    <t>The bank will close its operations in the country and withdraws its staff.
은행은 그 나라에서 운영을 중단하고 직원을 인출한다.</t>
  </si>
  <si>
    <t>withstand</t>
  </si>
  <si>
    <t>저항하다, 견디다, 강한</t>
  </si>
  <si>
    <t>The storm will withstand the impact of the hurricane.
폭풍은 허리케인의 영향을 견딜 것이다.</t>
  </si>
  <si>
    <t>work up</t>
  </si>
  <si>
    <t>업무를 시작하는 것, 근무를 시작하는 것, 열심히 노력하는 것,</t>
  </si>
  <si>
    <t>She worked up the courage to ask for a raise.
그녀는 용기를 내서 연봉 인상을 요구했다.</t>
  </si>
  <si>
    <t>yielded</t>
  </si>
  <si>
    <t>수용하다, 양보하다, 내주다</t>
  </si>
  <si>
    <t>The old tree yielded to the strong winds.
강한 바람에 오래된 나무가 무너졌다.</t>
  </si>
  <si>
    <t>You can say that again</t>
  </si>
  <si>
    <t>말도 안 돼, 그 말도 그렇고, 다시 말해도 그랬어 -</t>
  </si>
  <si>
    <t>"You can say that again," she muttered, her eyes fixed on the clock.
말도 안 돼, 그 말도 그렇고, 다시 말해도 그랬어.</t>
  </si>
  <si>
    <t>You make me laugh</t>
  </si>
  <si>
    <t>웃기다 , 웃기 , 웃음</t>
  </si>
  <si>
    <t>You always know how to make me laugh.
너는 언제나 나를 웃게 해.</t>
  </si>
  <si>
    <t>You reap what you sow</t>
  </si>
  <si>
    <t>결과, 보상, 행동의 결과,</t>
  </si>
  <si>
    <t>You reap what you sow when you plant a garden, but you also reap what you sow when you make poor choices in life.
어떤 행동을 하든 그에 대한 결과가 나온다.</t>
  </si>
  <si>
    <t>You're pulling my leg</t>
  </si>
  <si>
    <t>속아, 속이는 말, 속여서 웃기다</t>
  </si>
  <si>
    <t>He said he had won the lottery, but I think you're pulling my leg.
그가 로또를 이겼다고 말했지만, 속아 보이는데요.</t>
  </si>
  <si>
    <t>zest</t>
  </si>
  <si>
    <t>자극, 향신료, 열정</t>
  </si>
  <si>
    <t>The chef added a squeeze of fresh lime zest to the salad.
주방장님은 생 лим우유의 즙을 샐러드에 넣었습니다.</t>
  </si>
  <si>
    <t>No</t>
  </si>
  <si>
    <t>출현횟수</t>
  </si>
  <si>
    <t>accolades</t>
  </si>
  <si>
    <t>gained accolades</t>
  </si>
  <si>
    <t>adhere to</t>
  </si>
  <si>
    <t>times must be strictly adhered to</t>
  </si>
  <si>
    <t>adherence to standards</t>
  </si>
  <si>
    <t>adherence to fair labor standards</t>
  </si>
  <si>
    <t>publicly admonish teenagers</t>
  </si>
  <si>
    <t>advent</t>
  </si>
  <si>
    <t>before the advent of robots</t>
  </si>
  <si>
    <t>an affront to rights</t>
  </si>
  <si>
    <t>aggrieved</t>
  </si>
  <si>
    <t>aggrieved countries</t>
  </si>
  <si>
    <t>algae bloom</t>
  </si>
  <si>
    <t>an algae bloom may have killed them</t>
  </si>
  <si>
    <t>alienate readers</t>
  </si>
  <si>
    <t>allergen</t>
  </si>
  <si>
    <t>exposed to allergens</t>
  </si>
  <si>
    <t>avoid ambiguity | ambiguity in the bill</t>
  </si>
  <si>
    <t>anomaly</t>
  </si>
  <si>
    <t>accounting for this anomaly</t>
  </si>
  <si>
    <t>anti-Semitism</t>
  </si>
  <si>
    <t>suffered from anti-Semitism</t>
  </si>
  <si>
    <t>antiseptic</t>
  </si>
  <si>
    <t>antiseptic homes | antiseptics</t>
  </si>
  <si>
    <t>appellation</t>
  </si>
  <si>
    <t>the appellation</t>
  </si>
  <si>
    <t>arbiter of taste</t>
  </si>
  <si>
    <t>self-appointed arbiters of taste</t>
  </si>
  <si>
    <t>arbitrary</t>
  </si>
  <si>
    <t>arbitrary court decisions</t>
  </si>
  <si>
    <t>archaic</t>
  </si>
  <si>
    <t>archaic humans</t>
  </si>
  <si>
    <t>arid</t>
  </si>
  <si>
    <t>arid land</t>
  </si>
  <si>
    <t>artifice</t>
  </si>
  <si>
    <t>executed artifice</t>
  </si>
  <si>
    <t>ascend to the throne</t>
  </si>
  <si>
    <t>ascended to Norway’s throne</t>
  </si>
  <si>
    <t>ascribe weight to</t>
  </si>
  <si>
    <t>ascribe less weight to studies</t>
  </si>
  <si>
    <t>at bottom</t>
  </si>
  <si>
    <t>at bottom, deeply unromantic</t>
  </si>
  <si>
    <t>at the behest of</t>
  </si>
  <si>
    <t>at the behest of Mozart’s widow</t>
  </si>
  <si>
    <t>at the discretion of</t>
  </si>
  <si>
    <t>left to the discretion of parents</t>
  </si>
  <si>
    <t>at the helm</t>
  </si>
  <si>
    <t>from the country’s helm</t>
  </si>
  <si>
    <t>atherosclerosis</t>
  </si>
  <si>
    <t>risk of atherosclerosis</t>
  </si>
  <si>
    <t>atomistic worldview</t>
  </si>
  <si>
    <t>atypically</t>
  </si>
  <si>
    <t>functioning atypically</t>
  </si>
  <si>
    <t>autobiographical</t>
  </si>
  <si>
    <t>autobiographical novel</t>
  </si>
  <si>
    <t>autocratic</t>
  </si>
  <si>
    <t>autocratic tendencies</t>
  </si>
  <si>
    <t>an avid learner</t>
  </si>
  <si>
    <t>bacteriologist</t>
  </si>
  <si>
    <t>as a bacteriologist</t>
  </si>
  <si>
    <t>bail out</t>
  </si>
  <si>
    <t>bail out struggling airlines</t>
  </si>
  <si>
    <t>bargaining power</t>
  </si>
  <si>
    <t>workers’ bargaining power</t>
  </si>
  <si>
    <t>be barred from</t>
  </si>
  <si>
    <t>be barred from selling</t>
  </si>
  <si>
    <t>be blasted in the media</t>
  </si>
  <si>
    <t>blast someone for something</t>
  </si>
  <si>
    <t>be immune from criticism</t>
  </si>
  <si>
    <t>not immune from criticism</t>
  </si>
  <si>
    <t>be implicated in</t>
  </si>
  <si>
    <t>implicated in heart attacks</t>
  </si>
  <si>
    <t>be offset by</t>
  </si>
  <si>
    <t>decline offset by sales</t>
  </si>
  <si>
    <t>be saddled with debt</t>
  </si>
  <si>
    <t>saddled with student loans</t>
  </si>
  <si>
    <t>be shipped off</t>
  </si>
  <si>
    <t>shipped off to a low-ranked team</t>
  </si>
  <si>
    <t>be taken to task</t>
  </si>
  <si>
    <t>be taken to task for outsourcing</t>
  </si>
  <si>
    <t>bear out</t>
  </si>
  <si>
    <t>evidence does not bear it out</t>
  </si>
  <si>
    <t>beneficiary</t>
  </si>
  <si>
    <t>program beneficiaries</t>
  </si>
  <si>
    <t>binding</t>
  </si>
  <si>
    <t>contract is binding</t>
  </si>
  <si>
    <t>biodegradable</t>
  </si>
  <si>
    <t>biodegradable wrapping | biodegradable waste</t>
  </si>
  <si>
    <t>bipartisan cooperation</t>
  </si>
  <si>
    <t>calling for bipartisan cooperation</t>
  </si>
  <si>
    <t>This effect was bolstered by...</t>
  </si>
  <si>
    <t>bone marrow</t>
  </si>
  <si>
    <t>generated within bone marrow | within the bone marrow</t>
  </si>
  <si>
    <t>break new ground</t>
  </si>
  <si>
    <t>artists breaking new ground</t>
  </si>
  <si>
    <t>butt heads with</t>
  </si>
  <si>
    <t>butting heads with NetFilms</t>
  </si>
  <si>
    <t>buttress</t>
  </si>
  <si>
    <t>buttress colonialism</t>
  </si>
  <si>
    <t>bylaws</t>
  </si>
  <si>
    <t>change the organization’s bylaws</t>
  </si>
  <si>
    <t>caloric expenditure</t>
  </si>
  <si>
    <t>information on caloric expenditure</t>
  </si>
  <si>
    <t>candidacy</t>
  </si>
  <si>
    <t>announced her candidacy</t>
  </si>
  <si>
    <t>capitalize on</t>
  </si>
  <si>
    <t>capitalize on the attention | capitalize on talent pool</t>
  </si>
  <si>
    <t>cash in on</t>
  </si>
  <si>
    <t>cash in on its popularity | cash in on the memory</t>
  </si>
  <si>
    <t>celestial bodies</t>
  </si>
  <si>
    <t>celiac disease</t>
  </si>
  <si>
    <t>diagnosed with celiac disease</t>
  </si>
  <si>
    <t>cellular agriculture</t>
  </si>
  <si>
    <t>centrist</t>
  </si>
  <si>
    <t>centrist voters</t>
  </si>
  <si>
    <t>champion a cause</t>
  </si>
  <si>
    <t>championing progressive causes</t>
  </si>
  <si>
    <t>chronological</t>
  </si>
  <si>
    <t>chronological order</t>
  </si>
  <si>
    <t>circumvent</t>
  </si>
  <si>
    <t>circumvent ramifications</t>
  </si>
  <si>
    <t>circumvention</t>
  </si>
  <si>
    <t>circumvention of privacy laws</t>
  </si>
  <si>
    <t>cloak A in the guise of B</t>
  </si>
  <si>
    <t>cloak boasting in the guise of humility</t>
  </si>
  <si>
    <t>closed-door briefing</t>
  </si>
  <si>
    <t>attend closed-door briefings</t>
  </si>
  <si>
    <t>codex</t>
  </si>
  <si>
    <t>codices vs scrolls</t>
  </si>
  <si>
    <t>coinage</t>
  </si>
  <si>
    <t>valuable coinage</t>
  </si>
  <si>
    <t>coincide with</t>
  </si>
  <si>
    <t>coincided with the expansion</t>
  </si>
  <si>
    <t>comprise</t>
  </si>
  <si>
    <t>sites comprise thousands of houses</t>
  </si>
  <si>
    <t>concentric circles</t>
  </si>
  <si>
    <t>laid out in concentric circles</t>
  </si>
  <si>
    <t>conception</t>
  </si>
  <si>
    <t>current conception of physics</t>
  </si>
  <si>
    <t>conceptualization</t>
  </si>
  <si>
    <t>conceptualization of equality</t>
  </si>
  <si>
    <t>concessionaire</t>
  </si>
  <si>
    <t>concessionaires developed new areas</t>
  </si>
  <si>
    <t>concoct a story</t>
  </si>
  <si>
    <t>concocted a story involving Hughes</t>
  </si>
  <si>
    <t>condense</t>
  </si>
  <si>
    <t>condense water vapor</t>
  </si>
  <si>
    <t>configuration</t>
  </si>
  <si>
    <t>home configurations</t>
  </si>
  <si>
    <t>connote</t>
  </si>
  <si>
    <t>parrhesia connotes speaking honestly</t>
  </si>
  <si>
    <t>conscientious</t>
  </si>
  <si>
    <t>conscientious workers</t>
  </si>
  <si>
    <t>conscientiousness</t>
  </si>
  <si>
    <t>measure conscientiousness</t>
  </si>
  <si>
    <t>contain oneself</t>
  </si>
  <si>
    <t>could not contain himself</t>
  </si>
  <si>
    <t>contaminant</t>
  </si>
  <si>
    <t>water tested positive for contaminants | remove contaminants</t>
  </si>
  <si>
    <t>contamination</t>
  </si>
  <si>
    <t>water contamination</t>
  </si>
  <si>
    <t>contravene international law | would be contravened</t>
  </si>
  <si>
    <t>convene</t>
  </si>
  <si>
    <t>representatives convened</t>
  </si>
  <si>
    <t>cost-sensitive</t>
  </si>
  <si>
    <t>cost-sensitive customers</t>
  </si>
  <si>
    <t>counterfactual thinking</t>
  </si>
  <si>
    <t>engage in counterfactual thinking</t>
  </si>
  <si>
    <t>counterproductive</t>
  </si>
  <si>
    <t>dangerous and counterproductive | counterproductive to weight loss</t>
  </si>
  <si>
    <t>cronyism</t>
  </si>
  <si>
    <t>Government Cronyism in Action</t>
  </si>
  <si>
    <t>culinary</t>
  </si>
  <si>
    <t>culinary history</t>
  </si>
  <si>
    <t>cult status</t>
  </si>
  <si>
    <t>develop cult status</t>
  </si>
  <si>
    <t>cumulatively</t>
  </si>
  <si>
    <t>cumulatively require ink</t>
  </si>
  <si>
    <t>cumulonimbus cloud</t>
  </si>
  <si>
    <t>beneath cumulonimbus clouds</t>
  </si>
  <si>
    <t>cytokine</t>
  </si>
  <si>
    <t>cytokines flood into bloodstream</t>
  </si>
  <si>
    <t>data haven</t>
  </si>
  <si>
    <t>data havens facilitate free speech</t>
  </si>
  <si>
    <t>de-index</t>
  </si>
  <si>
    <t>de-index content</t>
  </si>
  <si>
    <t>debilitating</t>
  </si>
  <si>
    <t>debilitating political setback</t>
  </si>
  <si>
    <t>defect to</t>
  </si>
  <si>
    <t>defected to the opposition</t>
  </si>
  <si>
    <t>deflect</t>
  </si>
  <si>
    <t>deflect solar wind</t>
  </si>
  <si>
    <t>deforestation</t>
  </si>
  <si>
    <t>deforestation rates | deforestation in Haiti</t>
  </si>
  <si>
    <t>defunct</t>
  </si>
  <si>
    <t>the defunct amusement park | defunct companies</t>
  </si>
  <si>
    <t>deliberation</t>
  </si>
  <si>
    <t>foster greater deliberation</t>
  </si>
  <si>
    <t>deliver at the box office</t>
  </si>
  <si>
    <t>fail to deliver at the box office</t>
  </si>
  <si>
    <t>demise</t>
  </si>
  <si>
    <t>A Dinosaur's Mysterious Demise</t>
  </si>
  <si>
    <t>denizens</t>
  </si>
  <si>
    <t>denizens of a world governed by laws</t>
  </si>
  <si>
    <t>depiction</t>
  </si>
  <si>
    <t>artistic depictions</t>
  </si>
  <si>
    <t>derail</t>
  </si>
  <si>
    <t>a train derailed</t>
  </si>
  <si>
    <t>deride</t>
  </si>
  <si>
    <t>institutions derided in his early work</t>
  </si>
  <si>
    <t>deterioration</t>
  </si>
  <si>
    <t>deterioration of quality</t>
  </si>
  <si>
    <t>detrimental</t>
  </si>
  <si>
    <t>prove detrimental for tourism</t>
  </si>
  <si>
    <t>dietary allowance</t>
  </si>
  <si>
    <t>recommended dietary allowances</t>
  </si>
  <si>
    <t>dilapidated</t>
  </si>
  <si>
    <t>roads are dilapidated</t>
  </si>
  <si>
    <t>diminutive</t>
  </si>
  <si>
    <t>their relatively diminutive size</t>
  </si>
  <si>
    <t>disappearance</t>
  </si>
  <si>
    <t>species disappearance</t>
  </si>
  <si>
    <t>discord</t>
  </si>
  <si>
    <t>societal discord</t>
  </si>
  <si>
    <t>discredited</t>
  </si>
  <si>
    <t>widely discredited suggestion</t>
  </si>
  <si>
    <t>discrepancy</t>
  </si>
  <si>
    <t>account for this discrepancy | this discrepancy represents loss</t>
  </si>
  <si>
    <t>disintegrate</t>
  </si>
  <si>
    <t>the coalition disintegrated</t>
  </si>
  <si>
    <t>displaced residents</t>
  </si>
  <si>
    <t>Most displaced residents go to Male.</t>
  </si>
  <si>
    <t>disseminate</t>
  </si>
  <si>
    <t>disseminate information</t>
  </si>
  <si>
    <t>dissolve parliament</t>
  </si>
  <si>
    <t>dissolved parliament</t>
  </si>
  <si>
    <t>distinguishable</t>
  </si>
  <si>
    <t>readily distinguishable</t>
  </si>
  <si>
    <t>DNA-sequencing technology</t>
  </si>
  <si>
    <t>DNA-sequencing technologies</t>
  </si>
  <si>
    <t>echolocation</t>
  </si>
  <si>
    <t>use echolocation</t>
  </si>
  <si>
    <t>ectothermic</t>
  </si>
  <si>
    <t>ectothermic animals</t>
  </si>
  <si>
    <t>efficacy</t>
  </si>
  <si>
    <t>despite their efficacy</t>
  </si>
  <si>
    <t>egalitarian</t>
  </si>
  <si>
    <t>relatively egalitarian societies | egalitarian principles</t>
  </si>
  <si>
    <t>egalitarianism</t>
  </si>
  <si>
    <t>egalitarianism is the belief</t>
  </si>
  <si>
    <t>the creature proved elusive</t>
  </si>
  <si>
    <t>emanate</t>
  </si>
  <si>
    <t>currents emanating from the core</t>
  </si>
  <si>
    <t>embroiled in</t>
  </si>
  <si>
    <t>embroiled in the Watergate scandal</t>
  </si>
  <si>
    <t>empirical basis</t>
  </si>
  <si>
    <t>lacks a strong empirical basis</t>
  </si>
  <si>
    <t>endear</t>
  </si>
  <si>
    <t>endeared him to his people</t>
  </si>
  <si>
    <t>endothermic</t>
  </si>
  <si>
    <t>endothermic animals</t>
  </si>
  <si>
    <t>engender</t>
  </si>
  <si>
    <t>engender the onset</t>
  </si>
  <si>
    <t>entail</t>
  </si>
  <si>
    <t>echolocation entails emitting sounds</t>
  </si>
  <si>
    <t>entrenched</t>
  </si>
  <si>
    <t>perception became entrenched</t>
  </si>
  <si>
    <t>envelop</t>
  </si>
  <si>
    <t>atmosphere envelops our planet</t>
  </si>
  <si>
    <t>epitomize</t>
  </si>
  <si>
    <t>epitomized their generation</t>
  </si>
  <si>
    <t>equivocation</t>
  </si>
  <si>
    <t>persistent equivocation</t>
  </si>
  <si>
    <t>eradication</t>
  </si>
  <si>
    <t>eradication of measles</t>
  </si>
  <si>
    <t>ethical implication</t>
  </si>
  <si>
    <t>ethical implications</t>
  </si>
  <si>
    <t>ethylene gas</t>
  </si>
  <si>
    <t>produce ethylene gas</t>
  </si>
  <si>
    <t>execute a raid</t>
  </si>
  <si>
    <t>execute a daring raid</t>
  </si>
  <si>
    <t>exhilarating experience</t>
  </si>
  <si>
    <t>exorbitantly</t>
  </si>
  <si>
    <t>exorbitantly high fees</t>
  </si>
  <si>
    <t>expedited</t>
  </si>
  <si>
    <t>expedited tailoring service</t>
  </si>
  <si>
    <t>expendable</t>
  </si>
  <si>
    <t>supposedly expendable organs</t>
  </si>
  <si>
    <t>expulsion</t>
  </si>
  <si>
    <t>threatened with expulsion</t>
  </si>
  <si>
    <t>eyesore</t>
  </si>
  <si>
    <t>supersized eyesores</t>
  </si>
  <si>
    <t>false dichotomy</t>
  </si>
  <si>
    <t>implies a false dichotomy</t>
  </si>
  <si>
    <t>falter</t>
  </si>
  <si>
    <t>when the economy falters</t>
  </si>
  <si>
    <t>fascism</t>
  </si>
  <si>
    <t>fascism as a threat</t>
  </si>
  <si>
    <t>fervor</t>
  </si>
  <si>
    <t>religious fervor</t>
  </si>
  <si>
    <t>fetal gene expression</t>
  </si>
  <si>
    <t>affect fetal gene expression</t>
  </si>
  <si>
    <t>fiat money</t>
  </si>
  <si>
    <t>rendering the dollar fiat money</t>
  </si>
  <si>
    <t>fidelity</t>
  </si>
  <si>
    <t>peerless fidelity</t>
  </si>
  <si>
    <t>fill the government's coffers</t>
  </si>
  <si>
    <t>flourish</t>
  </si>
  <si>
    <t>international exchange flourished</t>
  </si>
  <si>
    <t>folic acid</t>
  </si>
  <si>
    <t>take folic acid</t>
  </si>
  <si>
    <t>foreign entanglements</t>
  </si>
  <si>
    <t>avoid foreign entanglements</t>
  </si>
  <si>
    <t>formal register</t>
  </si>
  <si>
    <t>aim for a formal register</t>
  </si>
  <si>
    <t>fortnight</t>
  </si>
  <si>
    <t>over the past fortnight</t>
  </si>
  <si>
    <t>fruition</t>
  </si>
  <si>
    <t>bring his invention to fruition</t>
  </si>
  <si>
    <t>gambit paid off</t>
  </si>
  <si>
    <t>Their gambit paid off.</t>
  </si>
  <si>
    <t>GC-rich</t>
  </si>
  <si>
    <t>GC-rich DNA sequences</t>
  </si>
  <si>
    <t>general relativity</t>
  </si>
  <si>
    <t>theory of general relativity</t>
  </si>
  <si>
    <t>genome</t>
  </si>
  <si>
    <t>genomes have been sequenced</t>
  </si>
  <si>
    <t>geopolitical power imbalance</t>
  </si>
  <si>
    <t>geopolitical power imbalances</t>
  </si>
  <si>
    <t>gibberish</t>
  </si>
  <si>
    <t>lyrics are gibberish</t>
  </si>
  <si>
    <t>go awry</t>
  </si>
  <si>
    <t>something going awry</t>
  </si>
  <si>
    <t>go to great lengths</t>
  </si>
  <si>
    <t>go to great lengths to convince</t>
  </si>
  <si>
    <t>graphene</t>
  </si>
  <si>
    <t>The secret is graphene</t>
  </si>
  <si>
    <t>harbor no anger</t>
  </si>
  <si>
    <t>harbor no anger against opponents</t>
  </si>
  <si>
    <t>hardline stance</t>
  </si>
  <si>
    <t>the union's hardline stance</t>
  </si>
  <si>
    <t>harness</t>
  </si>
  <si>
    <t>harness gravitational force</t>
  </si>
  <si>
    <t>have an eye to the future</t>
  </si>
  <si>
    <t>hereditary</t>
  </si>
  <si>
    <t>hereditary adaptations</t>
  </si>
  <si>
    <t>hybridization</t>
  </si>
  <si>
    <t>hyperfocus</t>
  </si>
  <si>
    <t>hyperfocus on product development</t>
  </si>
  <si>
    <t>hypothesis</t>
  </si>
  <si>
    <t>test/refute a hypothesis</t>
  </si>
  <si>
    <t>hypothesized</t>
  </si>
  <si>
    <t>hypothesized rate</t>
  </si>
  <si>
    <t>illustrious</t>
  </si>
  <si>
    <t>an illustrious record</t>
  </si>
  <si>
    <t>impeachment</t>
  </si>
  <si>
    <t>impeachment proceedings</t>
  </si>
  <si>
    <t>imperceptible</t>
  </si>
  <si>
    <t>imperceptible change</t>
  </si>
  <si>
    <t>impoverished</t>
  </si>
  <si>
    <t>impoverished families</t>
  </si>
  <si>
    <t>imputation</t>
  </si>
  <si>
    <t>an imputation repeated</t>
  </si>
  <si>
    <t>in and out of fashion</t>
  </si>
  <si>
    <t>go in and out of fashion</t>
  </si>
  <si>
    <t>in dire straits</t>
  </si>
  <si>
    <t>remains in dire straits financially</t>
  </si>
  <si>
    <t>in lieu of</t>
  </si>
  <si>
    <t>experience in lieu of a degree</t>
  </si>
  <si>
    <t>incidence</t>
  </si>
  <si>
    <t>lower incidence of allergies | the incidence of pregnancy | incidences of serious injury</t>
  </si>
  <si>
    <t>incongruous</t>
  </si>
  <si>
    <t>an incongruous presence</t>
  </si>
  <si>
    <t>incumbent</t>
  </si>
  <si>
    <t>unseat the incumbent</t>
  </si>
  <si>
    <t>indispensable</t>
  </si>
  <si>
    <t>indispensable tool</t>
  </si>
  <si>
    <t>infestation</t>
  </si>
  <si>
    <t>large infestations</t>
  </si>
  <si>
    <t>inflict</t>
  </si>
  <si>
    <t>inflict damage</t>
  </si>
  <si>
    <t>ingenious marketing approach</t>
  </si>
  <si>
    <t>ingestion</t>
  </si>
  <si>
    <t>obtained via ingestion</t>
  </si>
  <si>
    <t>insolvent</t>
  </si>
  <si>
    <t>insolvent companies</t>
  </si>
  <si>
    <t>institutionalize</t>
  </si>
  <si>
    <t>institutionalize discrimination</t>
  </si>
  <si>
    <t>insurgency</t>
  </si>
  <si>
    <t>communist insurgency</t>
  </si>
  <si>
    <t>insurmountable</t>
  </si>
  <si>
    <t>insurmountable debts</t>
  </si>
  <si>
    <t>interlocking</t>
  </si>
  <si>
    <t>interlocking parts</t>
  </si>
  <si>
    <t>interventionist</t>
  </si>
  <si>
    <t>interventionist approach</t>
  </si>
  <si>
    <t>intricate routines</t>
  </si>
  <si>
    <t>ion</t>
  </si>
  <si>
    <t>loose ions</t>
  </si>
  <si>
    <t>irrevocable</t>
  </si>
  <si>
    <t>irrevocable warming process</t>
  </si>
  <si>
    <t>isolationist</t>
  </si>
  <si>
    <t>isolationist approach</t>
  </si>
  <si>
    <t>jarring</t>
  </si>
  <si>
    <t>can be jarring</t>
  </si>
  <si>
    <t>jump-start</t>
  </si>
  <si>
    <t>jump-start the economy</t>
  </si>
  <si>
    <t>kickback</t>
  </si>
  <si>
    <t>a small kickback</t>
  </si>
  <si>
    <t>aspirations were kindled</t>
  </si>
  <si>
    <t>laden with</t>
  </si>
  <si>
    <t>laden with moral implications</t>
  </si>
  <si>
    <t>lambast</t>
  </si>
  <si>
    <t>lambasted by critics</t>
  </si>
  <si>
    <t>languish</t>
  </si>
  <si>
    <t>languishing unread for centuries</t>
  </si>
  <si>
    <t>lax</t>
  </si>
  <si>
    <t>lax security practices</t>
  </si>
  <si>
    <t>legal recourse</t>
  </si>
  <si>
    <t>means of legal recourse</t>
  </si>
  <si>
    <t>legislative assembly</t>
  </si>
  <si>
    <t>join the legislative assemblies</t>
  </si>
  <si>
    <t>legitimacy</t>
  </si>
  <si>
    <t>concerns have some legitimacy</t>
  </si>
  <si>
    <t>legitimate</t>
  </si>
  <si>
    <t>legitimate inheritor | legitimate children</t>
  </si>
  <si>
    <t>libretto</t>
  </si>
  <si>
    <t>operatic librettos</t>
  </si>
  <si>
    <t>life-supporting</t>
  </si>
  <si>
    <t>life-supporting atmosphere</t>
  </si>
  <si>
    <t>lodge</t>
  </si>
  <si>
    <t>lodge a complaint</t>
  </si>
  <si>
    <t>longevity</t>
  </si>
  <si>
    <t>predictors of longevity</t>
  </si>
  <si>
    <t>loom</t>
  </si>
  <si>
    <t>the threat looms</t>
  </si>
  <si>
    <t>magnate</t>
  </si>
  <si>
    <t>industrial magnate</t>
  </si>
  <si>
    <t>manifestation</t>
  </si>
  <si>
    <t>manifestations of this condition</t>
  </si>
  <si>
    <t>mechanization</t>
  </si>
  <si>
    <t>agricultural mechanization</t>
  </si>
  <si>
    <t>media blitz</t>
  </si>
  <si>
    <t>launching a media blitz</t>
  </si>
  <si>
    <t>meteoric</t>
  </si>
  <si>
    <t>meteoric rise</t>
  </si>
  <si>
    <t>microbe</t>
  </si>
  <si>
    <t>outside microbes</t>
  </si>
  <si>
    <t>molten</t>
  </si>
  <si>
    <t>molten core</t>
  </si>
  <si>
    <t>molten mantle</t>
  </si>
  <si>
    <t>monosyllabic</t>
  </si>
  <si>
    <t>monosyllabic words</t>
  </si>
  <si>
    <t>mosquito-borne</t>
  </si>
  <si>
    <t>mosquito-borne disease</t>
  </si>
  <si>
    <t>mycorrhiza</t>
  </si>
  <si>
    <t>The term mycorrhiza refers to...</t>
  </si>
  <si>
    <t>naturalized citizenship</t>
  </si>
  <si>
    <t>negligible</t>
  </si>
  <si>
    <t>negligible increase</t>
  </si>
  <si>
    <t>neonicotinoid</t>
  </si>
  <si>
    <t>neonicotinoids hurt birds</t>
  </si>
  <si>
    <t>neural pathways</t>
  </si>
  <si>
    <t>interrupt our neural pathways</t>
  </si>
  <si>
    <t>neurogenesis</t>
  </si>
  <si>
    <t>neurogenesis in adult brains</t>
  </si>
  <si>
    <t>nitrogen dioxide emissions</t>
  </si>
  <si>
    <t>noncompliance</t>
  </si>
  <si>
    <t>significant noncompliance</t>
  </si>
  <si>
    <t>nongovernment organization</t>
  </si>
  <si>
    <t>nuanced position</t>
  </si>
  <si>
    <t>develop more nuanced positions</t>
  </si>
  <si>
    <t>obstruction</t>
  </si>
  <si>
    <t>obstruction of blood flow</t>
  </si>
  <si>
    <t>an omission drew ire</t>
  </si>
  <si>
    <t>onset</t>
  </si>
  <si>
    <t>onset of dementia</t>
  </si>
  <si>
    <t>onslaught</t>
  </si>
  <si>
    <t>Roman onslaught</t>
  </si>
  <si>
    <t>oust</t>
  </si>
  <si>
    <t>attempts to oust him</t>
  </si>
  <si>
    <t>outcome-focused</t>
  </si>
  <si>
    <t>outcome-focused approach</t>
  </si>
  <si>
    <t>overpopulation</t>
  </si>
  <si>
    <t>overpopulation concerns</t>
  </si>
  <si>
    <t>paganism</t>
  </si>
  <si>
    <t>opponents of paganism</t>
  </si>
  <si>
    <t>paleontologist</t>
  </si>
  <si>
    <t>paleontology</t>
  </si>
  <si>
    <t>in paleontology</t>
  </si>
  <si>
    <t>parameter</t>
  </si>
  <si>
    <t>parameters are open to interpretation</t>
  </si>
  <si>
    <t>parasitic</t>
  </si>
  <si>
    <t>parasitic insects</t>
  </si>
  <si>
    <t>parishioner</t>
  </si>
  <si>
    <t>local parishioners</t>
  </si>
  <si>
    <t>parity</t>
  </si>
  <si>
    <t>promoting parity</t>
  </si>
  <si>
    <t>partisan</t>
  </si>
  <si>
    <t>partisan websites</t>
  </si>
  <si>
    <t>pasture</t>
  </si>
  <si>
    <t>abundant pastures</t>
  </si>
  <si>
    <t>pathogen</t>
  </si>
  <si>
    <t>a plant pathogen</t>
  </si>
  <si>
    <t>paucity</t>
  </si>
  <si>
    <t>a paucity of quality ramen restaurants</t>
  </si>
  <si>
    <t>peg someone as</t>
  </si>
  <si>
    <t>pegged me as the romantic comedy guy</t>
  </si>
  <si>
    <t>penetrate a market</t>
  </si>
  <si>
    <t>penetrate southern markets</t>
  </si>
  <si>
    <t>perilous</t>
  </si>
  <si>
    <t>perilous routines</t>
  </si>
  <si>
    <t>perilously</t>
  </si>
  <si>
    <t>perilously close</t>
  </si>
  <si>
    <t>permissive</t>
  </si>
  <si>
    <t>permissive attitudes</t>
  </si>
  <si>
    <t>perpendicular</t>
  </si>
  <si>
    <t>perpendicular lines</t>
  </si>
  <si>
    <t>pertaining to</t>
  </si>
  <si>
    <t>bylaws pertaining to retired members</t>
  </si>
  <si>
    <t>pervasively</t>
  </si>
  <si>
    <t>pervasively infiltrating government</t>
  </si>
  <si>
    <t>philanthropic</t>
  </si>
  <si>
    <t>philanthropic organizations</t>
  </si>
  <si>
    <t>phonetically similar</t>
  </si>
  <si>
    <t>phonetically similar phrase</t>
  </si>
  <si>
    <t>physiological</t>
  </si>
  <si>
    <t>physiological effects of color</t>
  </si>
  <si>
    <t>pit A against B</t>
  </si>
  <si>
    <t>pitted scientists against residents</t>
  </si>
  <si>
    <t>plagiarism</t>
  </si>
  <si>
    <t>check for plagiarism</t>
  </si>
  <si>
    <t>plant breeder</t>
  </si>
  <si>
    <t>American plant breeder</t>
  </si>
  <si>
    <t>plummet</t>
  </si>
  <si>
    <t>shares plummeted</t>
  </si>
  <si>
    <t>plunder</t>
  </si>
  <si>
    <t>plundered the vanquished</t>
  </si>
  <si>
    <t>populace</t>
  </si>
  <si>
    <t>Indian populace</t>
  </si>
  <si>
    <t>postindustrial</t>
  </si>
  <si>
    <t>postindustrial city</t>
  </si>
  <si>
    <t>accusation precipitated inquiry</t>
  </si>
  <si>
    <t>preclude</t>
  </si>
  <si>
    <t>preclude the possibility</t>
  </si>
  <si>
    <t>predatory</t>
  </si>
  <si>
    <t>predatory policies</t>
  </si>
  <si>
    <t>predispose</t>
  </si>
  <si>
    <t>traits predispose them to violence</t>
  </si>
  <si>
    <t>predominate</t>
  </si>
  <si>
    <t>genes predominate</t>
  </si>
  <si>
    <t>preferential treatment</t>
  </si>
  <si>
    <t>give preferential treatment</t>
  </si>
  <si>
    <t>prescient</t>
  </si>
  <si>
    <t>seemed prescient</t>
  </si>
  <si>
    <t>preside</t>
  </si>
  <si>
    <t>while presiding</t>
  </si>
  <si>
    <t>press censorship</t>
  </si>
  <si>
    <t>imposed press censorship</t>
  </si>
  <si>
    <t>prevalence</t>
  </si>
  <si>
    <t>the prevalence of rival Joo-C</t>
  </si>
  <si>
    <t>profound psychological impact</t>
  </si>
  <si>
    <t>have a profound psychological impact</t>
  </si>
  <si>
    <t>proliferation</t>
  </si>
  <si>
    <t>proliferation of breweries | proliferation of technology</t>
  </si>
  <si>
    <t>propagate</t>
  </si>
  <si>
    <t>propagate one’s genes | propagate artificially</t>
  </si>
  <si>
    <t>prosaic</t>
  </si>
  <si>
    <t>prosaic neighborhoods</t>
  </si>
  <si>
    <t>prowess</t>
  </si>
  <si>
    <t>tech prowess</t>
  </si>
  <si>
    <t>proximal observer</t>
  </si>
  <si>
    <t>from the perspective of a proximal observer</t>
  </si>
  <si>
    <t>prudent behavior</t>
  </si>
  <si>
    <t>pseudoscience</t>
  </si>
  <si>
    <t>defend pseudoscience</t>
  </si>
  <si>
    <t>psoriasis</t>
  </si>
  <si>
    <t>What is Psoriasis?</t>
  </si>
  <si>
    <t>publicity stunt</t>
  </si>
  <si>
    <t>a cheap publicity stunt</t>
  </si>
  <si>
    <t>purification</t>
  </si>
  <si>
    <t>water purification</t>
  </si>
  <si>
    <t>quell an uprising</t>
  </si>
  <si>
    <t>quell dissent</t>
  </si>
  <si>
    <t>ramifications</t>
  </si>
  <si>
    <t>ethical ramifications</t>
  </si>
  <si>
    <t>rationale</t>
  </si>
  <si>
    <t>evolutionary rationale</t>
  </si>
  <si>
    <t>reach across the aisle</t>
  </si>
  <si>
    <t>receptive to acquisition offers</t>
  </si>
  <si>
    <t>refuge</t>
  </si>
  <si>
    <t>find refuge in deep-water reefs</t>
  </si>
  <si>
    <t>refurbishment</t>
  </si>
  <si>
    <t>building refurbishment</t>
  </si>
  <si>
    <t>refute a hypothesis</t>
  </si>
  <si>
    <t>regenerative medicine</t>
  </si>
  <si>
    <t>regulatory oversight</t>
  </si>
  <si>
    <t>little regulatory oversight</t>
  </si>
  <si>
    <t>reimburse</t>
  </si>
  <si>
    <t>refuse to reimburse</t>
  </si>
  <si>
    <t>reimbursement</t>
  </si>
  <si>
    <t>expense reimbursement</t>
  </si>
  <si>
    <t>relentless</t>
  </si>
  <si>
    <t>a relentless wave of negative news</t>
  </si>
  <si>
    <t>render A less susceptible to B</t>
  </si>
  <si>
    <t>render bacteria less susceptible to antibiotics</t>
  </si>
  <si>
    <t>artifact repatriation</t>
  </si>
  <si>
    <t>representation</t>
  </si>
  <si>
    <t>visual representation</t>
  </si>
  <si>
    <t>reprisal</t>
  </si>
  <si>
    <t>unlike reprisal</t>
  </si>
  <si>
    <t>reticulocyte</t>
  </si>
  <si>
    <t>reticulocyte levels</t>
  </si>
  <si>
    <t>retorsion</t>
  </si>
  <si>
    <t>respond with retorsion</t>
  </si>
  <si>
    <t>retroactively</t>
  </si>
  <si>
    <t>apply changes retroactively</t>
  </si>
  <si>
    <t>reverse transcriptase</t>
  </si>
  <si>
    <t>use reverse transcriptase</t>
  </si>
  <si>
    <t>revolutionize</t>
  </si>
  <si>
    <t>revolutionizing the way people cleaned</t>
  </si>
  <si>
    <t>saving grace</t>
  </si>
  <si>
    <t>the only saving grace</t>
  </si>
  <si>
    <t>scribe</t>
  </si>
  <si>
    <t>accomplished scribe</t>
  </si>
  <si>
    <t>scrutiny</t>
  </si>
  <si>
    <t>probability of scrutiny</t>
  </si>
  <si>
    <t>seal one's fate</t>
  </si>
  <si>
    <t>war sealed its fate</t>
  </si>
  <si>
    <t>self-fulfilling prophecy</t>
  </si>
  <si>
    <t>become a self-fulfilling prophecy</t>
  </si>
  <si>
    <t>semiconductor</t>
  </si>
  <si>
    <t>semiconductor engineer</t>
  </si>
  <si>
    <t>sentimentality</t>
  </si>
  <si>
    <t>mocked for its sentimentality</t>
  </si>
  <si>
    <t>settle upon</t>
  </si>
  <si>
    <t>a system was settled upon</t>
  </si>
  <si>
    <t>sidestep losses</t>
  </si>
  <si>
    <t>sidestep financial losses</t>
  </si>
  <si>
    <t>sidestep the issue</t>
  </si>
  <si>
    <t>sidestep climate questions</t>
  </si>
  <si>
    <t>signatory</t>
  </si>
  <si>
    <t>signatory countries</t>
  </si>
  <si>
    <t>single-handedly</t>
  </si>
  <si>
    <t>single-handedly guarantee success</t>
  </si>
  <si>
    <t>smitten</t>
  </si>
  <si>
    <t>characters become smitten</t>
  </si>
  <si>
    <t>snide</t>
  </si>
  <si>
    <t>snide reviews</t>
  </si>
  <si>
    <t>sovereignty</t>
  </si>
  <si>
    <t>a threat to US sovereignty</t>
  </si>
  <si>
    <t>spell the demise of</t>
  </si>
  <si>
    <t>spelled the demise of the system</t>
  </si>
  <si>
    <t>spur sales</t>
  </si>
  <si>
    <t>intended to spur sales</t>
  </si>
  <si>
    <t>square with reality</t>
  </si>
  <si>
    <t>do not always square with reality</t>
  </si>
  <si>
    <t>stagnant</t>
  </si>
  <si>
    <t>wages remained stagnant</t>
  </si>
  <si>
    <t>staphylococcus</t>
  </si>
  <si>
    <t>Staphylococcus infection</t>
  </si>
  <si>
    <t>staunch</t>
  </si>
  <si>
    <t>staunch commitment</t>
  </si>
  <si>
    <t>stipulate</t>
  </si>
  <si>
    <t>a consensus stipulating that... | fee is stipulated</t>
  </si>
  <si>
    <t>streamline</t>
  </si>
  <si>
    <t>streamline recruitment</t>
  </si>
  <si>
    <t>subdue</t>
  </si>
  <si>
    <t>subdue large victims</t>
  </si>
  <si>
    <t>habitat became submerged</t>
  </si>
  <si>
    <t>subsist</t>
  </si>
  <si>
    <t>subsist exclusively by writing</t>
  </si>
  <si>
    <t>substantiates</t>
  </si>
  <si>
    <t>data substantiates the claim</t>
  </si>
  <si>
    <t>subvert</t>
  </si>
  <si>
    <t>subvert conventional beliefs</t>
  </si>
  <si>
    <t>sulfur formation</t>
  </si>
  <si>
    <t>brightly colored sulfur formations</t>
  </si>
  <si>
    <t>supremacy</t>
  </si>
  <si>
    <t>challenge the supremacy of scrolls</t>
  </si>
  <si>
    <t>surveillance</t>
  </si>
  <si>
    <t>FBI surveillance | surveillance flights | under surveillance</t>
  </si>
  <si>
    <t>susceptibility</t>
  </si>
  <si>
    <t>susceptibility to disease</t>
  </si>
  <si>
    <t>sustainable revenue source</t>
  </si>
  <si>
    <t>not a sustainable revenue source</t>
  </si>
  <si>
    <t>sweeten an offer</t>
  </si>
  <si>
    <t>sweeten its offer</t>
  </si>
  <si>
    <t>swell</t>
  </si>
  <si>
    <t>economy swelled by 7.5%</t>
  </si>
  <si>
    <t>symbiosis</t>
  </si>
  <si>
    <t>a perfect symbiosis</t>
  </si>
  <si>
    <t>syringe-like</t>
  </si>
  <si>
    <t>syringe-like structure</t>
  </si>
  <si>
    <t>take issue with</t>
  </si>
  <si>
    <t>take issue with some aspect of the meal | take issue with Pearson's views</t>
  </si>
  <si>
    <t>take liberties with</t>
  </si>
  <si>
    <t>liberties taken by translator</t>
  </si>
  <si>
    <t>take precedence over</t>
  </si>
  <si>
    <t>tourism took precedence over nature</t>
  </si>
  <si>
    <t>telerobot</t>
  </si>
  <si>
    <t>with the aid of telerobots</t>
  </si>
  <si>
    <t>tenacity</t>
  </si>
  <si>
    <t>praise the team’s tenacity</t>
  </si>
  <si>
    <t>tenement</t>
  </si>
  <si>
    <t>several tenements</t>
  </si>
  <si>
    <t>tentative renewal</t>
  </si>
  <si>
    <t>undergone a tentative renewal</t>
  </si>
  <si>
    <t>during her tenure</t>
  </si>
  <si>
    <t>territorial</t>
  </si>
  <si>
    <t>highly territorial</t>
  </si>
  <si>
    <t>tethered</t>
  </si>
  <si>
    <t>tethered connection</t>
  </si>
  <si>
    <t>the exception rather than the rule</t>
  </si>
  <si>
    <t>threshold</t>
  </si>
  <si>
    <t>speed-of-light threshold</t>
  </si>
  <si>
    <t>throw one's weight behind</t>
  </si>
  <si>
    <t>throw its weight behind talent</t>
  </si>
  <si>
    <t>tip the odds in one's favor</t>
  </si>
  <si>
    <t>tip the odds in their favor</t>
  </si>
  <si>
    <t>tout</t>
  </si>
  <si>
    <t>Advocates tout the benefits</t>
  </si>
  <si>
    <t>toxic blanket</t>
  </si>
  <si>
    <t>toxic blanket of gas</t>
  </si>
  <si>
    <t>trace amounts</t>
  </si>
  <si>
    <t>trace amounts of silver</t>
  </si>
  <si>
    <t>treachery</t>
  </si>
  <si>
    <t>military might and treachery</t>
  </si>
  <si>
    <t>tuition waiver</t>
  </si>
  <si>
    <t>complete a tuition waiver</t>
  </si>
  <si>
    <t>turnaround plan</t>
  </si>
  <si>
    <t>release a turnaround plan</t>
  </si>
  <si>
    <t>ubiquitous</t>
  </si>
  <si>
    <t>ubiquitous in Western cuisine</t>
  </si>
  <si>
    <t>unaccounted for</t>
  </si>
  <si>
    <t>genes are unaccounted for</t>
  </si>
  <si>
    <t>unadulterated</t>
  </si>
  <si>
    <t>unadulterated form</t>
  </si>
  <si>
    <t>uncanny</t>
  </si>
  <si>
    <t>extremely uncanny</t>
  </si>
  <si>
    <t>underdog image</t>
  </si>
  <si>
    <t>underdog image gave advantage</t>
  </si>
  <si>
    <t>underreport</t>
  </si>
  <si>
    <t>underreport incomes</t>
  </si>
  <si>
    <t>unfeasible</t>
  </si>
  <si>
    <t>was unfeasible</t>
  </si>
  <si>
    <t>uninhabitable</t>
  </si>
  <si>
    <t>become uninhabitable</t>
  </si>
  <si>
    <t>uninterruptedly</t>
  </si>
  <si>
    <t>operate uninterruptedly</t>
  </si>
  <si>
    <t>unshakable faith</t>
  </si>
  <si>
    <t>unshakable faith in himself</t>
  </si>
  <si>
    <t>unsubstantiated</t>
  </si>
  <si>
    <t>unsubstantiated claims</t>
  </si>
  <si>
    <t>unwittingly</t>
  </si>
  <si>
    <t>unwittingly signaling</t>
  </si>
  <si>
    <t>upheaval</t>
  </si>
  <si>
    <t>faces upheaval</t>
  </si>
  <si>
    <t>upturn social mores</t>
  </si>
  <si>
    <t>upturned traditional social mores</t>
  </si>
  <si>
    <t>usurp the throne</t>
  </si>
  <si>
    <t>the vanquished</t>
  </si>
  <si>
    <t>vestigial</t>
  </si>
  <si>
    <t>vestigial organs</t>
  </si>
  <si>
    <t>viable</t>
  </si>
  <si>
    <t>viable seeds</t>
  </si>
  <si>
    <t>vulnerability</t>
  </si>
  <si>
    <t>security vulnerabilities</t>
  </si>
  <si>
    <t>evidence warranted the decision</t>
  </si>
  <si>
    <t>whereupon</t>
  </si>
  <si>
    <t>whereupon they erected hotels</t>
  </si>
  <si>
    <t>whistleblower</t>
  </si>
  <si>
    <t>protect whistleblowers</t>
  </si>
  <si>
    <t>workaday world</t>
  </si>
  <si>
    <t>leave the workaday world</t>
  </si>
  <si>
    <t>wreak havoc</t>
  </si>
  <si>
    <t>wreaked havoc</t>
  </si>
  <si>
    <t>wrought-iron</t>
  </si>
  <si>
    <t>wrought-iron fence</t>
  </si>
  <si>
    <t>above and beyond</t>
  </si>
  <si>
    <t>go above and beyond</t>
  </si>
  <si>
    <t>abundance of aquatic life</t>
  </si>
  <si>
    <t>abundant</t>
  </si>
  <si>
    <t>accelerating</t>
  </si>
  <si>
    <t>accelerating change</t>
  </si>
  <si>
    <t>accommodation</t>
  </si>
  <si>
    <t>travel accommodation</t>
  </si>
  <si>
    <t>acquired taste</t>
  </si>
  <si>
    <t>foods referred to as acquired tastes</t>
  </si>
  <si>
    <t>additive</t>
  </si>
  <si>
    <t>chemical additives</t>
  </si>
  <si>
    <t>administered</t>
  </si>
  <si>
    <t>administered antibiotics</t>
  </si>
  <si>
    <t>adolescent</t>
  </si>
  <si>
    <t>adolescent T. rex | among adolescents</t>
  </si>
  <si>
    <t>agitated</t>
  </si>
  <si>
    <t>when one elephant is agitated</t>
  </si>
  <si>
    <t>allegation</t>
  </si>
  <si>
    <t>these allegations</t>
  </si>
  <si>
    <t>allocate</t>
  </si>
  <si>
    <t>allocate money to infrastructure</t>
  </si>
  <si>
    <t>amass wealth</t>
  </si>
  <si>
    <t>owners were able to amass wealth</t>
  </si>
  <si>
    <t>ambush</t>
  </si>
  <si>
    <t>launch ambushes</t>
  </si>
  <si>
    <t>anti-corruption</t>
  </si>
  <si>
    <t>anti-corruption campaign</t>
  </si>
  <si>
    <t>appealing</t>
  </si>
  <si>
    <t>less appealing</t>
  </si>
  <si>
    <t>apprehend</t>
  </si>
  <si>
    <t>criminals are apprehended</t>
  </si>
  <si>
    <t>apprentice</t>
  </si>
  <si>
    <t>apprentices</t>
  </si>
  <si>
    <t>archaeologist</t>
  </si>
  <si>
    <t>early archaeologists</t>
  </si>
  <si>
    <t>aspiration</t>
  </si>
  <si>
    <t>political aspirations</t>
  </si>
  <si>
    <t>aspire to</t>
  </si>
  <si>
    <t>aspiring to join</t>
  </si>
  <si>
    <t>at the expense of</t>
  </si>
  <si>
    <t>parental duties at the expense of careers</t>
  </si>
  <si>
    <t>attain</t>
  </si>
  <si>
    <t>attain financial freedom</t>
  </si>
  <si>
    <t>attribute A to B</t>
  </si>
  <si>
    <t>attribute success to confidence</t>
  </si>
  <si>
    <t>authority in</t>
  </si>
  <si>
    <t>authorities in speech communication</t>
  </si>
  <si>
    <t>backlash</t>
  </si>
  <si>
    <t>met with a backlash</t>
  </si>
  <si>
    <t>dry and barren land</t>
  </si>
  <si>
    <t>be entrusted with</t>
  </si>
  <si>
    <t>entrusted with important projects</t>
  </si>
  <si>
    <t>be fed up with</t>
  </si>
  <si>
    <t>fed up with my job</t>
  </si>
  <si>
    <t>be held back by</t>
  </si>
  <si>
    <t>held back by a lack of reviews</t>
  </si>
  <si>
    <t>be incorporated into</t>
  </si>
  <si>
    <t>incorporated into solar panels</t>
  </si>
  <si>
    <t>be let go</t>
  </si>
  <si>
    <t>CEO was let go</t>
  </si>
  <si>
    <t>big break</t>
  </si>
  <si>
    <t>my big break had been a curse</t>
  </si>
  <si>
    <t>bottom line</t>
  </si>
  <si>
    <t>improve the bottom line</t>
  </si>
  <si>
    <t>bounty</t>
  </si>
  <si>
    <t>a bounty on the wolf</t>
  </si>
  <si>
    <t>boutique</t>
  </si>
  <si>
    <t>in-store boutique</t>
  </si>
  <si>
    <t>breakthrough</t>
  </si>
  <si>
    <t>scientific breakthrough</t>
  </si>
  <si>
    <t>bring about</t>
  </si>
  <si>
    <t>bring about regulations</t>
  </si>
  <si>
    <t>build up</t>
  </si>
  <si>
    <t>build up the immune system</t>
  </si>
  <si>
    <t>building blocks of life</t>
  </si>
  <si>
    <t>fundamental building blocks of life</t>
  </si>
  <si>
    <t>burdensome</t>
  </si>
  <si>
    <t>found the cost burdensome</t>
  </si>
  <si>
    <t>bureaucrat</t>
  </si>
  <si>
    <t>union bureaucrats</t>
  </si>
  <si>
    <t>burrow</t>
  </si>
  <si>
    <t>burrow underground</t>
  </si>
  <si>
    <t>buyout</t>
  </si>
  <si>
    <t>attempt a buyout</t>
  </si>
  <si>
    <t>calorie-dense</t>
  </si>
  <si>
    <t>calorie-dense products</t>
  </si>
  <si>
    <t>catapult to fame</t>
  </si>
  <si>
    <t>the poem catapulted him to fame</t>
  </si>
  <si>
    <t>caught off guard</t>
  </si>
  <si>
    <t>be caught off guard</t>
  </si>
  <si>
    <t>censor</t>
  </si>
  <si>
    <t>censors would disapprove</t>
  </si>
  <si>
    <t>charter a flight</t>
  </si>
  <si>
    <t>chartered a flight from the capital</t>
  </si>
  <si>
    <t>childcare qualification</t>
  </si>
  <si>
    <t>possess a childcare qualification</t>
  </si>
  <si>
    <t>chronic condition</t>
  </si>
  <si>
    <t>treatments for chronic conditions</t>
  </si>
  <si>
    <t>cinematic adaptation</t>
  </si>
  <si>
    <t>a critically acclaimed cinematic adaptation</t>
  </si>
  <si>
    <t>collaboration</t>
  </si>
  <si>
    <t>collaboration with researchers</t>
  </si>
  <si>
    <t>commemorate</t>
  </si>
  <si>
    <t>planted olives to commemorate events</t>
  </si>
  <si>
    <t>commercially</t>
  </si>
  <si>
    <t>commercially successful</t>
  </si>
  <si>
    <t>commercially successful film</t>
  </si>
  <si>
    <t>commitment to equality</t>
  </si>
  <si>
    <t>reflect our commitment to equality</t>
  </si>
  <si>
    <t>commodity</t>
  </si>
  <si>
    <t>hot commodities</t>
  </si>
  <si>
    <t>commonplace</t>
  </si>
  <si>
    <t>became commonplace</t>
  </si>
  <si>
    <t>competency</t>
  </si>
  <si>
    <t>CEO competencies</t>
  </si>
  <si>
    <t>boost compliance with helmet laws</t>
  </si>
  <si>
    <t>composter</t>
  </si>
  <si>
    <t>deluxe composter</t>
  </si>
  <si>
    <t>concentration camp</t>
  </si>
  <si>
    <t>concentration camps</t>
  </si>
  <si>
    <t>conclusive</t>
  </si>
  <si>
    <t>not entirely conclusive</t>
  </si>
  <si>
    <t>conductor</t>
  </si>
  <si>
    <t>conductor of electricity</t>
  </si>
  <si>
    <t>congestion charge</t>
  </si>
  <si>
    <t>introduced a congestion charge</t>
  </si>
  <si>
    <t>congressional</t>
  </si>
  <si>
    <t>congressional hearing</t>
  </si>
  <si>
    <t>consciousness</t>
  </si>
  <si>
    <t>lose consciousness</t>
  </si>
  <si>
    <t>constituents</t>
  </si>
  <si>
    <t>detached from their constituents</t>
  </si>
  <si>
    <t>contagious</t>
  </si>
  <si>
    <t>psoriasis is not contagious</t>
  </si>
  <si>
    <t>contain the disease</t>
  </si>
  <si>
    <t>to contain the disease</t>
  </si>
  <si>
    <t>contemplate</t>
  </si>
  <si>
    <t>contemplated appointing Agnew</t>
  </si>
  <si>
    <t>contender</t>
  </si>
  <si>
    <t>a championship contender</t>
  </si>
  <si>
    <t>contested</t>
  </si>
  <si>
    <t>findings remain contested</t>
  </si>
  <si>
    <t>contract extension</t>
  </si>
  <si>
    <t>offer a generous contract extension</t>
  </si>
  <si>
    <t>contract-based</t>
  </si>
  <si>
    <t>contract-based workers</t>
  </si>
  <si>
    <t>convey electricity</t>
  </si>
  <si>
    <t>convey electricity faster than silicon</t>
  </si>
  <si>
    <t>correctional facility</t>
  </si>
  <si>
    <t>Unionville Correctional Facility</t>
  </si>
  <si>
    <t>counterpart</t>
  </si>
  <si>
    <t>gluten-containing counterparts</t>
  </si>
  <si>
    <t>cove</t>
  </si>
  <si>
    <t>hidden coves</t>
  </si>
  <si>
    <t>create a buzz</t>
  </si>
  <si>
    <t>created quite a buzz</t>
  </si>
  <si>
    <t>curb</t>
  </si>
  <si>
    <t>calls to curb unnecessary use | spending needs to be curbed</t>
  </si>
  <si>
    <t>custom-tailored</t>
  </si>
  <si>
    <t>custom-tailored apparel</t>
  </si>
  <si>
    <t>customized</t>
  </si>
  <si>
    <t>customized plan</t>
  </si>
  <si>
    <t>cut short</t>
  </si>
  <si>
    <t>cut the trip short</t>
  </si>
  <si>
    <t>cutting-edge</t>
  </si>
  <si>
    <t>cutting-edge restaurants / technology | cutting-edge technology</t>
  </si>
  <si>
    <t>decisive fashion</t>
  </si>
  <si>
    <t>defeat him in decisive fashion</t>
  </si>
  <si>
    <t>dedicated</t>
  </si>
  <si>
    <t>dedicated social media campaign</t>
  </si>
  <si>
    <t>defer to</t>
  </si>
  <si>
    <t>defer to the committee chairperson</t>
  </si>
  <si>
    <t>dementia</t>
  </si>
  <si>
    <t>develop dementia</t>
  </si>
  <si>
    <t>den</t>
  </si>
  <si>
    <t>family den</t>
  </si>
  <si>
    <t>dependency on painkillers</t>
  </si>
  <si>
    <t>increase the chances of dependency on painkillers</t>
  </si>
  <si>
    <t>derive enjoyment from</t>
  </si>
  <si>
    <t>derive less enjoyment from their relationship</t>
  </si>
  <si>
    <t>designated pickup and drop-off points</t>
  </si>
  <si>
    <t>use designated pickup and drop-off points</t>
  </si>
  <si>
    <t>despair</t>
  </si>
  <si>
    <t>anger and despair</t>
  </si>
  <si>
    <t>deteriorate</t>
  </si>
  <si>
    <t>conditions deteriorate</t>
  </si>
  <si>
    <t>detest</t>
  </si>
  <si>
    <t>start out detesting these foods</t>
  </si>
  <si>
    <t>detoxify</t>
  </si>
  <si>
    <t>detoxify and lose weight</t>
  </si>
  <si>
    <t>devote resources to</t>
  </si>
  <si>
    <t>devote resources to researching antibiotics</t>
  </si>
  <si>
    <t>dip in sales</t>
  </si>
  <si>
    <t>an immediate dip in sales</t>
  </si>
  <si>
    <t>disadvantaged</t>
  </si>
  <si>
    <t>disadvantaged children</t>
  </si>
  <si>
    <t>disdain</t>
  </si>
  <si>
    <t>disdained the establishment</t>
  </si>
  <si>
    <t>disease-causing</t>
  </si>
  <si>
    <t>disease-causing bacteria</t>
  </si>
  <si>
    <t>disoriented</t>
  </si>
  <si>
    <t>birds became disoriented</t>
  </si>
  <si>
    <t>disruptive</t>
  </si>
  <si>
    <t>children were disruptive</t>
  </si>
  <si>
    <t>three distinct layers</t>
  </si>
  <si>
    <t>distribution of wealth</t>
  </si>
  <si>
    <t>unequal distribution of wealth</t>
  </si>
  <si>
    <t>do one's part</t>
  </si>
  <si>
    <t>do our part for the environment</t>
  </si>
  <si>
    <t>do-it-yourselfer</t>
  </si>
  <si>
    <t>dock</t>
  </si>
  <si>
    <t>docking a ship</t>
  </si>
  <si>
    <t>documentation</t>
  </si>
  <si>
    <t>provide documentation</t>
  </si>
  <si>
    <t>domesticate</t>
  </si>
  <si>
    <t>animals domesticated for farming</t>
  </si>
  <si>
    <t>dramatist</t>
  </si>
  <si>
    <t>poet and dramatist</t>
  </si>
  <si>
    <t>drastically</t>
  </si>
  <si>
    <t>without drastically changing your routine</t>
  </si>
  <si>
    <t>drilling operations</t>
  </si>
  <si>
    <t>restrict drilling operations</t>
  </si>
  <si>
    <t>durability</t>
  </si>
  <si>
    <t>consider durability first</t>
  </si>
  <si>
    <t>emerge</t>
  </si>
  <si>
    <t>a group emerged</t>
  </si>
  <si>
    <t>endorsement</t>
  </si>
  <si>
    <t>campaign endorsement</t>
  </si>
  <si>
    <t>energy expenditure</t>
  </si>
  <si>
    <t>reduce energy expenditure</t>
  </si>
  <si>
    <t>energy-efficient</t>
  </si>
  <si>
    <t>energy-efficient home</t>
  </si>
  <si>
    <t>ensuing</t>
  </si>
  <si>
    <t>In the ensuing years</t>
  </si>
  <si>
    <t>enterprising</t>
  </si>
  <si>
    <t>enterprising restaurateur</t>
  </si>
  <si>
    <t>commuters exasperated with the railway</t>
  </si>
  <si>
    <t>forced him into exile</t>
  </si>
  <si>
    <t>expenditures</t>
  </si>
  <si>
    <t>defended the expenditures</t>
  </si>
  <si>
    <t>expense approval</t>
  </si>
  <si>
    <t>Expense Approval Request Form</t>
  </si>
  <si>
    <t>expose</t>
  </si>
  <si>
    <t>expose potential danger</t>
  </si>
  <si>
    <t>fall back on</t>
  </si>
  <si>
    <t>figures to fall back on</t>
  </si>
  <si>
    <t>fall behind on payments</t>
  </si>
  <si>
    <t>fell behind on her payments</t>
  </si>
  <si>
    <t>fall short</t>
  </si>
  <si>
    <t>earnings fall short</t>
  </si>
  <si>
    <t>far-fetched</t>
  </si>
  <si>
    <t>woefully far-fetched</t>
  </si>
  <si>
    <t>favorable to</t>
  </si>
  <si>
    <t>conditions favorable to ticks</t>
  </si>
  <si>
    <t>fee hike</t>
  </si>
  <si>
    <t>university fee hikes</t>
  </si>
  <si>
    <t>fender</t>
  </si>
  <si>
    <t>damage to the fender</t>
  </si>
  <si>
    <t>fetch a remarkable sum</t>
  </si>
  <si>
    <t>works have been fetching remarkable sums</t>
  </si>
  <si>
    <t>file a grievance</t>
  </si>
  <si>
    <t>file a grievance regarding service</t>
  </si>
  <si>
    <t>fill in the gap</t>
  </si>
  <si>
    <t>fill in the gap in skills</t>
  </si>
  <si>
    <t>filter out</t>
  </si>
  <si>
    <t>filter out radio signals</t>
  </si>
  <si>
    <t>financially feasible</t>
  </si>
  <si>
    <t>not financially feasible anymore</t>
  </si>
  <si>
    <t>fixed income</t>
  </si>
  <si>
    <t>couldn't afford it with my fixed income</t>
  </si>
  <si>
    <t>food preservative</t>
  </si>
  <si>
    <t>food preservatives</t>
  </si>
  <si>
    <t>for a fraction of the price</t>
  </si>
  <si>
    <t>buy A for a fraction of the price</t>
  </si>
  <si>
    <t>forgo ticket sales</t>
  </si>
  <si>
    <t>content to forgo ticket sales</t>
  </si>
  <si>
    <t>fortified</t>
  </si>
  <si>
    <t>fortified water</t>
  </si>
  <si>
    <t>foster</t>
  </si>
  <si>
    <t>foster workplace culture</t>
  </si>
  <si>
    <t>foster debate</t>
  </si>
  <si>
    <t>fosters debate</t>
  </si>
  <si>
    <t>franchise</t>
  </si>
  <si>
    <t>film franchises</t>
  </si>
  <si>
    <t>gain insight into</t>
  </si>
  <si>
    <t>gain insights into why</t>
  </si>
  <si>
    <t>gauge</t>
  </si>
  <si>
    <t>help doctors gauge recovery</t>
  </si>
  <si>
    <t>genetic component</t>
  </si>
  <si>
    <t>a genetic component</t>
  </si>
  <si>
    <t>geologically inactive</t>
  </si>
  <si>
    <t>Australia has been geologically inactive</t>
  </si>
  <si>
    <t>get off the ground</t>
  </si>
  <si>
    <t>get a business off the ground</t>
  </si>
  <si>
    <t>give way to</t>
  </si>
  <si>
    <t>forests give way to wetlands</t>
  </si>
  <si>
    <t>go ahead as scheduled</t>
  </si>
  <si>
    <t>not go ahead as scheduled</t>
  </si>
  <si>
    <t>go out of one's way</t>
  </si>
  <si>
    <t>go out of my way to fix it</t>
  </si>
  <si>
    <t>gourmet</t>
  </si>
  <si>
    <t>gourmet soup</t>
  </si>
  <si>
    <t>grant</t>
  </si>
  <si>
    <t>sick leave is granted</t>
  </si>
  <si>
    <t>graphic depiction</t>
  </si>
  <si>
    <t>graphic depiction of war violence</t>
  </si>
  <si>
    <t>grapple with</t>
  </si>
  <si>
    <t>grapple with implications</t>
  </si>
  <si>
    <t>grapple with imports</t>
  </si>
  <si>
    <t>grapple with cheap imports</t>
  </si>
  <si>
    <t>grassland</t>
  </si>
  <si>
    <t>open grasslands</t>
  </si>
  <si>
    <t>gravitational force</t>
  </si>
  <si>
    <t>with its gravitational force</t>
  </si>
  <si>
    <t>growth potential</t>
  </si>
  <si>
    <t>achieve full growth potential</t>
  </si>
  <si>
    <t>gut bacteria</t>
  </si>
  <si>
    <t>maintain healthy gut bacteria</t>
  </si>
  <si>
    <t>habitat</t>
  </si>
  <si>
    <t>reef habitats</t>
  </si>
  <si>
    <t>halo</t>
  </si>
  <si>
    <t>rainbow-like halo</t>
  </si>
  <si>
    <t>hardy</t>
  </si>
  <si>
    <t>hardy creatures</t>
  </si>
  <si>
    <t>harmonized with</t>
  </si>
  <si>
    <t>cycles harmonized with flood patterns</t>
  </si>
  <si>
    <t>hazardous</t>
  </si>
  <si>
    <t>hazardous waste</t>
  </si>
  <si>
    <t>heat up</t>
  </si>
  <si>
    <t>the race heats up</t>
  </si>
  <si>
    <t>high-profile</t>
  </si>
  <si>
    <t>high-profile case</t>
  </si>
  <si>
    <t>highest-grossing</t>
  </si>
  <si>
    <t>highest-grossing film</t>
  </si>
  <si>
    <t>hoist</t>
  </si>
  <si>
    <t>hoist the wreckage</t>
  </si>
  <si>
    <t>homelessness</t>
  </si>
  <si>
    <t>address homelessness</t>
  </si>
  <si>
    <t>Homo sapiens</t>
  </si>
  <si>
    <t>evolution of Homo sapiens</t>
  </si>
  <si>
    <t>hospitable to</t>
  </si>
  <si>
    <t>waters more hospitable to snakes</t>
  </si>
  <si>
    <t>human subjects</t>
  </si>
  <si>
    <t>not on human subjects</t>
  </si>
  <si>
    <t>humblebragging</t>
  </si>
  <si>
    <t>so-called humblebragging</t>
  </si>
  <si>
    <t>immense</t>
  </si>
  <si>
    <t>immense size</t>
  </si>
  <si>
    <t>immortal soul</t>
  </si>
  <si>
    <t>possess an immortal soul</t>
  </si>
  <si>
    <t>provide immunity</t>
  </si>
  <si>
    <t>impartial jury</t>
  </si>
  <si>
    <t>find an impartial jury</t>
  </si>
  <si>
    <t>implication</t>
  </si>
  <si>
    <t>significant implications</t>
  </si>
  <si>
    <t>implications</t>
  </si>
  <si>
    <t>major implications for species</t>
  </si>
  <si>
    <t>remain inaccessible under thick rock | entrance currently inaccessible</t>
  </si>
  <si>
    <t>inaugural</t>
  </si>
  <si>
    <t>the inaugural Public Choice Award</t>
  </si>
  <si>
    <t>incentive</t>
  </si>
  <si>
    <t>strong incentive to work hard</t>
  </si>
  <si>
    <t>incline</t>
  </si>
  <si>
    <t>based on the incline of hills</t>
  </si>
  <si>
    <t>inclined to</t>
  </si>
  <si>
    <t>less inclined to pursue leadership</t>
  </si>
  <si>
    <t>incorporated</t>
  </si>
  <si>
    <t>incorporated into the design</t>
  </si>
  <si>
    <t>industry-funded</t>
  </si>
  <si>
    <t>industry-funded studies</t>
  </si>
  <si>
    <t>it can be inferred that</t>
  </si>
  <si>
    <t>inferior</t>
  </si>
  <si>
    <t>inferior quality</t>
  </si>
  <si>
    <t>infrastructure</t>
  </si>
  <si>
    <t>utilities infrastructure | transportation infrastructure</t>
  </si>
  <si>
    <t>infused with</t>
  </si>
  <si>
    <t>water infused with vitamins</t>
  </si>
  <si>
    <t>inhabited</t>
  </si>
  <si>
    <t>the hottest inhabited place</t>
  </si>
  <si>
    <t>initiative</t>
  </si>
  <si>
    <t>tree-planting initiatives</t>
  </si>
  <si>
    <t>inland delta</t>
  </si>
  <si>
    <t>one of the world's largest inland deltas</t>
  </si>
  <si>
    <t>subsequent inquiry</t>
  </si>
  <si>
    <t>insufficient experience</t>
  </si>
  <si>
    <t>insufficient image editing experience</t>
  </si>
  <si>
    <t>insulator</t>
  </si>
  <si>
    <t>act as an insulator</t>
  </si>
  <si>
    <t>intellectual</t>
  </si>
  <si>
    <t>intellectual development</t>
  </si>
  <si>
    <t>interfere with</t>
  </si>
  <si>
    <t>interfere with sleep cycles</t>
  </si>
  <si>
    <t>interference</t>
  </si>
  <si>
    <t>in response to their interference</t>
  </si>
  <si>
    <t>keen sense of empathy</t>
  </si>
  <si>
    <t>a keen sense of empathy</t>
  </si>
  <si>
    <t>lack credibility</t>
  </si>
  <si>
    <t>polls lack credibility</t>
  </si>
  <si>
    <t>landfill</t>
  </si>
  <si>
    <t>town landfill</t>
  </si>
  <si>
    <t>landmass</t>
  </si>
  <si>
    <t>the landmass that comprises Australia</t>
  </si>
  <si>
    <t>large-capacity</t>
  </si>
  <si>
    <t>large-capacity battery</t>
  </si>
  <si>
    <t>lethal</t>
  </si>
  <si>
    <t>lethal violence</t>
  </si>
  <si>
    <t>life-threatening</t>
  </si>
  <si>
    <t>life-threatening disease</t>
  </si>
  <si>
    <t>light pollution</t>
  </si>
  <si>
    <t>increased light pollution</t>
  </si>
  <si>
    <t>literacy</t>
  </si>
  <si>
    <t>financial literacy</t>
  </si>
  <si>
    <t>litter</t>
  </si>
  <si>
    <t>raising litters two to three times the normal size</t>
  </si>
  <si>
    <t>live within one's means</t>
  </si>
  <si>
    <t>ability to live within their means</t>
  </si>
  <si>
    <t>maintain discipline</t>
  </si>
  <si>
    <t>maintaining the discipline</t>
  </si>
  <si>
    <t>make ends meet</t>
  </si>
  <si>
    <t>work to make ends meet</t>
  </si>
  <si>
    <t>make room for</t>
  </si>
  <si>
    <t>make room for inventory</t>
  </si>
  <si>
    <t>make way for</t>
  </si>
  <si>
    <t>make way for resorts</t>
  </si>
  <si>
    <t>male-dominated field</t>
  </si>
  <si>
    <t>physics is male-dominated</t>
  </si>
  <si>
    <t>malfunction</t>
  </si>
  <si>
    <t>computer malfunctions</t>
  </si>
  <si>
    <t>malware</t>
  </si>
  <si>
    <t>energy-draining malware</t>
  </si>
  <si>
    <t>areas that mandate helmets</t>
  </si>
  <si>
    <t>manufacturing facility</t>
  </si>
  <si>
    <t>manufacturing facilities</t>
  </si>
  <si>
    <t>marital status</t>
  </si>
  <si>
    <t>regardless of marital status</t>
  </si>
  <si>
    <t>maternity leave</t>
  </si>
  <si>
    <t>return after maternity leave</t>
  </si>
  <si>
    <t>maximize</t>
  </si>
  <si>
    <t>maximize profits</t>
  </si>
  <si>
    <t>merchant class</t>
  </si>
  <si>
    <t>merchant-class culture</t>
  </si>
  <si>
    <t>merchant vessel</t>
  </si>
  <si>
    <t>rich merchant vessels</t>
  </si>
  <si>
    <t>metabolic rate</t>
  </si>
  <si>
    <t>resting metabolic rate</t>
  </si>
  <si>
    <t>mint</t>
  </si>
  <si>
    <t>the coin, minted with the image</t>
  </si>
  <si>
    <t>mint condition</t>
  </si>
  <si>
    <t>in nearly mint condition</t>
  </si>
  <si>
    <t>molecular gastronomy</t>
  </si>
  <si>
    <t>molecular gastronomy techniques</t>
  </si>
  <si>
    <t>mortality rate</t>
  </si>
  <si>
    <t>higher mortality rate for chicks</t>
  </si>
  <si>
    <t>mountaineering</t>
  </si>
  <si>
    <t>mountaineering expedition</t>
  </si>
  <si>
    <t>narrow-minded</t>
  </si>
  <si>
    <t>narrow-minded view</t>
  </si>
  <si>
    <t>Neanderthal</t>
  </si>
  <si>
    <t>the Neanderthals</t>
  </si>
  <si>
    <t>nesting migration</t>
  </si>
  <si>
    <t>seasonal nesting migrations</t>
  </si>
  <si>
    <t>nimble</t>
  </si>
  <si>
    <t>quick and nimble</t>
  </si>
  <si>
    <t>no-win scenario</t>
  </si>
  <si>
    <t>it's a no-win scenario</t>
  </si>
  <si>
    <t>nonessential travel</t>
  </si>
  <si>
    <t>avoid nonessential travel</t>
  </si>
  <si>
    <t>noninvasive</t>
  </si>
  <si>
    <t>noninvasive treatments</t>
  </si>
  <si>
    <t>nonprofit</t>
  </si>
  <si>
    <t>launch a nonprofit</t>
  </si>
  <si>
    <t>novelty fades</t>
  </si>
  <si>
    <t>the novelty eventually fades</t>
  </si>
  <si>
    <t>obscure</t>
  </si>
  <si>
    <t>a brilliant but obscure novel</t>
  </si>
  <si>
    <t>equipment become obsolete</t>
  </si>
  <si>
    <t>occupied territory</t>
  </si>
  <si>
    <t>occupied French territory</t>
  </si>
  <si>
    <t>on the record</t>
  </si>
  <si>
    <t>statements were on the record</t>
  </si>
  <si>
    <t>oncoming traffic</t>
  </si>
  <si>
    <t>maneuver away from oncoming traffic</t>
  </si>
  <si>
    <t>optical illusion</t>
  </si>
  <si>
    <t>create optical illusions</t>
  </si>
  <si>
    <t>optimized route</t>
  </si>
  <si>
    <t>provides optimized walking routes</t>
  </si>
  <si>
    <t>logos feature outlines</t>
  </si>
  <si>
    <t>output</t>
  </si>
  <si>
    <t>reduce energy output</t>
  </si>
  <si>
    <t>outskirts</t>
  </si>
  <si>
    <t>located on the outskirts</t>
  </si>
  <si>
    <t>outsource</t>
  </si>
  <si>
    <t>outsource operations</t>
  </si>
  <si>
    <t>outweigh</t>
  </si>
  <si>
    <t>expense outweighed benefits</t>
  </si>
  <si>
    <t>overconsumption</t>
  </si>
  <si>
    <t>risk that overconsumption entails</t>
  </si>
  <si>
    <t>overhaul</t>
  </si>
  <si>
    <t>resume the overhaul of the park</t>
  </si>
  <si>
    <t>overheating</t>
  </si>
  <si>
    <t>prevent overheating</t>
  </si>
  <si>
    <t>overqualified</t>
  </si>
  <si>
    <t>overqualified for the job</t>
  </si>
  <si>
    <t>paradox</t>
  </si>
  <si>
    <t>Faint Young Sun Paradox</t>
  </si>
  <si>
    <t>parched</t>
  </si>
  <si>
    <t>parched areas of the lake bed</t>
  </si>
  <si>
    <t>pass on costs to customers</t>
  </si>
  <si>
    <t>costs are passed on</t>
  </si>
  <si>
    <t>patent</t>
  </si>
  <si>
    <t>applied to patent its technology</t>
  </si>
  <si>
    <t>patron</t>
  </si>
  <si>
    <t>loyal patrons / regular patrons</t>
  </si>
  <si>
    <t>pay off</t>
  </si>
  <si>
    <t>will pay off later</t>
  </si>
  <si>
    <t>perished in the open seas</t>
  </si>
  <si>
    <t>photosynthesize</t>
  </si>
  <si>
    <t>fungi cannot photosynthesize</t>
  </si>
  <si>
    <t>pilot program</t>
  </si>
  <si>
    <t>launch a pilot program</t>
  </si>
  <si>
    <t>pinpoint the sunken vessel</t>
  </si>
  <si>
    <t>planetarium</t>
  </si>
  <si>
    <t>city planetarium</t>
  </si>
  <si>
    <t>plantation</t>
  </si>
  <si>
    <t>palm oil plantations</t>
  </si>
  <si>
    <t>pledge cooperation</t>
  </si>
  <si>
    <t>pledge my cooperation</t>
  </si>
  <si>
    <t>poised to</t>
  </si>
  <si>
    <t>poised to recapture glory</t>
  </si>
  <si>
    <t>policing student attire</t>
  </si>
  <si>
    <t>policing student attire will be a burden</t>
  </si>
  <si>
    <t>pragmatic</t>
  </si>
  <si>
    <t>a pragmatic reason / approach</t>
  </si>
  <si>
    <t>precipitation</t>
  </si>
  <si>
    <t>a complete lack of precipitation</t>
  </si>
  <si>
    <t>prestige</t>
  </si>
  <si>
    <t>wane in prestige</t>
  </si>
  <si>
    <t>prey</t>
  </si>
  <si>
    <t>track prey by scent</t>
  </si>
  <si>
    <t>primitive</t>
  </si>
  <si>
    <t>more primitive</t>
  </si>
  <si>
    <t>proceeds</t>
  </si>
  <si>
    <t>auction's proceeds</t>
  </si>
  <si>
    <t>product recall</t>
  </si>
  <si>
    <t>last year's product recall</t>
  </si>
  <si>
    <t>profit-sharing</t>
  </si>
  <si>
    <t>profit-sharing plan</t>
  </si>
  <si>
    <t>profound effect</t>
  </si>
  <si>
    <t>progressively shorter</t>
  </si>
  <si>
    <t>becoming progressively shorter</t>
  </si>
  <si>
    <t>prolonged dispute</t>
  </si>
  <si>
    <t>the prolonged dispute</t>
  </si>
  <si>
    <t>prolonged dry spells</t>
  </si>
  <si>
    <t>prospect</t>
  </si>
  <si>
    <t>the prospect of travel</t>
  </si>
  <si>
    <t>prosperous urban center</t>
  </si>
  <si>
    <t>proximity</t>
  </si>
  <si>
    <t>in close proximity to its star</t>
  </si>
  <si>
    <t>qualify as</t>
  </si>
  <si>
    <t>qualify as a berry</t>
  </si>
  <si>
    <t>raffle</t>
  </si>
  <si>
    <t>having a raffle</t>
  </si>
  <si>
    <t>rally</t>
  </si>
  <si>
    <t>share price is rallying</t>
  </si>
  <si>
    <t>ready-to-wear</t>
  </si>
  <si>
    <t>ready-to-wear apparel</t>
  </si>
  <si>
    <t>reconstruction effort</t>
  </si>
  <si>
    <t>a decade-long reconstruction effort</t>
  </si>
  <si>
    <t>redeem</t>
  </si>
  <si>
    <t>redeem points</t>
  </si>
  <si>
    <t>redemption</t>
  </si>
  <si>
    <t>quest for redemption</t>
  </si>
  <si>
    <t>reflection</t>
  </si>
  <si>
    <t>after much reflection</t>
  </si>
  <si>
    <t>regulating</t>
  </si>
  <si>
    <t>regulate growth</t>
  </si>
  <si>
    <t>rehabilitation</t>
  </si>
  <si>
    <t>rehabilitation program</t>
  </si>
  <si>
    <t>reign</t>
  </si>
  <si>
    <t>the reign of Sheikh Sabah</t>
  </si>
  <si>
    <t>reinvent oneself</t>
  </si>
  <si>
    <t>desperate to reinvent myself</t>
  </si>
  <si>
    <t>relocate</t>
  </si>
  <si>
    <t>residents relocate to make way for resorts</t>
  </si>
  <si>
    <t>remnant</t>
  </si>
  <si>
    <t>remnants of a capital</t>
  </si>
  <si>
    <t>renown</t>
  </si>
  <si>
    <t>brought him renown</t>
  </si>
  <si>
    <t>renowned</t>
  </si>
  <si>
    <t>renowned as a robust giant</t>
  </si>
  <si>
    <t>repeal</t>
  </si>
  <si>
    <t>repeal the law</t>
  </si>
  <si>
    <t>reputable</t>
  </si>
  <si>
    <t>reputable sources</t>
  </si>
  <si>
    <t>man-made reservoir</t>
  </si>
  <si>
    <t>resignation protocol</t>
  </si>
  <si>
    <t>Resignation Protocol</t>
  </si>
  <si>
    <t>resolution</t>
  </si>
  <si>
    <t>end without a resolution</t>
  </si>
  <si>
    <t>respiration rate</t>
  </si>
  <si>
    <t>lowered pulse and respiration rate</t>
  </si>
  <si>
    <t>revolutionary</t>
  </si>
  <si>
    <t>revolutionary technology</t>
  </si>
  <si>
    <t>rugged mountains</t>
  </si>
  <si>
    <t>a view of the rugged mountains</t>
  </si>
  <si>
    <t>safety net</t>
  </si>
  <si>
    <t>fortunate to have a safety net</t>
  </si>
  <si>
    <t>screen a tenant</t>
  </si>
  <si>
    <t>didn't screen my tenant properly</t>
  </si>
  <si>
    <t>seasonal renewal</t>
  </si>
  <si>
    <t>seasonal renewal of life</t>
  </si>
  <si>
    <t>seep into</t>
  </si>
  <si>
    <t>pollutants seeped into the lake</t>
  </si>
  <si>
    <t>seized one of the devices</t>
  </si>
  <si>
    <t>self-directed</t>
  </si>
  <si>
    <t>self-directed academic study</t>
  </si>
  <si>
    <t>self-doubt</t>
  </si>
  <si>
    <t>Self-doubt seems to foster...</t>
  </si>
  <si>
    <t>send-off</t>
  </si>
  <si>
    <t>this send-off will be on me</t>
  </si>
  <si>
    <t>sentencing</t>
  </si>
  <si>
    <t>support harsher criminal sentencing</t>
  </si>
  <si>
    <t>Separation Notice form</t>
  </si>
  <si>
    <t>submit a Separation Notice form</t>
  </si>
  <si>
    <t>setback</t>
  </si>
  <si>
    <t>personal setbacks | political setback</t>
  </si>
  <si>
    <t>shareholder</t>
  </si>
  <si>
    <t>shareholder value | shareholders</t>
  </si>
  <si>
    <t>shift responsibility away from</t>
  </si>
  <si>
    <t>shift responsibility away from study habits</t>
  </si>
  <si>
    <t>shortfall</t>
  </si>
  <si>
    <t>cover the shortfall</t>
  </si>
  <si>
    <t>sidelined</t>
  </si>
  <si>
    <t>sidelined with a knee injury</t>
  </si>
  <si>
    <t>simultaneously</t>
  </si>
  <si>
    <t>happen simultaneously</t>
  </si>
  <si>
    <t>sincerity</t>
  </si>
  <si>
    <t>lack of sincerity</t>
  </si>
  <si>
    <t>social bubble</t>
  </si>
  <si>
    <t>live within social bubbles</t>
  </si>
  <si>
    <t>social norms</t>
  </si>
  <si>
    <t>existing norms of a community</t>
  </si>
  <si>
    <t>solar flare</t>
  </si>
  <si>
    <t>frequent solar flares</t>
  </si>
  <si>
    <t>sophisticated</t>
  </si>
  <si>
    <t>technologically sophisticated</t>
  </si>
  <si>
    <t>sound alarms about</t>
  </si>
  <si>
    <t>commentators have been sounding alarms</t>
  </si>
  <si>
    <t>spawn</t>
  </si>
  <si>
    <t>horseshoe crabs spawn</t>
  </si>
  <si>
    <t>speak up</t>
  </si>
  <si>
    <t>employees speak up</t>
  </si>
  <si>
    <t>spell out one's vision</t>
  </si>
  <si>
    <t>start spelling out his vision</t>
  </si>
  <si>
    <t>spend time apart</t>
  </si>
  <si>
    <t>strengthen by spending time apart</t>
  </si>
  <si>
    <t>spur change</t>
  </si>
  <si>
    <t>necessary to spur changes</t>
  </si>
  <si>
    <t>stand by a decision</t>
  </si>
  <si>
    <t>stand by our decision</t>
  </si>
  <si>
    <t>stand out from the crowd</t>
  </si>
  <si>
    <t>ensure that you stand out from the crowd</t>
  </si>
  <si>
    <t>standard fare</t>
  </si>
  <si>
    <t>hardly standard fare</t>
  </si>
  <si>
    <t>staunch opposition</t>
  </si>
  <si>
    <t>staunch opposition to communism</t>
  </si>
  <si>
    <t>stay afloat</t>
  </si>
  <si>
    <t>difficulty staying afloat</t>
  </si>
  <si>
    <t>straightforward</t>
  </si>
  <si>
    <t>straightforward explanation</t>
  </si>
  <si>
    <t>subcontractor</t>
  </si>
  <si>
    <t>subcontractors working on the site</t>
  </si>
  <si>
    <t>subsequent</t>
  </si>
  <si>
    <t>the subsequent test</t>
  </si>
  <si>
    <t>subsidy agreement</t>
  </si>
  <si>
    <t>reached a subsidy agreement</t>
  </si>
  <si>
    <t>suction-type</t>
  </si>
  <si>
    <t>suction-type vacuum cleaner</t>
  </si>
  <si>
    <t>supersized</t>
  </si>
  <si>
    <t>surcharge</t>
  </si>
  <si>
    <t>surcharges for additional checked bags</t>
  </si>
  <si>
    <t>surefire success</t>
  </si>
  <si>
    <t>a surefire critical and popular success</t>
  </si>
  <si>
    <t>surplus</t>
  </si>
  <si>
    <t>trade surplus</t>
  </si>
  <si>
    <t>susceptible to</t>
  </si>
  <si>
    <t>susceptible to disease</t>
  </si>
  <si>
    <t>take A for granted</t>
  </si>
  <si>
    <t>take free meals for granted</t>
  </si>
  <si>
    <t>take on the challenge</t>
  </si>
  <si>
    <t>taking on the challenge</t>
  </si>
  <si>
    <t>take someone up on an offer</t>
  </si>
  <si>
    <t>take you up on your offer</t>
  </si>
  <si>
    <t>long and tedious</t>
  </si>
  <si>
    <t>termination fee</t>
  </si>
  <si>
    <t>early termination fee</t>
  </si>
  <si>
    <t>testament to</t>
  </si>
  <si>
    <t>a testament to her literary ability</t>
  </si>
  <si>
    <t>the bigger picture</t>
  </si>
  <si>
    <t>see the bigger picture</t>
  </si>
  <si>
    <t>the establishment</t>
  </si>
  <si>
    <t>the literary and academic establishment</t>
  </si>
  <si>
    <t>thesis defense</t>
  </si>
  <si>
    <t>defending their theses</t>
  </si>
  <si>
    <t>thoughtfully</t>
  </si>
  <si>
    <t>thoughtfully designed</t>
  </si>
  <si>
    <t>tip off</t>
  </si>
  <si>
    <t>police were tipped off</t>
  </si>
  <si>
    <t>top-of-the-line</t>
  </si>
  <si>
    <t>top-of-the-line equipment</t>
  </si>
  <si>
    <t>toxic gases</t>
  </si>
  <si>
    <t>contains toxic gases and strong acids</t>
  </si>
  <si>
    <t>trade deficit</t>
  </si>
  <si>
    <t>maintaining a trade deficit</t>
  </si>
  <si>
    <t>trade imbalance</t>
  </si>
  <si>
    <t>imbalance in trade</t>
  </si>
  <si>
    <t>trademark</t>
  </si>
  <si>
    <t>trademarked by the Royal Canadian Mint</t>
  </si>
  <si>
    <t>tragic conclusion</t>
  </si>
  <si>
    <t>replace the tragic conclusion</t>
  </si>
  <si>
    <t>transparency</t>
  </si>
  <si>
    <t>increase transparency</t>
  </si>
  <si>
    <t>transplantation</t>
  </si>
  <si>
    <t>organ transplantation</t>
  </si>
  <si>
    <t>ultimately</t>
  </si>
  <si>
    <t>ultimately decided</t>
  </si>
  <si>
    <t>unchallenged</t>
  </si>
  <si>
    <t>findings went unchallenged</t>
  </si>
  <si>
    <t>underperforming</t>
  </si>
  <si>
    <t>underperforming stores</t>
  </si>
  <si>
    <t>unintended consequences</t>
  </si>
  <si>
    <t>had unintended consequences</t>
  </si>
  <si>
    <t>unobtainable</t>
  </si>
  <si>
    <t>sherry became unobtainable</t>
  </si>
  <si>
    <t>unprecedented</t>
  </si>
  <si>
    <t>unprecedented growth</t>
  </si>
  <si>
    <t>unrestricted</t>
  </si>
  <si>
    <t>unrestricted access</t>
  </si>
  <si>
    <t>unstructured</t>
  </si>
  <si>
    <t>unstructured play</t>
  </si>
  <si>
    <t>unsustainable</t>
  </si>
  <si>
    <t>business became unsustainable</t>
  </si>
  <si>
    <t>up and running</t>
  </si>
  <si>
    <t>businesses are expected to be up and running</t>
  </si>
  <si>
    <t>upbringing</t>
  </si>
  <si>
    <t>rural upbringing</t>
  </si>
  <si>
    <t>uphold standards</t>
  </si>
  <si>
    <t>uphold high standards</t>
  </si>
  <si>
    <t>venomous</t>
  </si>
  <si>
    <t>venomous sea kraits</t>
  </si>
  <si>
    <t>vulnerable species</t>
  </si>
  <si>
    <t>waste disposal</t>
  </si>
  <si>
    <t>waste disposal system</t>
  </si>
  <si>
    <t>wear and tear</t>
  </si>
  <si>
    <t>natural wear and tear</t>
  </si>
  <si>
    <t>wear down</t>
  </si>
  <si>
    <t>wear down quickly</t>
  </si>
  <si>
    <t>whip up</t>
  </si>
  <si>
    <t>whip up a feast</t>
  </si>
  <si>
    <t>withstand harsh conditions</t>
  </si>
  <si>
    <t>withstand the harsh conditions on Venus</t>
  </si>
  <si>
    <t>would-be prey</t>
  </si>
  <si>
    <t>attacks on would-be prey</t>
  </si>
  <si>
    <t>wreckage</t>
  </si>
  <si>
    <t>clean up the wreckage</t>
  </si>
  <si>
    <t>wrestle with</t>
  </si>
  <si>
    <t>wrestle with contrasting concepts</t>
  </si>
  <si>
    <t>yield</t>
  </si>
  <si>
    <t>effort yielded a more impressive version</t>
  </si>
  <si>
    <t>a breeze</t>
  </si>
  <si>
    <t>Looking good is a breeze</t>
  </si>
  <si>
    <t>account balance</t>
  </si>
  <si>
    <t>positive account balance</t>
  </si>
  <si>
    <t>acquire</t>
  </si>
  <si>
    <t>acquired 12 acres of land</t>
  </si>
  <si>
    <t>additional requirements</t>
  </si>
  <si>
    <t>remove these additional requirements</t>
  </si>
  <si>
    <t>agricultural</t>
  </si>
  <si>
    <t>agricultural production</t>
  </si>
  <si>
    <t>alter</t>
  </si>
  <si>
    <t>garments altered and delivered</t>
  </si>
  <si>
    <t>alternative method</t>
  </si>
  <si>
    <t>anniversary</t>
  </si>
  <si>
    <t>10th anniversary</t>
  </si>
  <si>
    <t>annual leave</t>
  </si>
  <si>
    <t>paid annual leave</t>
  </si>
  <si>
    <t>antibiotics</t>
  </si>
  <si>
    <t>resistant to antibiotics</t>
  </si>
  <si>
    <t>apparel</t>
  </si>
  <si>
    <t>formal apparel</t>
  </si>
  <si>
    <t>application</t>
  </si>
  <si>
    <t>application in day-to-day life</t>
  </si>
  <si>
    <t>application number</t>
  </si>
  <si>
    <t>your application number is 50078</t>
  </si>
  <si>
    <t>assessment</t>
  </si>
  <si>
    <t>routine assessments</t>
  </si>
  <si>
    <t>asset to the company</t>
  </si>
  <si>
    <t>I believe I'm an asset to this company.</t>
  </si>
  <si>
    <t>astronomer</t>
  </si>
  <si>
    <t>become an astronomer</t>
  </si>
  <si>
    <t>award-winning</t>
  </si>
  <si>
    <t>award-winning design</t>
  </si>
  <si>
    <t>beehive</t>
  </si>
  <si>
    <t>pesticide powder is placed inside a beehive</t>
  </si>
  <si>
    <t>bird-watching</t>
  </si>
  <si>
    <t>bird-watching tour</t>
  </si>
  <si>
    <t>book signing</t>
  </si>
  <si>
    <t>exclusive book signing</t>
  </si>
  <si>
    <t>break down</t>
  </si>
  <si>
    <t>rovers would break down within hours</t>
  </si>
  <si>
    <t>breathtaking scenery</t>
  </si>
  <si>
    <t>overlooking breathtaking scenery</t>
  </si>
  <si>
    <t>carry-on bag</t>
  </si>
  <si>
    <t>a single free carry-on bag</t>
  </si>
  <si>
    <t>certification</t>
  </si>
  <si>
    <t>professional certification</t>
  </si>
  <si>
    <t>cheerleading</t>
  </si>
  <si>
    <t>safety in cheerleading</t>
  </si>
  <si>
    <t>citizenship</t>
  </si>
  <si>
    <t>Roman citizenship</t>
  </si>
  <si>
    <t>cling to</t>
  </si>
  <si>
    <t>males clinging to their backs</t>
  </si>
  <si>
    <t>columnist</t>
  </si>
  <si>
    <t>job opening: columnist</t>
  </si>
  <si>
    <t>come across</t>
  </si>
  <si>
    <t>come across a book</t>
  </si>
  <si>
    <t>commitment</t>
  </si>
  <si>
    <t>proof of its commitment</t>
  </si>
  <si>
    <t>committee</t>
  </si>
  <si>
    <t>nomination committee</t>
  </si>
  <si>
    <t>comparatively low</t>
  </si>
  <si>
    <t>profits are comparatively low</t>
  </si>
  <si>
    <t>computerized</t>
  </si>
  <si>
    <t>computerized system</t>
  </si>
  <si>
    <t>consecutive</t>
  </si>
  <si>
    <t>two consecutive years</t>
  </si>
  <si>
    <t>consequently</t>
  </si>
  <si>
    <t>Consequently, ...</t>
  </si>
  <si>
    <t>conservative</t>
  </si>
  <si>
    <t>conservative cities | Conservative Party</t>
  </si>
  <si>
    <t>consideration</t>
  </si>
  <si>
    <t>take into consideration</t>
  </si>
  <si>
    <t>construct</t>
  </si>
  <si>
    <t>tenements will be constructed</t>
  </si>
  <si>
    <t>contemporary</t>
  </si>
  <si>
    <t>contemporary art</t>
  </si>
  <si>
    <t>contribution</t>
  </si>
  <si>
    <t>major contribution</t>
  </si>
  <si>
    <t>cost estimate</t>
  </si>
  <si>
    <t>coupon</t>
  </si>
  <si>
    <t>receive a coupon for 15% off</t>
  </si>
  <si>
    <t>crucial</t>
  </si>
  <si>
    <t>play a crucial role</t>
  </si>
  <si>
    <t>date back to</t>
  </si>
  <si>
    <t>dates back to at least 2700 BC</t>
  </si>
  <si>
    <t>debut novel</t>
  </si>
  <si>
    <t>Fitzgerald’s debut novel</t>
  </si>
  <si>
    <t>declaration</t>
  </si>
  <si>
    <t>official declaration</t>
  </si>
  <si>
    <t>determination</t>
  </si>
  <si>
    <t>show determination</t>
  </si>
  <si>
    <t>determine</t>
  </si>
  <si>
    <t>determine the cause</t>
  </si>
  <si>
    <t>discourage</t>
  </si>
  <si>
    <t>discouraging overuse</t>
  </si>
  <si>
    <t>discrimination</t>
  </si>
  <si>
    <t>distinguish A from B</t>
  </si>
  <si>
    <t>distinguish them from white-fleshed sweet potatoes</t>
  </si>
  <si>
    <t>distraction</t>
  </si>
  <si>
    <t>reduce distractions</t>
  </si>
  <si>
    <t>dress code</t>
  </si>
  <si>
    <t>strict with dress codes</t>
  </si>
  <si>
    <t>drop by</t>
  </si>
  <si>
    <t>drop by your office</t>
  </si>
  <si>
    <t>drought</t>
  </si>
  <si>
    <t>a major five-year drought</t>
  </si>
  <si>
    <t>dynamic</t>
  </si>
  <si>
    <t>dynamic individual</t>
  </si>
  <si>
    <t>educational</t>
  </si>
  <si>
    <t>educational program</t>
  </si>
  <si>
    <t>enclose</t>
  </si>
  <si>
    <t>I have enclosed pictures</t>
  </si>
  <si>
    <t>entitled</t>
  </si>
  <si>
    <t>a book entitled ...</t>
  </si>
  <si>
    <t>eruption</t>
  </si>
  <si>
    <t>volcanic eruptions</t>
  </si>
  <si>
    <t>first established in 1933</t>
  </si>
  <si>
    <t>exceed</t>
  </si>
  <si>
    <t>exceed forecasts</t>
  </si>
  <si>
    <t>exclusive</t>
  </si>
  <si>
    <t>exclusive event</t>
  </si>
  <si>
    <t>exhibit</t>
  </si>
  <si>
    <t>photography exhibit</t>
  </si>
  <si>
    <t>experimental</t>
  </si>
  <si>
    <t>experimental treatment</t>
  </si>
  <si>
    <t>expertise</t>
  </si>
  <si>
    <t>expertise in tailoring</t>
  </si>
  <si>
    <t>export</t>
  </si>
  <si>
    <t>Britain exported goods</t>
  </si>
  <si>
    <t>fall behind</t>
  </si>
  <si>
    <t>fall behind men in work experience</t>
  </si>
  <si>
    <t>filming location</t>
  </si>
  <si>
    <t>serve as a filming location</t>
  </si>
  <si>
    <t>financial freedom</t>
  </si>
  <si>
    <t>flooding incident</t>
  </si>
  <si>
    <t>Due to a flooding incident</t>
  </si>
  <si>
    <t>forecast</t>
  </si>
  <si>
    <t>economic forecasts</t>
  </si>
  <si>
    <t>fraud</t>
  </si>
  <si>
    <t>a victim of bank fraud</t>
  </si>
  <si>
    <t>free agent</t>
  </si>
  <si>
    <t>become a free agent</t>
  </si>
  <si>
    <t>free speech</t>
  </si>
  <si>
    <t>the right to free speech</t>
  </si>
  <si>
    <t>freelance work</t>
  </si>
  <si>
    <t>find freelance work</t>
  </si>
  <si>
    <t>fund-raising</t>
  </si>
  <si>
    <t>fund-raising event</t>
  </si>
  <si>
    <t>garment</t>
  </si>
  <si>
    <t>alter garments</t>
  </si>
  <si>
    <t>go bankrupt</t>
  </si>
  <si>
    <t>the theater company went bankrupt</t>
  </si>
  <si>
    <t>greenhouse</t>
  </si>
  <si>
    <t>recommended inside greenhouses</t>
  </si>
  <si>
    <t>hand out</t>
  </si>
  <si>
    <t>hand out brochures</t>
  </si>
  <si>
    <t>high-definition</t>
  </si>
  <si>
    <t>high-definition screen</t>
  </si>
  <si>
    <t>hold the onions</t>
  </si>
  <si>
    <t>asked the server to hold the onions</t>
  </si>
  <si>
    <t>homeless</t>
  </si>
  <si>
    <t>homeless families</t>
  </si>
  <si>
    <t>humidity</t>
  </si>
  <si>
    <t>extremely low humidity</t>
  </si>
  <si>
    <t>in one's place</t>
  </si>
  <si>
    <t>deliver the presentation in my place</t>
  </si>
  <si>
    <t>in-house</t>
  </si>
  <si>
    <t>in-house staff</t>
  </si>
  <si>
    <t>independence</t>
  </si>
  <si>
    <t>gain independence</t>
  </si>
  <si>
    <t>vital ingredients</t>
  </si>
  <si>
    <t>inquire</t>
  </si>
  <si>
    <t>inquired previously</t>
  </si>
  <si>
    <t>internet-enabled</t>
  </si>
  <si>
    <t>internet-enabled device</t>
  </si>
  <si>
    <t>interpretation</t>
  </si>
  <si>
    <t>alternative interpretation</t>
  </si>
  <si>
    <t>introductory</t>
  </si>
  <si>
    <t>introductory course</t>
  </si>
  <si>
    <t>investigation</t>
  </si>
  <si>
    <t>under investigation</t>
  </si>
  <si>
    <t>job posting</t>
  </si>
  <si>
    <t>the part-time job posting</t>
  </si>
  <si>
    <t>kindergartener</t>
  </si>
  <si>
    <t>kindergarteners</t>
  </si>
  <si>
    <t>life span</t>
  </si>
  <si>
    <t>long life spans</t>
  </si>
  <si>
    <t>live-in nanny</t>
  </si>
  <si>
    <t>seeking a full-time, live-in nanny</t>
  </si>
  <si>
    <t>livestock</t>
  </si>
  <si>
    <t>death of livestock</t>
  </si>
  <si>
    <t>look into</t>
  </si>
  <si>
    <t>looked into a private school</t>
  </si>
  <si>
    <t>look no further</t>
  </si>
  <si>
    <t>Look no further</t>
  </si>
  <si>
    <t>losing streak</t>
  </si>
  <si>
    <t>extended their losing streak</t>
  </si>
  <si>
    <t>opportunities to the masses</t>
  </si>
  <si>
    <t>masterpiece</t>
  </si>
  <si>
    <t>literary masterpiece</t>
  </si>
  <si>
    <t>means of</t>
  </si>
  <si>
    <t>means of transportation</t>
  </si>
  <si>
    <t>meatless dishes</t>
  </si>
  <si>
    <t>include more meatless dishes</t>
  </si>
  <si>
    <t>medium-sized</t>
  </si>
  <si>
    <t>medium-sized business</t>
  </si>
  <si>
    <t>mental capacity</t>
  </si>
  <si>
    <t>mental capacity of modern humans</t>
  </si>
  <si>
    <t>middle-class</t>
  </si>
  <si>
    <t>middle-class families</t>
  </si>
  <si>
    <t>molecule</t>
  </si>
  <si>
    <t>water molecules</t>
  </si>
  <si>
    <t>mounted</t>
  </si>
  <si>
    <t>pump mounted on a carriage</t>
  </si>
  <si>
    <t>mouthwatering</t>
  </si>
  <si>
    <t>mouthwatering vegetarian burgers</t>
  </si>
  <si>
    <t>nominee</t>
  </si>
  <si>
    <t>besting other nominees</t>
  </si>
  <si>
    <t>online stream</t>
  </si>
  <si>
    <t>watched online streams</t>
  </si>
  <si>
    <t>parking restrictions</t>
  </si>
  <si>
    <t>parking restrictions will be in place</t>
  </si>
  <si>
    <t>participate</t>
  </si>
  <si>
    <t>participate in a competition</t>
  </si>
  <si>
    <t>periodically</t>
  </si>
  <si>
    <t>updated periodically</t>
  </si>
  <si>
    <t>playwright</t>
  </si>
  <si>
    <t>poet and playwright</t>
  </si>
  <si>
    <t>population</t>
  </si>
  <si>
    <t>bird populations</t>
  </si>
  <si>
    <t>promotional</t>
  </si>
  <si>
    <t>promotional materials</t>
  </si>
  <si>
    <t>property investment</t>
  </si>
  <si>
    <t>Property investment is the quickest path</t>
  </si>
  <si>
    <t>psychological</t>
  </si>
  <si>
    <t>psychological effects</t>
  </si>
  <si>
    <t>public auction</t>
  </si>
  <si>
    <t>Notice of Public Auction</t>
  </si>
  <si>
    <t>scientific publication</t>
  </si>
  <si>
    <t>put up for sale</t>
  </si>
  <si>
    <t>put the property up for sale</t>
  </si>
  <si>
    <t>quick-charging</t>
  </si>
  <si>
    <t>quick-charging device</t>
  </si>
  <si>
    <t>raise funds</t>
  </si>
  <si>
    <t>as a means of raising funds</t>
  </si>
  <si>
    <t>during the economic recession</t>
  </si>
  <si>
    <t>points can be redeemed for purchases</t>
  </si>
  <si>
    <t>regain independence</t>
  </si>
  <si>
    <t>regained independence from Sweden</t>
  </si>
  <si>
    <t>register for</t>
  </si>
  <si>
    <t>register for the primary</t>
  </si>
  <si>
    <t>reluctantly</t>
  </si>
  <si>
    <t>reluctantly accepted</t>
  </si>
  <si>
    <t>rematch</t>
  </si>
  <si>
    <t>craved a rematch</t>
  </si>
  <si>
    <t>remotely</t>
  </si>
  <si>
    <t>controlled remotely</t>
  </si>
  <si>
    <t>responsibility</t>
  </si>
  <si>
    <t>take responsibility for</t>
  </si>
  <si>
    <t>resume renovations</t>
  </si>
  <si>
    <t>renovations will resume</t>
  </si>
  <si>
    <t>retirement</t>
  </si>
  <si>
    <t>fund a comfortable retirement</t>
  </si>
  <si>
    <t>self-control</t>
  </si>
  <si>
    <t>develop self-control</t>
  </si>
  <si>
    <t>sixteenth-century</t>
  </si>
  <si>
    <t>sixteenth-century Europe</t>
  </si>
  <si>
    <t>slip one's mind</t>
  </si>
  <si>
    <t>Sorry it slipped my mind.</t>
  </si>
  <si>
    <t>spokesperson</t>
  </si>
  <si>
    <t>company spokesperson</t>
  </si>
  <si>
    <t>step down from</t>
  </si>
  <si>
    <t>step down from her position</t>
  </si>
  <si>
    <t>subscription fee</t>
  </si>
  <si>
    <t>increase its monthly subscription fee</t>
  </si>
  <si>
    <t>supplement</t>
  </si>
  <si>
    <t>dietary supplements</t>
  </si>
  <si>
    <t>take charge</t>
  </si>
  <si>
    <t>I'd like you to take charge.</t>
  </si>
  <si>
    <t>take out a loan</t>
  </si>
  <si>
    <t>take out a government loan</t>
  </si>
  <si>
    <t>target audience</t>
  </si>
  <si>
    <t>PR strategy for its target audience</t>
  </si>
  <si>
    <t>the reverse</t>
  </si>
  <si>
    <t>The reverse was not true</t>
  </si>
  <si>
    <t>to date</t>
  </si>
  <si>
    <t>our thickest bar to date</t>
  </si>
  <si>
    <t>trade fair</t>
  </si>
  <si>
    <t>at a trade fair</t>
  </si>
  <si>
    <t>financial transactions</t>
  </si>
  <si>
    <t>turn into reality</t>
  </si>
  <si>
    <t>turn your dreams into reality</t>
  </si>
  <si>
    <t>turning to surgery</t>
  </si>
  <si>
    <t>before turning to surgery</t>
  </si>
  <si>
    <t>uncontrolled</t>
  </si>
  <si>
    <t>uncontrolled growth</t>
  </si>
  <si>
    <t>uniform policy</t>
  </si>
  <si>
    <t>wear uniforms</t>
  </si>
  <si>
    <t>waste output</t>
  </si>
  <si>
    <t>reduce your waste output</t>
  </si>
  <si>
    <t>wildlife center</t>
  </si>
  <si>
    <t>at a wildlife center</t>
  </si>
  <si>
    <t>work-life balance</t>
  </si>
  <si>
    <t>commitment to work-life balance</t>
  </si>
  <si>
    <t>wow factor</t>
  </si>
  <si>
    <t>the wow factor of the first encounter</t>
  </si>
  <si>
    <t>by its scent</t>
  </si>
  <si>
    <t>track prey by its scent</t>
  </si>
  <si>
    <t>closing temporarily for renovations</t>
  </si>
  <si>
    <t>temporary closure / renovation work</t>
  </si>
  <si>
    <t>daycare</t>
  </si>
  <si>
    <t>enroll the baby in daycare</t>
  </si>
  <si>
    <t>feast</t>
  </si>
  <si>
    <t>Thanksgiving feast</t>
  </si>
  <si>
    <t>in the long run</t>
  </si>
  <si>
    <t>cost more in the long run</t>
  </si>
  <si>
    <t>intend to</t>
  </si>
  <si>
    <t>intend to add / intend to improve</t>
  </si>
  <si>
    <t>long-distance relationship</t>
  </si>
  <si>
    <t>be in a long-distance relationship</t>
  </si>
  <si>
    <t>prevent A from -ing</t>
  </si>
  <si>
    <t>prevent gas from spreading</t>
  </si>
  <si>
    <t>ripen</t>
  </si>
  <si>
    <t>as bananas ripen</t>
  </si>
  <si>
    <t>take seriously</t>
  </si>
  <si>
    <t>views are taken seriously</t>
  </si>
  <si>
    <r>
      <t>단어</t>
    </r>
    <r>
      <rPr>
        <b/>
        <sz val="10"/>
        <rFont val="Carlito"/>
        <family val="2"/>
      </rPr>
      <t>·</t>
    </r>
    <r>
      <rPr>
        <b/>
        <sz val="10"/>
        <rFont val="Carlito"/>
      </rPr>
      <t>숙어</t>
    </r>
  </si>
  <si>
    <r>
      <t>한국어</t>
    </r>
    <r>
      <rPr>
        <b/>
        <sz val="10"/>
        <rFont val="Carlito"/>
        <family val="2"/>
      </rPr>
      <t xml:space="preserve"> </t>
    </r>
    <r>
      <rPr>
        <b/>
        <sz val="10"/>
        <rFont val="Carlito"/>
      </rPr>
      <t>뜻</t>
    </r>
  </si>
  <si>
    <r>
      <t>함께</t>
    </r>
    <r>
      <rPr>
        <b/>
        <sz val="10"/>
        <rFont val="Carlito"/>
        <family val="2"/>
      </rPr>
      <t xml:space="preserve"> </t>
    </r>
    <r>
      <rPr>
        <b/>
        <sz val="10"/>
        <rFont val="Carlito"/>
      </rPr>
      <t>외울</t>
    </r>
    <r>
      <rPr>
        <b/>
        <sz val="10"/>
        <rFont val="Carlito"/>
        <family val="2"/>
      </rPr>
      <t xml:space="preserve"> </t>
    </r>
    <r>
      <rPr>
        <b/>
        <sz val="10"/>
        <rFont val="Carlito"/>
      </rPr>
      <t>표현</t>
    </r>
  </si>
  <si>
    <r>
      <rPr>
        <sz val="10"/>
        <rFont val="Carlito"/>
      </rPr>
      <t>찬사</t>
    </r>
    <r>
      <rPr>
        <sz val="10"/>
        <rFont val="Carlito"/>
        <family val="2"/>
      </rPr>
      <t xml:space="preserve">, </t>
    </r>
    <r>
      <rPr>
        <sz val="10"/>
        <rFont val="Carlito"/>
      </rPr>
      <t>수상</t>
    </r>
  </si>
  <si>
    <r>
      <t>~</t>
    </r>
    <r>
      <rPr>
        <sz val="10"/>
        <rFont val="Carlito"/>
      </rPr>
      <t>을</t>
    </r>
    <r>
      <rPr>
        <sz val="10"/>
        <rFont val="Carlito"/>
        <family val="2"/>
      </rPr>
      <t xml:space="preserve"> </t>
    </r>
    <r>
      <rPr>
        <sz val="10"/>
        <rFont val="Carlito"/>
      </rPr>
      <t>준수하다</t>
    </r>
  </si>
  <si>
    <r>
      <rPr>
        <sz val="10"/>
        <rFont val="Carlito"/>
      </rPr>
      <t>기준</t>
    </r>
    <r>
      <rPr>
        <sz val="10"/>
        <rFont val="Carlito"/>
        <family val="2"/>
      </rPr>
      <t xml:space="preserve"> </t>
    </r>
    <r>
      <rPr>
        <sz val="10"/>
        <rFont val="Carlito"/>
      </rPr>
      <t>준수</t>
    </r>
  </si>
  <si>
    <r>
      <rPr>
        <sz val="10"/>
        <rFont val="Carlito"/>
      </rPr>
      <t>훈계하다</t>
    </r>
    <r>
      <rPr>
        <sz val="10"/>
        <rFont val="Carlito"/>
        <family val="2"/>
      </rPr>
      <t xml:space="preserve">, </t>
    </r>
    <r>
      <rPr>
        <sz val="10"/>
        <rFont val="Carlito"/>
      </rPr>
      <t>꾸짖다</t>
    </r>
  </si>
  <si>
    <r>
      <rPr>
        <sz val="10"/>
        <rFont val="Carlito"/>
      </rPr>
      <t>출현</t>
    </r>
    <r>
      <rPr>
        <sz val="10"/>
        <rFont val="Carlito"/>
        <family val="2"/>
      </rPr>
      <t xml:space="preserve">, </t>
    </r>
    <r>
      <rPr>
        <sz val="10"/>
        <rFont val="Carlito"/>
      </rPr>
      <t>도래</t>
    </r>
  </si>
  <si>
    <r>
      <rPr>
        <sz val="10"/>
        <rFont val="Carlito"/>
      </rPr>
      <t>모욕</t>
    </r>
    <r>
      <rPr>
        <sz val="10"/>
        <rFont val="Carlito"/>
        <family val="2"/>
      </rPr>
      <t xml:space="preserve">, </t>
    </r>
    <r>
      <rPr>
        <sz val="10"/>
        <rFont val="Carlito"/>
      </rPr>
      <t>모독</t>
    </r>
  </si>
  <si>
    <r>
      <rPr>
        <sz val="10"/>
        <rFont val="Carlito"/>
      </rPr>
      <t>부당한</t>
    </r>
    <r>
      <rPr>
        <sz val="10"/>
        <rFont val="Carlito"/>
        <family val="2"/>
      </rPr>
      <t xml:space="preserve"> </t>
    </r>
    <r>
      <rPr>
        <sz val="10"/>
        <rFont val="Carlito"/>
      </rPr>
      <t>일을</t>
    </r>
    <r>
      <rPr>
        <sz val="10"/>
        <rFont val="Carlito"/>
        <family val="2"/>
      </rPr>
      <t xml:space="preserve"> </t>
    </r>
    <r>
      <rPr>
        <sz val="10"/>
        <rFont val="Carlito"/>
      </rPr>
      <t>당한</t>
    </r>
    <r>
      <rPr>
        <sz val="10"/>
        <rFont val="Carlito"/>
        <family val="2"/>
      </rPr>
      <t xml:space="preserve">, </t>
    </r>
    <r>
      <rPr>
        <sz val="10"/>
        <rFont val="Carlito"/>
      </rPr>
      <t>억울한</t>
    </r>
  </si>
  <si>
    <r>
      <rPr>
        <sz val="10"/>
        <rFont val="Carlito"/>
      </rPr>
      <t>조류</t>
    </r>
    <r>
      <rPr>
        <sz val="10"/>
        <rFont val="Carlito"/>
        <family val="2"/>
      </rPr>
      <t xml:space="preserve"> </t>
    </r>
    <r>
      <rPr>
        <sz val="10"/>
        <rFont val="Carlito"/>
      </rPr>
      <t>대번식</t>
    </r>
  </si>
  <si>
    <r>
      <rPr>
        <sz val="10"/>
        <rFont val="Carlito"/>
      </rPr>
      <t>멀어지게</t>
    </r>
    <r>
      <rPr>
        <sz val="10"/>
        <rFont val="Carlito"/>
        <family val="2"/>
      </rPr>
      <t xml:space="preserve"> </t>
    </r>
    <r>
      <rPr>
        <sz val="10"/>
        <rFont val="Carlito"/>
      </rPr>
      <t>하다</t>
    </r>
    <r>
      <rPr>
        <sz val="10"/>
        <rFont val="Carlito"/>
        <family val="2"/>
      </rPr>
      <t xml:space="preserve">, </t>
    </r>
    <r>
      <rPr>
        <sz val="10"/>
        <rFont val="Carlito"/>
      </rPr>
      <t>반감을</t>
    </r>
    <r>
      <rPr>
        <sz val="10"/>
        <rFont val="Carlito"/>
        <family val="2"/>
      </rPr>
      <t xml:space="preserve"> </t>
    </r>
    <r>
      <rPr>
        <sz val="10"/>
        <rFont val="Carlito"/>
      </rPr>
      <t>사다</t>
    </r>
  </si>
  <si>
    <r>
      <rPr>
        <sz val="10"/>
        <rFont val="Carlito"/>
      </rPr>
      <t>알레르기</t>
    </r>
    <r>
      <rPr>
        <sz val="10"/>
        <rFont val="Carlito"/>
        <family val="2"/>
      </rPr>
      <t xml:space="preserve"> </t>
    </r>
    <r>
      <rPr>
        <sz val="10"/>
        <rFont val="Carlito"/>
      </rPr>
      <t>유발</t>
    </r>
    <r>
      <rPr>
        <sz val="10"/>
        <rFont val="Carlito"/>
        <family val="2"/>
      </rPr>
      <t xml:space="preserve"> </t>
    </r>
    <r>
      <rPr>
        <sz val="10"/>
        <rFont val="Carlito"/>
      </rPr>
      <t>물질</t>
    </r>
  </si>
  <si>
    <r>
      <rPr>
        <sz val="10"/>
        <rFont val="Carlito"/>
      </rPr>
      <t>모호함</t>
    </r>
    <r>
      <rPr>
        <sz val="10"/>
        <rFont val="Carlito"/>
        <family val="2"/>
      </rPr>
      <t xml:space="preserve">, </t>
    </r>
    <r>
      <rPr>
        <sz val="10"/>
        <rFont val="Carlito"/>
      </rPr>
      <t>중의성</t>
    </r>
    <r>
      <rPr>
        <sz val="10"/>
        <rFont val="Carlito"/>
        <family val="2"/>
      </rPr>
      <t xml:space="preserve"> / </t>
    </r>
    <r>
      <rPr>
        <sz val="10"/>
        <rFont val="Carlito"/>
      </rPr>
      <t>모호함</t>
    </r>
  </si>
  <si>
    <r>
      <rPr>
        <sz val="10"/>
        <rFont val="Carlito"/>
      </rPr>
      <t>이례적</t>
    </r>
    <r>
      <rPr>
        <sz val="10"/>
        <rFont val="Carlito"/>
        <family val="2"/>
      </rPr>
      <t xml:space="preserve"> </t>
    </r>
    <r>
      <rPr>
        <sz val="10"/>
        <rFont val="Carlito"/>
      </rPr>
      <t>현상</t>
    </r>
  </si>
  <si>
    <r>
      <rPr>
        <sz val="10"/>
        <rFont val="Carlito"/>
      </rPr>
      <t>반유대주의</t>
    </r>
  </si>
  <si>
    <r>
      <rPr>
        <sz val="10"/>
        <rFont val="Carlito"/>
      </rPr>
      <t>매우</t>
    </r>
    <r>
      <rPr>
        <sz val="10"/>
        <rFont val="Carlito"/>
        <family val="2"/>
      </rPr>
      <t xml:space="preserve"> </t>
    </r>
    <r>
      <rPr>
        <sz val="10"/>
        <rFont val="Carlito"/>
      </rPr>
      <t>위생적인</t>
    </r>
    <r>
      <rPr>
        <sz val="10"/>
        <rFont val="Carlito"/>
        <family val="2"/>
      </rPr>
      <t xml:space="preserve">; </t>
    </r>
    <r>
      <rPr>
        <sz val="10"/>
        <rFont val="Carlito"/>
      </rPr>
      <t>살균의</t>
    </r>
    <r>
      <rPr>
        <sz val="10"/>
        <rFont val="Carlito"/>
        <family val="2"/>
      </rPr>
      <t xml:space="preserve"> / </t>
    </r>
    <r>
      <rPr>
        <sz val="10"/>
        <rFont val="Carlito"/>
      </rPr>
      <t>소독제의</t>
    </r>
    <r>
      <rPr>
        <sz val="10"/>
        <rFont val="Carlito"/>
        <family val="2"/>
      </rPr>
      <t xml:space="preserve">; </t>
    </r>
    <r>
      <rPr>
        <sz val="10"/>
        <rFont val="Carlito"/>
      </rPr>
      <t>방부제</t>
    </r>
  </si>
  <si>
    <r>
      <rPr>
        <sz val="10"/>
        <rFont val="Carlito"/>
      </rPr>
      <t>명칭</t>
    </r>
    <r>
      <rPr>
        <sz val="10"/>
        <rFont val="Carlito"/>
        <family val="2"/>
      </rPr>
      <t xml:space="preserve">, </t>
    </r>
    <r>
      <rPr>
        <sz val="10"/>
        <rFont val="Carlito"/>
      </rPr>
      <t>호칭</t>
    </r>
  </si>
  <si>
    <r>
      <rPr>
        <sz val="10"/>
        <rFont val="Carlito"/>
      </rPr>
      <t>취향의</t>
    </r>
    <r>
      <rPr>
        <sz val="10"/>
        <rFont val="Carlito"/>
        <family val="2"/>
      </rPr>
      <t xml:space="preserve"> </t>
    </r>
    <r>
      <rPr>
        <sz val="10"/>
        <rFont val="Carlito"/>
      </rPr>
      <t>심판자</t>
    </r>
  </si>
  <si>
    <r>
      <rPr>
        <sz val="10"/>
        <rFont val="Carlito"/>
      </rPr>
      <t>자의적인</t>
    </r>
    <r>
      <rPr>
        <sz val="10"/>
        <rFont val="Carlito"/>
        <family val="2"/>
      </rPr>
      <t xml:space="preserve">, </t>
    </r>
    <r>
      <rPr>
        <sz val="10"/>
        <rFont val="Carlito"/>
      </rPr>
      <t>임의의</t>
    </r>
  </si>
  <si>
    <r>
      <rPr>
        <sz val="10"/>
        <rFont val="Carlito"/>
      </rPr>
      <t>고대의</t>
    </r>
    <r>
      <rPr>
        <sz val="10"/>
        <rFont val="Carlito"/>
        <family val="2"/>
      </rPr>
      <t xml:space="preserve">, </t>
    </r>
    <r>
      <rPr>
        <sz val="10"/>
        <rFont val="Carlito"/>
      </rPr>
      <t>낡은</t>
    </r>
  </si>
  <si>
    <r>
      <rPr>
        <sz val="10"/>
        <rFont val="Carlito"/>
      </rPr>
      <t>건조한</t>
    </r>
  </si>
  <si>
    <r>
      <rPr>
        <sz val="10"/>
        <rFont val="Carlito"/>
      </rPr>
      <t>인위성</t>
    </r>
    <r>
      <rPr>
        <sz val="10"/>
        <rFont val="Carlito"/>
        <family val="2"/>
      </rPr>
      <t xml:space="preserve">, </t>
    </r>
    <r>
      <rPr>
        <sz val="10"/>
        <rFont val="Carlito"/>
      </rPr>
      <t>기교</t>
    </r>
  </si>
  <si>
    <r>
      <rPr>
        <sz val="10"/>
        <rFont val="Carlito"/>
      </rPr>
      <t>왕위에</t>
    </r>
    <r>
      <rPr>
        <sz val="10"/>
        <rFont val="Carlito"/>
        <family val="2"/>
      </rPr>
      <t xml:space="preserve"> </t>
    </r>
    <r>
      <rPr>
        <sz val="10"/>
        <rFont val="Carlito"/>
      </rPr>
      <t>오르다</t>
    </r>
  </si>
  <si>
    <r>
      <t>~</t>
    </r>
    <r>
      <rPr>
        <sz val="10"/>
        <rFont val="Carlito"/>
      </rPr>
      <t>에</t>
    </r>
    <r>
      <rPr>
        <sz val="10"/>
        <rFont val="Carlito"/>
        <family val="2"/>
      </rPr>
      <t xml:space="preserve"> </t>
    </r>
    <r>
      <rPr>
        <sz val="10"/>
        <rFont val="Carlito"/>
      </rPr>
      <t>비중</t>
    </r>
    <r>
      <rPr>
        <sz val="10"/>
        <rFont val="Carlito"/>
        <family val="2"/>
      </rPr>
      <t>/</t>
    </r>
    <r>
      <rPr>
        <sz val="10"/>
        <rFont val="Carlito"/>
      </rPr>
      <t>중요성을</t>
    </r>
    <r>
      <rPr>
        <sz val="10"/>
        <rFont val="Carlito"/>
        <family val="2"/>
      </rPr>
      <t xml:space="preserve"> </t>
    </r>
    <r>
      <rPr>
        <sz val="10"/>
        <rFont val="Carlito"/>
      </rPr>
      <t>두다</t>
    </r>
  </si>
  <si>
    <r>
      <rPr>
        <sz val="10"/>
        <rFont val="Carlito"/>
      </rPr>
      <t>근본적으로는</t>
    </r>
  </si>
  <si>
    <r>
      <t>~</t>
    </r>
    <r>
      <rPr>
        <sz val="10"/>
        <rFont val="Carlito"/>
      </rPr>
      <t>의</t>
    </r>
    <r>
      <rPr>
        <sz val="10"/>
        <rFont val="Carlito"/>
        <family val="2"/>
      </rPr>
      <t xml:space="preserve"> </t>
    </r>
    <r>
      <rPr>
        <sz val="10"/>
        <rFont val="Carlito"/>
      </rPr>
      <t>요청으로</t>
    </r>
  </si>
  <si>
    <r>
      <t>~</t>
    </r>
    <r>
      <rPr>
        <sz val="10"/>
        <rFont val="Carlito"/>
      </rPr>
      <t>의</t>
    </r>
    <r>
      <rPr>
        <sz val="10"/>
        <rFont val="Carlito"/>
        <family val="2"/>
      </rPr>
      <t xml:space="preserve"> </t>
    </r>
    <r>
      <rPr>
        <sz val="10"/>
        <rFont val="Carlito"/>
      </rPr>
      <t>재량에</t>
    </r>
    <r>
      <rPr>
        <sz val="10"/>
        <rFont val="Carlito"/>
        <family val="2"/>
      </rPr>
      <t xml:space="preserve"> </t>
    </r>
    <r>
      <rPr>
        <sz val="10"/>
        <rFont val="Carlito"/>
      </rPr>
      <t>맡겨</t>
    </r>
  </si>
  <si>
    <r>
      <rPr>
        <sz val="10"/>
        <rFont val="Carlito"/>
      </rPr>
      <t>지휘권을</t>
    </r>
    <r>
      <rPr>
        <sz val="10"/>
        <rFont val="Carlito"/>
        <family val="2"/>
      </rPr>
      <t xml:space="preserve"> </t>
    </r>
    <r>
      <rPr>
        <sz val="10"/>
        <rFont val="Carlito"/>
      </rPr>
      <t>잡고</t>
    </r>
  </si>
  <si>
    <r>
      <rPr>
        <sz val="10"/>
        <rFont val="Carlito"/>
      </rPr>
      <t>죽상동맥경화증</t>
    </r>
  </si>
  <si>
    <r>
      <rPr>
        <sz val="10"/>
        <rFont val="Carlito"/>
      </rPr>
      <t>원자론적</t>
    </r>
    <r>
      <rPr>
        <sz val="10"/>
        <rFont val="Carlito"/>
        <family val="2"/>
      </rPr>
      <t xml:space="preserve"> </t>
    </r>
    <r>
      <rPr>
        <sz val="10"/>
        <rFont val="Carlito"/>
      </rPr>
      <t>세계관</t>
    </r>
  </si>
  <si>
    <r>
      <rPr>
        <sz val="10"/>
        <rFont val="Carlito"/>
      </rPr>
      <t>비정상적으로</t>
    </r>
  </si>
  <si>
    <r>
      <rPr>
        <sz val="10"/>
        <rFont val="Carlito"/>
      </rPr>
      <t>자서전적인</t>
    </r>
  </si>
  <si>
    <r>
      <rPr>
        <sz val="10"/>
        <rFont val="Carlito"/>
      </rPr>
      <t>독재적인</t>
    </r>
    <r>
      <rPr>
        <sz val="10"/>
        <rFont val="Carlito"/>
        <family val="2"/>
      </rPr>
      <t xml:space="preserve">, </t>
    </r>
    <r>
      <rPr>
        <sz val="10"/>
        <rFont val="Carlito"/>
      </rPr>
      <t>전제적인</t>
    </r>
  </si>
  <si>
    <r>
      <rPr>
        <sz val="10"/>
        <rFont val="Carlito"/>
      </rPr>
      <t>열렬한</t>
    </r>
    <r>
      <rPr>
        <sz val="10"/>
        <rFont val="Carlito"/>
        <family val="2"/>
      </rPr>
      <t xml:space="preserve">, </t>
    </r>
    <r>
      <rPr>
        <sz val="10"/>
        <rFont val="Carlito"/>
      </rPr>
      <t>열심인</t>
    </r>
  </si>
  <si>
    <r>
      <rPr>
        <sz val="10"/>
        <rFont val="Carlito"/>
      </rPr>
      <t>세균학자</t>
    </r>
  </si>
  <si>
    <r>
      <rPr>
        <sz val="10"/>
        <rFont val="Carlito"/>
      </rPr>
      <t>구제</t>
    </r>
    <r>
      <rPr>
        <sz val="10"/>
        <rFont val="Carlito"/>
        <family val="2"/>
      </rPr>
      <t xml:space="preserve"> </t>
    </r>
    <r>
      <rPr>
        <sz val="10"/>
        <rFont val="Carlito"/>
      </rPr>
      <t>금융을</t>
    </r>
    <r>
      <rPr>
        <sz val="10"/>
        <rFont val="Carlito"/>
        <family val="2"/>
      </rPr>
      <t xml:space="preserve"> </t>
    </r>
    <r>
      <rPr>
        <sz val="10"/>
        <rFont val="Carlito"/>
      </rPr>
      <t>제공하다</t>
    </r>
  </si>
  <si>
    <r>
      <rPr>
        <sz val="10"/>
        <rFont val="Carlito"/>
      </rPr>
      <t>협상력</t>
    </r>
  </si>
  <si>
    <r>
      <t>~</t>
    </r>
    <r>
      <rPr>
        <sz val="10"/>
        <rFont val="Carlito"/>
      </rPr>
      <t>하는</t>
    </r>
    <r>
      <rPr>
        <sz val="10"/>
        <rFont val="Carlito"/>
        <family val="2"/>
      </rPr>
      <t xml:space="preserve"> </t>
    </r>
    <r>
      <rPr>
        <sz val="10"/>
        <rFont val="Carlito"/>
      </rPr>
      <t>것이</t>
    </r>
    <r>
      <rPr>
        <sz val="10"/>
        <rFont val="Carlito"/>
        <family val="2"/>
      </rPr>
      <t xml:space="preserve"> </t>
    </r>
    <r>
      <rPr>
        <sz val="10"/>
        <rFont val="Carlito"/>
      </rPr>
      <t>금지되다</t>
    </r>
  </si>
  <si>
    <r>
      <rPr>
        <sz val="10"/>
        <rFont val="Carlito"/>
      </rPr>
      <t>언론에서</t>
    </r>
    <r>
      <rPr>
        <sz val="10"/>
        <rFont val="Carlito"/>
        <family val="2"/>
      </rPr>
      <t xml:space="preserve"> </t>
    </r>
    <r>
      <rPr>
        <sz val="10"/>
        <rFont val="Carlito"/>
      </rPr>
      <t>강하게</t>
    </r>
    <r>
      <rPr>
        <sz val="10"/>
        <rFont val="Carlito"/>
        <family val="2"/>
      </rPr>
      <t xml:space="preserve"> </t>
    </r>
    <r>
      <rPr>
        <sz val="10"/>
        <rFont val="Carlito"/>
      </rPr>
      <t>비판받다</t>
    </r>
  </si>
  <si>
    <r>
      <rPr>
        <sz val="10"/>
        <rFont val="Carlito"/>
      </rPr>
      <t>비판에서</t>
    </r>
    <r>
      <rPr>
        <sz val="10"/>
        <rFont val="Carlito"/>
        <family val="2"/>
      </rPr>
      <t xml:space="preserve"> </t>
    </r>
    <r>
      <rPr>
        <sz val="10"/>
        <rFont val="Carlito"/>
      </rPr>
      <t>자유롭다</t>
    </r>
  </si>
  <si>
    <r>
      <t>~</t>
    </r>
    <r>
      <rPr>
        <sz val="10"/>
        <rFont val="Carlito"/>
      </rPr>
      <t>와</t>
    </r>
    <r>
      <rPr>
        <sz val="10"/>
        <rFont val="Carlito"/>
        <family val="2"/>
      </rPr>
      <t xml:space="preserve"> </t>
    </r>
    <r>
      <rPr>
        <sz val="10"/>
        <rFont val="Carlito"/>
      </rPr>
      <t>관련되다</t>
    </r>
    <r>
      <rPr>
        <sz val="10"/>
        <rFont val="Carlito"/>
        <family val="2"/>
      </rPr>
      <t xml:space="preserve">, </t>
    </r>
    <r>
      <rPr>
        <sz val="10"/>
        <rFont val="Carlito"/>
      </rPr>
      <t>연루되다</t>
    </r>
  </si>
  <si>
    <r>
      <t>~</t>
    </r>
    <r>
      <rPr>
        <sz val="10"/>
        <rFont val="Carlito"/>
      </rPr>
      <t>로</t>
    </r>
    <r>
      <rPr>
        <sz val="10"/>
        <rFont val="Carlito"/>
        <family val="2"/>
      </rPr>
      <t xml:space="preserve"> </t>
    </r>
    <r>
      <rPr>
        <sz val="10"/>
        <rFont val="Carlito"/>
      </rPr>
      <t>상쇄되다</t>
    </r>
  </si>
  <si>
    <r>
      <rPr>
        <sz val="10"/>
        <rFont val="Carlito"/>
      </rPr>
      <t>빚을</t>
    </r>
    <r>
      <rPr>
        <sz val="10"/>
        <rFont val="Carlito"/>
        <family val="2"/>
      </rPr>
      <t xml:space="preserve"> </t>
    </r>
    <r>
      <rPr>
        <sz val="10"/>
        <rFont val="Carlito"/>
      </rPr>
      <t>떠안다</t>
    </r>
  </si>
  <si>
    <r>
      <rPr>
        <sz val="10"/>
        <rFont val="Carlito"/>
      </rPr>
      <t>어딘가로</t>
    </r>
    <r>
      <rPr>
        <sz val="10"/>
        <rFont val="Carlito"/>
        <family val="2"/>
      </rPr>
      <t xml:space="preserve"> </t>
    </r>
    <r>
      <rPr>
        <sz val="10"/>
        <rFont val="Carlito"/>
      </rPr>
      <t>보내지다</t>
    </r>
  </si>
  <si>
    <r>
      <rPr>
        <sz val="10"/>
        <rFont val="Carlito"/>
      </rPr>
      <t>비판받다</t>
    </r>
    <r>
      <rPr>
        <sz val="10"/>
        <rFont val="Carlito"/>
        <family val="2"/>
      </rPr>
      <t xml:space="preserve">, </t>
    </r>
    <r>
      <rPr>
        <sz val="10"/>
        <rFont val="Carlito"/>
      </rPr>
      <t>질책받다</t>
    </r>
  </si>
  <si>
    <r>
      <rPr>
        <sz val="10"/>
        <rFont val="Carlito"/>
      </rPr>
      <t>입증하다</t>
    </r>
    <r>
      <rPr>
        <sz val="10"/>
        <rFont val="Carlito"/>
        <family val="2"/>
      </rPr>
      <t xml:space="preserve">, </t>
    </r>
    <r>
      <rPr>
        <sz val="10"/>
        <rFont val="Carlito"/>
      </rPr>
      <t>뒷받침하다</t>
    </r>
  </si>
  <si>
    <r>
      <rPr>
        <sz val="10"/>
        <rFont val="Carlito"/>
      </rPr>
      <t>수혜자</t>
    </r>
  </si>
  <si>
    <r>
      <rPr>
        <sz val="10"/>
        <rFont val="Carlito"/>
      </rPr>
      <t>구속력이</t>
    </r>
    <r>
      <rPr>
        <sz val="10"/>
        <rFont val="Carlito"/>
        <family val="2"/>
      </rPr>
      <t xml:space="preserve"> </t>
    </r>
    <r>
      <rPr>
        <sz val="10"/>
        <rFont val="Carlito"/>
      </rPr>
      <t>있는</t>
    </r>
  </si>
  <si>
    <r>
      <rPr>
        <sz val="10"/>
        <rFont val="Carlito"/>
      </rPr>
      <t>생분해성의</t>
    </r>
  </si>
  <si>
    <r>
      <rPr>
        <sz val="10"/>
        <rFont val="Carlito"/>
      </rPr>
      <t>초당적</t>
    </r>
    <r>
      <rPr>
        <sz val="10"/>
        <rFont val="Carlito"/>
        <family val="2"/>
      </rPr>
      <t xml:space="preserve"> </t>
    </r>
    <r>
      <rPr>
        <sz val="10"/>
        <rFont val="Carlito"/>
      </rPr>
      <t>협력</t>
    </r>
  </si>
  <si>
    <r>
      <rPr>
        <sz val="10"/>
        <rFont val="Carlito"/>
      </rPr>
      <t>강화하다</t>
    </r>
    <r>
      <rPr>
        <sz val="10"/>
        <rFont val="Carlito"/>
        <family val="2"/>
      </rPr>
      <t xml:space="preserve">, </t>
    </r>
    <r>
      <rPr>
        <sz val="10"/>
        <rFont val="Carlito"/>
      </rPr>
      <t>뒷받침하다</t>
    </r>
  </si>
  <si>
    <r>
      <rPr>
        <sz val="10"/>
        <rFont val="Carlito"/>
      </rPr>
      <t>골수</t>
    </r>
  </si>
  <si>
    <r>
      <rPr>
        <sz val="10"/>
        <rFont val="Carlito"/>
      </rPr>
      <t>새</t>
    </r>
    <r>
      <rPr>
        <sz val="10"/>
        <rFont val="Carlito"/>
        <family val="2"/>
      </rPr>
      <t xml:space="preserve"> </t>
    </r>
    <r>
      <rPr>
        <sz val="10"/>
        <rFont val="Carlito"/>
      </rPr>
      <t>영역을</t>
    </r>
    <r>
      <rPr>
        <sz val="10"/>
        <rFont val="Carlito"/>
        <family val="2"/>
      </rPr>
      <t xml:space="preserve"> </t>
    </r>
    <r>
      <rPr>
        <sz val="10"/>
        <rFont val="Carlito"/>
      </rPr>
      <t>개척하다</t>
    </r>
  </si>
  <si>
    <r>
      <t>~</t>
    </r>
    <r>
      <rPr>
        <sz val="10"/>
        <rFont val="Carlito"/>
      </rPr>
      <t>와</t>
    </r>
    <r>
      <rPr>
        <sz val="10"/>
        <rFont val="Carlito"/>
        <family val="2"/>
      </rPr>
      <t xml:space="preserve"> </t>
    </r>
    <r>
      <rPr>
        <sz val="10"/>
        <rFont val="Carlito"/>
      </rPr>
      <t>충돌하다</t>
    </r>
  </si>
  <si>
    <r>
      <rPr>
        <sz val="10"/>
        <rFont val="Carlito"/>
      </rPr>
      <t>지지하다</t>
    </r>
    <r>
      <rPr>
        <sz val="10"/>
        <rFont val="Carlito"/>
        <family val="2"/>
      </rPr>
      <t xml:space="preserve">, </t>
    </r>
    <r>
      <rPr>
        <sz val="10"/>
        <rFont val="Carlito"/>
      </rPr>
      <t>보강하다</t>
    </r>
  </si>
  <si>
    <r>
      <rPr>
        <sz val="10"/>
        <rFont val="Carlito"/>
      </rPr>
      <t>내규</t>
    </r>
    <r>
      <rPr>
        <sz val="10"/>
        <rFont val="Carlito"/>
        <family val="2"/>
      </rPr>
      <t xml:space="preserve">, </t>
    </r>
    <r>
      <rPr>
        <sz val="10"/>
        <rFont val="Carlito"/>
      </rPr>
      <t>정관</t>
    </r>
  </si>
  <si>
    <r>
      <rPr>
        <sz val="10"/>
        <rFont val="Carlito"/>
      </rPr>
      <t>칼로리</t>
    </r>
    <r>
      <rPr>
        <sz val="10"/>
        <rFont val="Carlito"/>
        <family val="2"/>
      </rPr>
      <t xml:space="preserve"> </t>
    </r>
    <r>
      <rPr>
        <sz val="10"/>
        <rFont val="Carlito"/>
      </rPr>
      <t>소모량</t>
    </r>
  </si>
  <si>
    <r>
      <rPr>
        <sz val="10"/>
        <rFont val="Carlito"/>
      </rPr>
      <t>입후보</t>
    </r>
  </si>
  <si>
    <r>
      <t>~</t>
    </r>
    <r>
      <rPr>
        <sz val="10"/>
        <rFont val="Carlito"/>
      </rPr>
      <t>을</t>
    </r>
    <r>
      <rPr>
        <sz val="10"/>
        <rFont val="Carlito"/>
        <family val="2"/>
      </rPr>
      <t xml:space="preserve"> </t>
    </r>
    <r>
      <rPr>
        <sz val="10"/>
        <rFont val="Carlito"/>
      </rPr>
      <t>이용하다</t>
    </r>
    <r>
      <rPr>
        <sz val="10"/>
        <rFont val="Carlito"/>
        <family val="2"/>
      </rPr>
      <t xml:space="preserve">, </t>
    </r>
    <r>
      <rPr>
        <sz val="10"/>
        <rFont val="Carlito"/>
      </rPr>
      <t>기회로</t>
    </r>
    <r>
      <rPr>
        <sz val="10"/>
        <rFont val="Carlito"/>
        <family val="2"/>
      </rPr>
      <t xml:space="preserve"> </t>
    </r>
    <r>
      <rPr>
        <sz val="10"/>
        <rFont val="Carlito"/>
      </rPr>
      <t>삼다</t>
    </r>
    <r>
      <rPr>
        <sz val="10"/>
        <rFont val="Carlito"/>
        <family val="2"/>
      </rPr>
      <t xml:space="preserve"> / ~</t>
    </r>
    <r>
      <rPr>
        <sz val="10"/>
        <rFont val="Carlito"/>
      </rPr>
      <t>을</t>
    </r>
    <r>
      <rPr>
        <sz val="10"/>
        <rFont val="Carlito"/>
        <family val="2"/>
      </rPr>
      <t xml:space="preserve"> </t>
    </r>
    <r>
      <rPr>
        <sz val="10"/>
        <rFont val="Carlito"/>
      </rPr>
      <t>활용하다</t>
    </r>
  </si>
  <si>
    <r>
      <t>~</t>
    </r>
    <r>
      <rPr>
        <sz val="10"/>
        <rFont val="Carlito"/>
      </rPr>
      <t>을</t>
    </r>
    <r>
      <rPr>
        <sz val="10"/>
        <rFont val="Carlito"/>
        <family val="2"/>
      </rPr>
      <t xml:space="preserve"> </t>
    </r>
    <r>
      <rPr>
        <sz val="10"/>
        <rFont val="Carlito"/>
      </rPr>
      <t>이용해</t>
    </r>
    <r>
      <rPr>
        <sz val="10"/>
        <rFont val="Carlito"/>
        <family val="2"/>
      </rPr>
      <t xml:space="preserve"> </t>
    </r>
    <r>
      <rPr>
        <sz val="10"/>
        <rFont val="Carlito"/>
      </rPr>
      <t>돈을</t>
    </r>
    <r>
      <rPr>
        <sz val="10"/>
        <rFont val="Carlito"/>
        <family val="2"/>
      </rPr>
      <t xml:space="preserve"> </t>
    </r>
    <r>
      <rPr>
        <sz val="10"/>
        <rFont val="Carlito"/>
      </rPr>
      <t>벌다</t>
    </r>
    <r>
      <rPr>
        <sz val="10"/>
        <rFont val="Carlito"/>
        <family val="2"/>
      </rPr>
      <t xml:space="preserve"> / ~</t>
    </r>
    <r>
      <rPr>
        <sz val="10"/>
        <rFont val="Carlito"/>
      </rPr>
      <t>을</t>
    </r>
    <r>
      <rPr>
        <sz val="10"/>
        <rFont val="Carlito"/>
        <family val="2"/>
      </rPr>
      <t xml:space="preserve"> </t>
    </r>
    <r>
      <rPr>
        <sz val="10"/>
        <rFont val="Carlito"/>
      </rPr>
      <t>이용해</t>
    </r>
    <r>
      <rPr>
        <sz val="10"/>
        <rFont val="Carlito"/>
        <family val="2"/>
      </rPr>
      <t xml:space="preserve"> </t>
    </r>
    <r>
      <rPr>
        <sz val="10"/>
        <rFont val="Carlito"/>
      </rPr>
      <t>돈벌이하다</t>
    </r>
  </si>
  <si>
    <r>
      <rPr>
        <sz val="10"/>
        <rFont val="Carlito"/>
      </rPr>
      <t>천체의</t>
    </r>
  </si>
  <si>
    <r>
      <rPr>
        <sz val="10"/>
        <rFont val="Carlito"/>
      </rPr>
      <t>셀리악병</t>
    </r>
  </si>
  <si>
    <r>
      <rPr>
        <sz val="10"/>
        <rFont val="Carlito"/>
      </rPr>
      <t>세포</t>
    </r>
    <r>
      <rPr>
        <sz val="10"/>
        <rFont val="Carlito"/>
        <family val="2"/>
      </rPr>
      <t xml:space="preserve"> </t>
    </r>
    <r>
      <rPr>
        <sz val="10"/>
        <rFont val="Carlito"/>
      </rPr>
      <t>농업</t>
    </r>
  </si>
  <si>
    <r>
      <rPr>
        <sz val="10"/>
        <rFont val="Carlito"/>
      </rPr>
      <t>중도파</t>
    </r>
    <r>
      <rPr>
        <sz val="10"/>
        <rFont val="Carlito"/>
        <family val="2"/>
      </rPr>
      <t xml:space="preserve">; </t>
    </r>
    <r>
      <rPr>
        <sz val="10"/>
        <rFont val="Carlito"/>
      </rPr>
      <t>중도적인</t>
    </r>
  </si>
  <si>
    <r>
      <rPr>
        <sz val="10"/>
        <rFont val="Carlito"/>
      </rPr>
      <t>명분을</t>
    </r>
    <r>
      <rPr>
        <sz val="10"/>
        <rFont val="Carlito"/>
        <family val="2"/>
      </rPr>
      <t xml:space="preserve"> </t>
    </r>
    <r>
      <rPr>
        <sz val="10"/>
        <rFont val="Carlito"/>
      </rPr>
      <t>지지하다</t>
    </r>
  </si>
  <si>
    <r>
      <rPr>
        <sz val="10"/>
        <rFont val="Carlito"/>
      </rPr>
      <t>연대순의</t>
    </r>
  </si>
  <si>
    <r>
      <rPr>
        <sz val="10"/>
        <rFont val="Carlito"/>
      </rPr>
      <t>우회하다</t>
    </r>
    <r>
      <rPr>
        <sz val="10"/>
        <rFont val="Carlito"/>
        <family val="2"/>
      </rPr>
      <t xml:space="preserve">, </t>
    </r>
    <r>
      <rPr>
        <sz val="10"/>
        <rFont val="Carlito"/>
      </rPr>
      <t>피하다</t>
    </r>
  </si>
  <si>
    <r>
      <rPr>
        <sz val="10"/>
        <rFont val="Carlito"/>
      </rPr>
      <t>우회</t>
    </r>
    <r>
      <rPr>
        <sz val="10"/>
        <rFont val="Carlito"/>
        <family val="2"/>
      </rPr>
      <t xml:space="preserve">, </t>
    </r>
    <r>
      <rPr>
        <sz val="10"/>
        <rFont val="Carlito"/>
      </rPr>
      <t>회피</t>
    </r>
  </si>
  <si>
    <r>
      <t>A</t>
    </r>
    <r>
      <rPr>
        <sz val="10"/>
        <rFont val="Carlito"/>
      </rPr>
      <t>를</t>
    </r>
    <r>
      <rPr>
        <sz val="10"/>
        <rFont val="Carlito"/>
        <family val="2"/>
      </rPr>
      <t xml:space="preserve"> B</t>
    </r>
    <r>
      <rPr>
        <sz val="10"/>
        <rFont val="Carlito"/>
      </rPr>
      <t>의</t>
    </r>
    <r>
      <rPr>
        <sz val="10"/>
        <rFont val="Carlito"/>
        <family val="2"/>
      </rPr>
      <t xml:space="preserve"> </t>
    </r>
    <r>
      <rPr>
        <sz val="10"/>
        <rFont val="Carlito"/>
      </rPr>
      <t>모습으로</t>
    </r>
    <r>
      <rPr>
        <sz val="10"/>
        <rFont val="Carlito"/>
        <family val="2"/>
      </rPr>
      <t xml:space="preserve"> </t>
    </r>
    <r>
      <rPr>
        <sz val="10"/>
        <rFont val="Carlito"/>
      </rPr>
      <t>감추다</t>
    </r>
  </si>
  <si>
    <r>
      <rPr>
        <sz val="10"/>
        <rFont val="Carlito"/>
      </rPr>
      <t>비공개</t>
    </r>
    <r>
      <rPr>
        <sz val="10"/>
        <rFont val="Carlito"/>
        <family val="2"/>
      </rPr>
      <t xml:space="preserve"> </t>
    </r>
    <r>
      <rPr>
        <sz val="10"/>
        <rFont val="Carlito"/>
      </rPr>
      <t>브리핑</t>
    </r>
  </si>
  <si>
    <r>
      <rPr>
        <sz val="10"/>
        <rFont val="Carlito"/>
      </rPr>
      <t>코덱스</t>
    </r>
    <r>
      <rPr>
        <sz val="10"/>
        <rFont val="Carlito"/>
        <family val="2"/>
      </rPr>
      <t xml:space="preserve">, </t>
    </r>
    <r>
      <rPr>
        <sz val="10"/>
        <rFont val="Carlito"/>
      </rPr>
      <t>책</t>
    </r>
    <r>
      <rPr>
        <sz val="10"/>
        <rFont val="Carlito"/>
        <family val="2"/>
      </rPr>
      <t xml:space="preserve"> </t>
    </r>
    <r>
      <rPr>
        <sz val="10"/>
        <rFont val="Carlito"/>
      </rPr>
      <t>형태의</t>
    </r>
    <r>
      <rPr>
        <sz val="10"/>
        <rFont val="Carlito"/>
        <family val="2"/>
      </rPr>
      <t xml:space="preserve"> </t>
    </r>
    <r>
      <rPr>
        <sz val="10"/>
        <rFont val="Carlito"/>
      </rPr>
      <t>고대</t>
    </r>
    <r>
      <rPr>
        <sz val="10"/>
        <rFont val="Carlito"/>
        <family val="2"/>
      </rPr>
      <t xml:space="preserve"> </t>
    </r>
    <r>
      <rPr>
        <sz val="10"/>
        <rFont val="Carlito"/>
      </rPr>
      <t>문서</t>
    </r>
  </si>
  <si>
    <r>
      <rPr>
        <sz val="10"/>
        <rFont val="Carlito"/>
      </rPr>
      <t>주화</t>
    </r>
    <r>
      <rPr>
        <sz val="10"/>
        <rFont val="Carlito"/>
        <family val="2"/>
      </rPr>
      <t xml:space="preserve">, </t>
    </r>
    <r>
      <rPr>
        <sz val="10"/>
        <rFont val="Carlito"/>
      </rPr>
      <t>화폐</t>
    </r>
    <r>
      <rPr>
        <sz val="10"/>
        <rFont val="Carlito"/>
        <family val="2"/>
      </rPr>
      <t xml:space="preserve"> </t>
    </r>
    <r>
      <rPr>
        <sz val="10"/>
        <rFont val="Carlito"/>
      </rPr>
      <t>제도</t>
    </r>
  </si>
  <si>
    <r>
      <t>~</t>
    </r>
    <r>
      <rPr>
        <sz val="10"/>
        <rFont val="Carlito"/>
      </rPr>
      <t>와</t>
    </r>
    <r>
      <rPr>
        <sz val="10"/>
        <rFont val="Carlito"/>
        <family val="2"/>
      </rPr>
      <t xml:space="preserve"> </t>
    </r>
    <r>
      <rPr>
        <sz val="10"/>
        <rFont val="Carlito"/>
      </rPr>
      <t>동시에</t>
    </r>
    <r>
      <rPr>
        <sz val="10"/>
        <rFont val="Carlito"/>
        <family val="2"/>
      </rPr>
      <t xml:space="preserve"> </t>
    </r>
    <r>
      <rPr>
        <sz val="10"/>
        <rFont val="Carlito"/>
      </rPr>
      <t>일어나다</t>
    </r>
  </si>
  <si>
    <r>
      <t>~</t>
    </r>
    <r>
      <rPr>
        <sz val="10"/>
        <rFont val="Carlito"/>
      </rPr>
      <t>로</t>
    </r>
    <r>
      <rPr>
        <sz val="10"/>
        <rFont val="Carlito"/>
        <family val="2"/>
      </rPr>
      <t xml:space="preserve"> </t>
    </r>
    <r>
      <rPr>
        <sz val="10"/>
        <rFont val="Carlito"/>
      </rPr>
      <t>구성되다</t>
    </r>
  </si>
  <si>
    <r>
      <rPr>
        <sz val="10"/>
        <rFont val="Carlito"/>
      </rPr>
      <t>동심원</t>
    </r>
  </si>
  <si>
    <r>
      <rPr>
        <sz val="10"/>
        <rFont val="Carlito"/>
      </rPr>
      <t>개념</t>
    </r>
    <r>
      <rPr>
        <sz val="10"/>
        <rFont val="Carlito"/>
        <family val="2"/>
      </rPr>
      <t xml:space="preserve">, </t>
    </r>
    <r>
      <rPr>
        <sz val="10"/>
        <rFont val="Carlito"/>
      </rPr>
      <t>이해</t>
    </r>
  </si>
  <si>
    <r>
      <rPr>
        <sz val="10"/>
        <rFont val="Carlito"/>
      </rPr>
      <t>개념화</t>
    </r>
  </si>
  <si>
    <r>
      <rPr>
        <sz val="10"/>
        <rFont val="Carlito"/>
      </rPr>
      <t>영업권자</t>
    </r>
  </si>
  <si>
    <r>
      <rPr>
        <sz val="10"/>
        <rFont val="Carlito"/>
      </rPr>
      <t>이야기를</t>
    </r>
    <r>
      <rPr>
        <sz val="10"/>
        <rFont val="Carlito"/>
        <family val="2"/>
      </rPr>
      <t xml:space="preserve"> </t>
    </r>
    <r>
      <rPr>
        <sz val="10"/>
        <rFont val="Carlito"/>
      </rPr>
      <t>꾸며내다</t>
    </r>
  </si>
  <si>
    <r>
      <rPr>
        <sz val="10"/>
        <rFont val="Carlito"/>
      </rPr>
      <t>응결하다</t>
    </r>
  </si>
  <si>
    <r>
      <rPr>
        <sz val="10"/>
        <rFont val="Carlito"/>
      </rPr>
      <t>배치</t>
    </r>
    <r>
      <rPr>
        <sz val="10"/>
        <rFont val="Carlito"/>
        <family val="2"/>
      </rPr>
      <t xml:space="preserve">, </t>
    </r>
    <r>
      <rPr>
        <sz val="10"/>
        <rFont val="Carlito"/>
      </rPr>
      <t>구성</t>
    </r>
  </si>
  <si>
    <r>
      <rPr>
        <sz val="10"/>
        <rFont val="Carlito"/>
      </rPr>
      <t>함축하다</t>
    </r>
  </si>
  <si>
    <r>
      <rPr>
        <sz val="10"/>
        <rFont val="Carlito"/>
      </rPr>
      <t>성실한</t>
    </r>
    <r>
      <rPr>
        <sz val="10"/>
        <rFont val="Carlito"/>
        <family val="2"/>
      </rPr>
      <t xml:space="preserve">, </t>
    </r>
    <r>
      <rPr>
        <sz val="10"/>
        <rFont val="Carlito"/>
      </rPr>
      <t>양심적인</t>
    </r>
  </si>
  <si>
    <r>
      <rPr>
        <sz val="10"/>
        <rFont val="Carlito"/>
      </rPr>
      <t>성실성</t>
    </r>
  </si>
  <si>
    <r>
      <rPr>
        <sz val="10"/>
        <rFont val="Carlito"/>
      </rPr>
      <t>감정을</t>
    </r>
    <r>
      <rPr>
        <sz val="10"/>
        <rFont val="Carlito"/>
        <family val="2"/>
      </rPr>
      <t xml:space="preserve"> </t>
    </r>
    <r>
      <rPr>
        <sz val="10"/>
        <rFont val="Carlito"/>
      </rPr>
      <t>억누르다</t>
    </r>
  </si>
  <si>
    <r>
      <rPr>
        <sz val="10"/>
        <rFont val="Carlito"/>
      </rPr>
      <t>오염</t>
    </r>
    <r>
      <rPr>
        <sz val="10"/>
        <rFont val="Carlito"/>
        <family val="2"/>
      </rPr>
      <t xml:space="preserve"> </t>
    </r>
    <r>
      <rPr>
        <sz val="10"/>
        <rFont val="Carlito"/>
      </rPr>
      <t>물질</t>
    </r>
  </si>
  <si>
    <r>
      <rPr>
        <sz val="10"/>
        <rFont val="Carlito"/>
      </rPr>
      <t>오염</t>
    </r>
  </si>
  <si>
    <r>
      <rPr>
        <sz val="10"/>
        <rFont val="Carlito"/>
      </rPr>
      <t>위반하다</t>
    </r>
  </si>
  <si>
    <r>
      <rPr>
        <sz val="10"/>
        <rFont val="Carlito"/>
      </rPr>
      <t>소집하다</t>
    </r>
    <r>
      <rPr>
        <sz val="10"/>
        <rFont val="Carlito"/>
        <family val="2"/>
      </rPr>
      <t xml:space="preserve">, </t>
    </r>
    <r>
      <rPr>
        <sz val="10"/>
        <rFont val="Carlito"/>
      </rPr>
      <t>모이다</t>
    </r>
  </si>
  <si>
    <r>
      <rPr>
        <sz val="10"/>
        <rFont val="Carlito"/>
      </rPr>
      <t>가격에</t>
    </r>
    <r>
      <rPr>
        <sz val="10"/>
        <rFont val="Carlito"/>
        <family val="2"/>
      </rPr>
      <t xml:space="preserve"> </t>
    </r>
    <r>
      <rPr>
        <sz val="10"/>
        <rFont val="Carlito"/>
      </rPr>
      <t>민감한</t>
    </r>
  </si>
  <si>
    <r>
      <rPr>
        <sz val="10"/>
        <rFont val="Carlito"/>
      </rPr>
      <t>반사실적</t>
    </r>
    <r>
      <rPr>
        <sz val="10"/>
        <rFont val="Carlito"/>
        <family val="2"/>
      </rPr>
      <t xml:space="preserve"> </t>
    </r>
    <r>
      <rPr>
        <sz val="10"/>
        <rFont val="Carlito"/>
      </rPr>
      <t>사고</t>
    </r>
  </si>
  <si>
    <r>
      <rPr>
        <sz val="10"/>
        <rFont val="Carlito"/>
      </rPr>
      <t>역효과를</t>
    </r>
    <r>
      <rPr>
        <sz val="10"/>
        <rFont val="Carlito"/>
        <family val="2"/>
      </rPr>
      <t xml:space="preserve"> </t>
    </r>
    <r>
      <rPr>
        <sz val="10"/>
        <rFont val="Carlito"/>
      </rPr>
      <t>내는</t>
    </r>
  </si>
  <si>
    <r>
      <rPr>
        <sz val="10"/>
        <rFont val="Carlito"/>
      </rPr>
      <t>정실주의</t>
    </r>
    <r>
      <rPr>
        <sz val="10"/>
        <rFont val="Carlito"/>
        <family val="2"/>
      </rPr>
      <t xml:space="preserve">, </t>
    </r>
    <r>
      <rPr>
        <sz val="10"/>
        <rFont val="Carlito"/>
      </rPr>
      <t>연고주의</t>
    </r>
  </si>
  <si>
    <r>
      <rPr>
        <sz val="10"/>
        <rFont val="Carlito"/>
      </rPr>
      <t>요리의</t>
    </r>
  </si>
  <si>
    <r>
      <rPr>
        <sz val="10"/>
        <rFont val="Carlito"/>
      </rPr>
      <t>열성</t>
    </r>
    <r>
      <rPr>
        <sz val="10"/>
        <rFont val="Carlito"/>
        <family val="2"/>
      </rPr>
      <t xml:space="preserve"> </t>
    </r>
    <r>
      <rPr>
        <sz val="10"/>
        <rFont val="Carlito"/>
      </rPr>
      <t>팬층을</t>
    </r>
    <r>
      <rPr>
        <sz val="10"/>
        <rFont val="Carlito"/>
        <family val="2"/>
      </rPr>
      <t xml:space="preserve"> </t>
    </r>
    <r>
      <rPr>
        <sz val="10"/>
        <rFont val="Carlito"/>
      </rPr>
      <t>가진</t>
    </r>
    <r>
      <rPr>
        <sz val="10"/>
        <rFont val="Carlito"/>
        <family val="2"/>
      </rPr>
      <t xml:space="preserve"> </t>
    </r>
    <r>
      <rPr>
        <sz val="10"/>
        <rFont val="Carlito"/>
      </rPr>
      <t>지위</t>
    </r>
  </si>
  <si>
    <r>
      <rPr>
        <sz val="10"/>
        <rFont val="Carlito"/>
      </rPr>
      <t>누적적으로</t>
    </r>
  </si>
  <si>
    <r>
      <rPr>
        <sz val="10"/>
        <rFont val="Carlito"/>
      </rPr>
      <t>적란운</t>
    </r>
  </si>
  <si>
    <r>
      <rPr>
        <sz val="10"/>
        <rFont val="Carlito"/>
      </rPr>
      <t>사이토카인</t>
    </r>
  </si>
  <si>
    <r>
      <rPr>
        <sz val="10"/>
        <rFont val="Carlito"/>
      </rPr>
      <t>데이터</t>
    </r>
    <r>
      <rPr>
        <sz val="10"/>
        <rFont val="Carlito"/>
        <family val="2"/>
      </rPr>
      <t xml:space="preserve"> </t>
    </r>
    <r>
      <rPr>
        <sz val="10"/>
        <rFont val="Carlito"/>
      </rPr>
      <t>피난처</t>
    </r>
    <r>
      <rPr>
        <sz val="10"/>
        <rFont val="Carlito"/>
        <family val="2"/>
      </rPr>
      <t xml:space="preserve">, </t>
    </r>
    <r>
      <rPr>
        <sz val="10"/>
        <rFont val="Carlito"/>
      </rPr>
      <t>규제</t>
    </r>
    <r>
      <rPr>
        <sz val="10"/>
        <rFont val="Carlito"/>
        <family val="2"/>
      </rPr>
      <t xml:space="preserve"> </t>
    </r>
    <r>
      <rPr>
        <sz val="10"/>
        <rFont val="Carlito"/>
      </rPr>
      <t>회피</t>
    </r>
    <r>
      <rPr>
        <sz val="10"/>
        <rFont val="Carlito"/>
        <family val="2"/>
      </rPr>
      <t xml:space="preserve"> </t>
    </r>
    <r>
      <rPr>
        <sz val="10"/>
        <rFont val="Carlito"/>
      </rPr>
      <t>저장망</t>
    </r>
  </si>
  <si>
    <r>
      <rPr>
        <sz val="10"/>
        <rFont val="Carlito"/>
      </rPr>
      <t>검색</t>
    </r>
    <r>
      <rPr>
        <sz val="10"/>
        <rFont val="Carlito"/>
        <family val="2"/>
      </rPr>
      <t xml:space="preserve"> </t>
    </r>
    <r>
      <rPr>
        <sz val="10"/>
        <rFont val="Carlito"/>
      </rPr>
      <t>색인에서</t>
    </r>
    <r>
      <rPr>
        <sz val="10"/>
        <rFont val="Carlito"/>
        <family val="2"/>
      </rPr>
      <t xml:space="preserve"> </t>
    </r>
    <r>
      <rPr>
        <sz val="10"/>
        <rFont val="Carlito"/>
      </rPr>
      <t>제거하다</t>
    </r>
  </si>
  <si>
    <r>
      <rPr>
        <sz val="10"/>
        <rFont val="Carlito"/>
      </rPr>
      <t>쇠약하게</t>
    </r>
    <r>
      <rPr>
        <sz val="10"/>
        <rFont val="Carlito"/>
        <family val="2"/>
      </rPr>
      <t xml:space="preserve"> </t>
    </r>
    <r>
      <rPr>
        <sz val="10"/>
        <rFont val="Carlito"/>
      </rPr>
      <t>하는</t>
    </r>
    <r>
      <rPr>
        <sz val="10"/>
        <rFont val="Carlito"/>
        <family val="2"/>
      </rPr>
      <t xml:space="preserve">; </t>
    </r>
    <r>
      <rPr>
        <sz val="10"/>
        <rFont val="Carlito"/>
      </rPr>
      <t>타격이</t>
    </r>
    <r>
      <rPr>
        <sz val="10"/>
        <rFont val="Carlito"/>
        <family val="2"/>
      </rPr>
      <t xml:space="preserve"> </t>
    </r>
    <r>
      <rPr>
        <sz val="10"/>
        <rFont val="Carlito"/>
      </rPr>
      <t>큰</t>
    </r>
  </si>
  <si>
    <r>
      <t>~</t>
    </r>
    <r>
      <rPr>
        <sz val="10"/>
        <rFont val="Carlito"/>
      </rPr>
      <t>로</t>
    </r>
    <r>
      <rPr>
        <sz val="10"/>
        <rFont val="Carlito"/>
        <family val="2"/>
      </rPr>
      <t xml:space="preserve"> </t>
    </r>
    <r>
      <rPr>
        <sz val="10"/>
        <rFont val="Carlito"/>
      </rPr>
      <t>탈당</t>
    </r>
    <r>
      <rPr>
        <sz val="10"/>
        <rFont val="Carlito"/>
        <family val="2"/>
      </rPr>
      <t>/</t>
    </r>
    <r>
      <rPr>
        <sz val="10"/>
        <rFont val="Carlito"/>
      </rPr>
      <t>이탈하다</t>
    </r>
  </si>
  <si>
    <r>
      <rPr>
        <sz val="10"/>
        <rFont val="Carlito"/>
      </rPr>
      <t>빗나가게</t>
    </r>
    <r>
      <rPr>
        <sz val="10"/>
        <rFont val="Carlito"/>
        <family val="2"/>
      </rPr>
      <t xml:space="preserve"> </t>
    </r>
    <r>
      <rPr>
        <sz val="10"/>
        <rFont val="Carlito"/>
      </rPr>
      <t>하다</t>
    </r>
    <r>
      <rPr>
        <sz val="10"/>
        <rFont val="Carlito"/>
        <family val="2"/>
      </rPr>
      <t xml:space="preserve">, </t>
    </r>
    <r>
      <rPr>
        <sz val="10"/>
        <rFont val="Carlito"/>
      </rPr>
      <t>막아내다</t>
    </r>
  </si>
  <si>
    <r>
      <rPr>
        <sz val="10"/>
        <rFont val="Carlito"/>
      </rPr>
      <t>삼림</t>
    </r>
    <r>
      <rPr>
        <sz val="10"/>
        <rFont val="Carlito"/>
        <family val="2"/>
      </rPr>
      <t xml:space="preserve"> </t>
    </r>
    <r>
      <rPr>
        <sz val="10"/>
        <rFont val="Carlito"/>
      </rPr>
      <t>벌채</t>
    </r>
  </si>
  <si>
    <r>
      <rPr>
        <sz val="10"/>
        <rFont val="Carlito"/>
      </rPr>
      <t>폐업한</t>
    </r>
    <r>
      <rPr>
        <sz val="10"/>
        <rFont val="Carlito"/>
        <family val="2"/>
      </rPr>
      <t xml:space="preserve">, </t>
    </r>
    <r>
      <rPr>
        <sz val="10"/>
        <rFont val="Carlito"/>
      </rPr>
      <t>더</t>
    </r>
    <r>
      <rPr>
        <sz val="10"/>
        <rFont val="Carlito"/>
        <family val="2"/>
      </rPr>
      <t xml:space="preserve"> </t>
    </r>
    <r>
      <rPr>
        <sz val="10"/>
        <rFont val="Carlito"/>
      </rPr>
      <t>이상</t>
    </r>
    <r>
      <rPr>
        <sz val="10"/>
        <rFont val="Carlito"/>
        <family val="2"/>
      </rPr>
      <t xml:space="preserve"> </t>
    </r>
    <r>
      <rPr>
        <sz val="10"/>
        <rFont val="Carlito"/>
      </rPr>
      <t>운영하지</t>
    </r>
    <r>
      <rPr>
        <sz val="10"/>
        <rFont val="Carlito"/>
        <family val="2"/>
      </rPr>
      <t xml:space="preserve"> </t>
    </r>
    <r>
      <rPr>
        <sz val="10"/>
        <rFont val="Carlito"/>
      </rPr>
      <t>않는</t>
    </r>
    <r>
      <rPr>
        <sz val="10"/>
        <rFont val="Carlito"/>
        <family val="2"/>
      </rPr>
      <t xml:space="preserve"> / </t>
    </r>
    <r>
      <rPr>
        <sz val="10"/>
        <rFont val="Carlito"/>
      </rPr>
      <t>더</t>
    </r>
    <r>
      <rPr>
        <sz val="10"/>
        <rFont val="Carlito"/>
        <family val="2"/>
      </rPr>
      <t xml:space="preserve"> </t>
    </r>
    <r>
      <rPr>
        <sz val="10"/>
        <rFont val="Carlito"/>
      </rPr>
      <t>이상</t>
    </r>
    <r>
      <rPr>
        <sz val="10"/>
        <rFont val="Carlito"/>
        <family val="2"/>
      </rPr>
      <t xml:space="preserve"> </t>
    </r>
    <r>
      <rPr>
        <sz val="10"/>
        <rFont val="Carlito"/>
      </rPr>
      <t>존재하지</t>
    </r>
    <r>
      <rPr>
        <sz val="10"/>
        <rFont val="Carlito"/>
        <family val="2"/>
      </rPr>
      <t xml:space="preserve"> </t>
    </r>
    <r>
      <rPr>
        <sz val="10"/>
        <rFont val="Carlito"/>
      </rPr>
      <t>않는</t>
    </r>
  </si>
  <si>
    <r>
      <rPr>
        <sz val="10"/>
        <rFont val="Carlito"/>
      </rPr>
      <t>숙고</t>
    </r>
    <r>
      <rPr>
        <sz val="10"/>
        <rFont val="Carlito"/>
        <family val="2"/>
      </rPr>
      <t xml:space="preserve">, </t>
    </r>
    <r>
      <rPr>
        <sz val="10"/>
        <rFont val="Carlito"/>
      </rPr>
      <t>신중한</t>
    </r>
    <r>
      <rPr>
        <sz val="10"/>
        <rFont val="Carlito"/>
        <family val="2"/>
      </rPr>
      <t xml:space="preserve"> </t>
    </r>
    <r>
      <rPr>
        <sz val="10"/>
        <rFont val="Carlito"/>
      </rPr>
      <t>논의</t>
    </r>
  </si>
  <si>
    <r>
      <rPr>
        <sz val="10"/>
        <rFont val="Carlito"/>
      </rPr>
      <t>흥행</t>
    </r>
    <r>
      <rPr>
        <sz val="10"/>
        <rFont val="Carlito"/>
        <family val="2"/>
      </rPr>
      <t xml:space="preserve"> </t>
    </r>
    <r>
      <rPr>
        <sz val="10"/>
        <rFont val="Carlito"/>
      </rPr>
      <t>성과를</t>
    </r>
    <r>
      <rPr>
        <sz val="10"/>
        <rFont val="Carlito"/>
        <family val="2"/>
      </rPr>
      <t xml:space="preserve"> </t>
    </r>
    <r>
      <rPr>
        <sz val="10"/>
        <rFont val="Carlito"/>
      </rPr>
      <t>내다</t>
    </r>
  </si>
  <si>
    <r>
      <rPr>
        <sz val="10"/>
        <rFont val="Carlito"/>
      </rPr>
      <t>죽음</t>
    </r>
    <r>
      <rPr>
        <sz val="10"/>
        <rFont val="Carlito"/>
        <family val="2"/>
      </rPr>
      <t xml:space="preserve">, </t>
    </r>
    <r>
      <rPr>
        <sz val="10"/>
        <rFont val="Carlito"/>
      </rPr>
      <t>종말</t>
    </r>
  </si>
  <si>
    <r>
      <rPr>
        <sz val="10"/>
        <rFont val="Carlito"/>
      </rPr>
      <t>거주자</t>
    </r>
    <r>
      <rPr>
        <sz val="10"/>
        <rFont val="Carlito"/>
        <family val="2"/>
      </rPr>
      <t xml:space="preserve">, </t>
    </r>
    <r>
      <rPr>
        <sz val="10"/>
        <rFont val="Carlito"/>
      </rPr>
      <t>주민</t>
    </r>
  </si>
  <si>
    <r>
      <rPr>
        <sz val="10"/>
        <rFont val="Carlito"/>
      </rPr>
      <t>묘사</t>
    </r>
  </si>
  <si>
    <r>
      <rPr>
        <sz val="10"/>
        <rFont val="Carlito"/>
      </rPr>
      <t>탈선하다</t>
    </r>
  </si>
  <si>
    <r>
      <rPr>
        <sz val="10"/>
        <rFont val="Carlito"/>
      </rPr>
      <t>조롱하다</t>
    </r>
    <r>
      <rPr>
        <sz val="10"/>
        <rFont val="Carlito"/>
        <family val="2"/>
      </rPr>
      <t xml:space="preserve">, </t>
    </r>
    <r>
      <rPr>
        <sz val="10"/>
        <rFont val="Carlito"/>
      </rPr>
      <t>비웃다</t>
    </r>
  </si>
  <si>
    <r>
      <rPr>
        <sz val="10"/>
        <rFont val="Carlito"/>
      </rPr>
      <t>악화</t>
    </r>
    <r>
      <rPr>
        <sz val="10"/>
        <rFont val="Carlito"/>
        <family val="2"/>
      </rPr>
      <t xml:space="preserve">, </t>
    </r>
    <r>
      <rPr>
        <sz val="10"/>
        <rFont val="Carlito"/>
      </rPr>
      <t>저하</t>
    </r>
  </si>
  <si>
    <r>
      <rPr>
        <sz val="10"/>
        <rFont val="Carlito"/>
      </rPr>
      <t>해로운</t>
    </r>
  </si>
  <si>
    <r>
      <rPr>
        <sz val="10"/>
        <rFont val="Carlito"/>
      </rPr>
      <t>권장</t>
    </r>
    <r>
      <rPr>
        <sz val="10"/>
        <rFont val="Carlito"/>
        <family val="2"/>
      </rPr>
      <t xml:space="preserve"> </t>
    </r>
    <r>
      <rPr>
        <sz val="10"/>
        <rFont val="Carlito"/>
      </rPr>
      <t>섭취량</t>
    </r>
  </si>
  <si>
    <r>
      <rPr>
        <sz val="10"/>
        <rFont val="Carlito"/>
      </rPr>
      <t>낡고</t>
    </r>
    <r>
      <rPr>
        <sz val="10"/>
        <rFont val="Carlito"/>
        <family val="2"/>
      </rPr>
      <t xml:space="preserve"> </t>
    </r>
    <r>
      <rPr>
        <sz val="10"/>
        <rFont val="Carlito"/>
      </rPr>
      <t>황폐한</t>
    </r>
  </si>
  <si>
    <r>
      <rPr>
        <sz val="10"/>
        <rFont val="Carlito"/>
      </rPr>
      <t>아주</t>
    </r>
    <r>
      <rPr>
        <sz val="10"/>
        <rFont val="Carlito"/>
        <family val="2"/>
      </rPr>
      <t xml:space="preserve"> </t>
    </r>
    <r>
      <rPr>
        <sz val="10"/>
        <rFont val="Carlito"/>
      </rPr>
      <t>작은</t>
    </r>
  </si>
  <si>
    <r>
      <rPr>
        <sz val="10"/>
        <rFont val="Carlito"/>
      </rPr>
      <t>사라짐</t>
    </r>
    <r>
      <rPr>
        <sz val="10"/>
        <rFont val="Carlito"/>
        <family val="2"/>
      </rPr>
      <t xml:space="preserve">, </t>
    </r>
    <r>
      <rPr>
        <sz val="10"/>
        <rFont val="Carlito"/>
      </rPr>
      <t>실종</t>
    </r>
  </si>
  <si>
    <r>
      <rPr>
        <sz val="10"/>
        <rFont val="Carlito"/>
      </rPr>
      <t>불화</t>
    </r>
    <r>
      <rPr>
        <sz val="10"/>
        <rFont val="Carlito"/>
        <family val="2"/>
      </rPr>
      <t xml:space="preserve">, </t>
    </r>
    <r>
      <rPr>
        <sz val="10"/>
        <rFont val="Carlito"/>
      </rPr>
      <t>갈등</t>
    </r>
  </si>
  <si>
    <r>
      <rPr>
        <sz val="10"/>
        <rFont val="Carlito"/>
      </rPr>
      <t>신빙성을</t>
    </r>
    <r>
      <rPr>
        <sz val="10"/>
        <rFont val="Carlito"/>
        <family val="2"/>
      </rPr>
      <t xml:space="preserve"> </t>
    </r>
    <r>
      <rPr>
        <sz val="10"/>
        <rFont val="Carlito"/>
      </rPr>
      <t>잃은</t>
    </r>
  </si>
  <si>
    <r>
      <rPr>
        <sz val="10"/>
        <rFont val="Carlito"/>
      </rPr>
      <t>차이</t>
    </r>
    <r>
      <rPr>
        <sz val="10"/>
        <rFont val="Carlito"/>
        <family val="2"/>
      </rPr>
      <t xml:space="preserve">, </t>
    </r>
    <r>
      <rPr>
        <sz val="10"/>
        <rFont val="Carlito"/>
      </rPr>
      <t>불일치</t>
    </r>
  </si>
  <si>
    <r>
      <rPr>
        <sz val="10"/>
        <rFont val="Carlito"/>
      </rPr>
      <t>붕괴되다</t>
    </r>
    <r>
      <rPr>
        <sz val="10"/>
        <rFont val="Carlito"/>
        <family val="2"/>
      </rPr>
      <t xml:space="preserve">, </t>
    </r>
    <r>
      <rPr>
        <sz val="10"/>
        <rFont val="Carlito"/>
      </rPr>
      <t>해체되다</t>
    </r>
  </si>
  <si>
    <r>
      <rPr>
        <sz val="10"/>
        <rFont val="Carlito"/>
      </rPr>
      <t>이주민</t>
    </r>
    <r>
      <rPr>
        <sz val="10"/>
        <rFont val="Carlito"/>
        <family val="2"/>
      </rPr>
      <t xml:space="preserve">, </t>
    </r>
    <r>
      <rPr>
        <sz val="10"/>
        <rFont val="Carlito"/>
      </rPr>
      <t>터전을</t>
    </r>
    <r>
      <rPr>
        <sz val="10"/>
        <rFont val="Carlito"/>
        <family val="2"/>
      </rPr>
      <t xml:space="preserve"> </t>
    </r>
    <r>
      <rPr>
        <sz val="10"/>
        <rFont val="Carlito"/>
      </rPr>
      <t>잃은</t>
    </r>
    <r>
      <rPr>
        <sz val="10"/>
        <rFont val="Carlito"/>
        <family val="2"/>
      </rPr>
      <t xml:space="preserve"> </t>
    </r>
    <r>
      <rPr>
        <sz val="10"/>
        <rFont val="Carlito"/>
      </rPr>
      <t>주민</t>
    </r>
  </si>
  <si>
    <r>
      <rPr>
        <sz val="10"/>
        <rFont val="Carlito"/>
      </rPr>
      <t>퍼뜨리다</t>
    </r>
    <r>
      <rPr>
        <sz val="10"/>
        <rFont val="Carlito"/>
        <family val="2"/>
      </rPr>
      <t xml:space="preserve">, </t>
    </r>
    <r>
      <rPr>
        <sz val="10"/>
        <rFont val="Carlito"/>
      </rPr>
      <t>유포하다</t>
    </r>
  </si>
  <si>
    <r>
      <rPr>
        <sz val="10"/>
        <rFont val="Carlito"/>
      </rPr>
      <t>의회를</t>
    </r>
    <r>
      <rPr>
        <sz val="10"/>
        <rFont val="Carlito"/>
        <family val="2"/>
      </rPr>
      <t xml:space="preserve"> </t>
    </r>
    <r>
      <rPr>
        <sz val="10"/>
        <rFont val="Carlito"/>
      </rPr>
      <t>해산하다</t>
    </r>
  </si>
  <si>
    <r>
      <rPr>
        <sz val="10"/>
        <rFont val="Carlito"/>
      </rPr>
      <t>구별</t>
    </r>
    <r>
      <rPr>
        <sz val="10"/>
        <rFont val="Carlito"/>
        <family val="2"/>
      </rPr>
      <t xml:space="preserve"> </t>
    </r>
    <r>
      <rPr>
        <sz val="10"/>
        <rFont val="Carlito"/>
      </rPr>
      <t>가능한</t>
    </r>
  </si>
  <si>
    <r>
      <t xml:space="preserve">DNA </t>
    </r>
    <r>
      <rPr>
        <sz val="10"/>
        <rFont val="Carlito"/>
      </rPr>
      <t>염기서열</t>
    </r>
    <r>
      <rPr>
        <sz val="10"/>
        <rFont val="Carlito"/>
        <family val="2"/>
      </rPr>
      <t xml:space="preserve"> </t>
    </r>
    <r>
      <rPr>
        <sz val="10"/>
        <rFont val="Carlito"/>
      </rPr>
      <t>분석</t>
    </r>
    <r>
      <rPr>
        <sz val="10"/>
        <rFont val="Carlito"/>
        <family val="2"/>
      </rPr>
      <t xml:space="preserve"> </t>
    </r>
    <r>
      <rPr>
        <sz val="10"/>
        <rFont val="Carlito"/>
      </rPr>
      <t>기술</t>
    </r>
  </si>
  <si>
    <r>
      <rPr>
        <sz val="10"/>
        <rFont val="Carlito"/>
      </rPr>
      <t>반향정위</t>
    </r>
  </si>
  <si>
    <r>
      <rPr>
        <sz val="10"/>
        <rFont val="Carlito"/>
      </rPr>
      <t>외온성의</t>
    </r>
  </si>
  <si>
    <r>
      <rPr>
        <sz val="10"/>
        <rFont val="Carlito"/>
      </rPr>
      <t>효과</t>
    </r>
    <r>
      <rPr>
        <sz val="10"/>
        <rFont val="Carlito"/>
        <family val="2"/>
      </rPr>
      <t xml:space="preserve">, </t>
    </r>
    <r>
      <rPr>
        <sz val="10"/>
        <rFont val="Carlito"/>
      </rPr>
      <t>효능</t>
    </r>
  </si>
  <si>
    <r>
      <rPr>
        <sz val="10"/>
        <rFont val="Carlito"/>
      </rPr>
      <t>평등주의적인</t>
    </r>
    <r>
      <rPr>
        <sz val="10"/>
        <rFont val="Carlito"/>
        <family val="2"/>
      </rPr>
      <t xml:space="preserve"> / </t>
    </r>
    <r>
      <rPr>
        <sz val="10"/>
        <rFont val="Carlito"/>
      </rPr>
      <t>평등주의자</t>
    </r>
    <r>
      <rPr>
        <sz val="10"/>
        <rFont val="Carlito"/>
        <family val="2"/>
      </rPr>
      <t xml:space="preserve">; </t>
    </r>
    <r>
      <rPr>
        <sz val="10"/>
        <rFont val="Carlito"/>
      </rPr>
      <t>평등주의의</t>
    </r>
  </si>
  <si>
    <r>
      <rPr>
        <sz val="10"/>
        <rFont val="Carlito"/>
      </rPr>
      <t>평등주의</t>
    </r>
  </si>
  <si>
    <r>
      <rPr>
        <sz val="10"/>
        <rFont val="Carlito"/>
      </rPr>
      <t>잡기</t>
    </r>
    <r>
      <rPr>
        <sz val="10"/>
        <rFont val="Carlito"/>
        <family val="2"/>
      </rPr>
      <t xml:space="preserve"> </t>
    </r>
    <r>
      <rPr>
        <sz val="10"/>
        <rFont val="Carlito"/>
      </rPr>
      <t>어려운</t>
    </r>
    <r>
      <rPr>
        <sz val="10"/>
        <rFont val="Carlito"/>
        <family val="2"/>
      </rPr>
      <t xml:space="preserve">, </t>
    </r>
    <r>
      <rPr>
        <sz val="10"/>
        <rFont val="Carlito"/>
      </rPr>
      <t>찾기</t>
    </r>
    <r>
      <rPr>
        <sz val="10"/>
        <rFont val="Carlito"/>
        <family val="2"/>
      </rPr>
      <t xml:space="preserve"> </t>
    </r>
    <r>
      <rPr>
        <sz val="10"/>
        <rFont val="Carlito"/>
      </rPr>
      <t>힘든</t>
    </r>
  </si>
  <si>
    <r>
      <rPr>
        <sz val="10"/>
        <rFont val="Carlito"/>
      </rPr>
      <t>발산되다</t>
    </r>
    <r>
      <rPr>
        <sz val="10"/>
        <rFont val="Carlito"/>
        <family val="2"/>
      </rPr>
      <t xml:space="preserve">, </t>
    </r>
    <r>
      <rPr>
        <sz val="10"/>
        <rFont val="Carlito"/>
      </rPr>
      <t>나오다</t>
    </r>
  </si>
  <si>
    <r>
      <t>~</t>
    </r>
    <r>
      <rPr>
        <sz val="10"/>
        <rFont val="Carlito"/>
      </rPr>
      <t>에</t>
    </r>
    <r>
      <rPr>
        <sz val="10"/>
        <rFont val="Carlito"/>
        <family val="2"/>
      </rPr>
      <t xml:space="preserve"> </t>
    </r>
    <r>
      <rPr>
        <sz val="10"/>
        <rFont val="Carlito"/>
      </rPr>
      <t>휘말린</t>
    </r>
  </si>
  <si>
    <r>
      <rPr>
        <sz val="10"/>
        <rFont val="Carlito"/>
      </rPr>
      <t>경험적</t>
    </r>
    <r>
      <rPr>
        <sz val="10"/>
        <rFont val="Carlito"/>
        <family val="2"/>
      </rPr>
      <t>/</t>
    </r>
    <r>
      <rPr>
        <sz val="10"/>
        <rFont val="Carlito"/>
      </rPr>
      <t>실증적</t>
    </r>
    <r>
      <rPr>
        <sz val="10"/>
        <rFont val="Carlito"/>
        <family val="2"/>
      </rPr>
      <t xml:space="preserve"> </t>
    </r>
    <r>
      <rPr>
        <sz val="10"/>
        <rFont val="Carlito"/>
      </rPr>
      <t>근거</t>
    </r>
  </si>
  <si>
    <r>
      <rPr>
        <sz val="10"/>
        <rFont val="Carlito"/>
      </rPr>
      <t>사랑받게</t>
    </r>
    <r>
      <rPr>
        <sz val="10"/>
        <rFont val="Carlito"/>
        <family val="2"/>
      </rPr>
      <t xml:space="preserve"> </t>
    </r>
    <r>
      <rPr>
        <sz val="10"/>
        <rFont val="Carlito"/>
      </rPr>
      <t>하다</t>
    </r>
  </si>
  <si>
    <r>
      <rPr>
        <sz val="10"/>
        <rFont val="Carlito"/>
      </rPr>
      <t>내온성의</t>
    </r>
  </si>
  <si>
    <r>
      <rPr>
        <sz val="10"/>
        <rFont val="Carlito"/>
      </rPr>
      <t>일으키다</t>
    </r>
    <r>
      <rPr>
        <sz val="10"/>
        <rFont val="Carlito"/>
        <family val="2"/>
      </rPr>
      <t xml:space="preserve">, </t>
    </r>
    <r>
      <rPr>
        <sz val="10"/>
        <rFont val="Carlito"/>
      </rPr>
      <t>초래하다</t>
    </r>
  </si>
  <si>
    <r>
      <rPr>
        <sz val="10"/>
        <rFont val="Carlito"/>
      </rPr>
      <t>수반하다</t>
    </r>
    <r>
      <rPr>
        <sz val="10"/>
        <rFont val="Carlito"/>
        <family val="2"/>
      </rPr>
      <t xml:space="preserve">, </t>
    </r>
    <r>
      <rPr>
        <sz val="10"/>
        <rFont val="Carlito"/>
      </rPr>
      <t>포함하다</t>
    </r>
  </si>
  <si>
    <r>
      <rPr>
        <sz val="10"/>
        <rFont val="Carlito"/>
      </rPr>
      <t>굳어진</t>
    </r>
    <r>
      <rPr>
        <sz val="10"/>
        <rFont val="Carlito"/>
        <family val="2"/>
      </rPr>
      <t xml:space="preserve">, </t>
    </r>
    <r>
      <rPr>
        <sz val="10"/>
        <rFont val="Carlito"/>
      </rPr>
      <t>깊이</t>
    </r>
    <r>
      <rPr>
        <sz val="10"/>
        <rFont val="Carlito"/>
        <family val="2"/>
      </rPr>
      <t xml:space="preserve"> </t>
    </r>
    <r>
      <rPr>
        <sz val="10"/>
        <rFont val="Carlito"/>
      </rPr>
      <t>자리</t>
    </r>
    <r>
      <rPr>
        <sz val="10"/>
        <rFont val="Carlito"/>
        <family val="2"/>
      </rPr>
      <t xml:space="preserve"> </t>
    </r>
    <r>
      <rPr>
        <sz val="10"/>
        <rFont val="Carlito"/>
      </rPr>
      <t>잡은</t>
    </r>
  </si>
  <si>
    <r>
      <rPr>
        <sz val="10"/>
        <rFont val="Carlito"/>
      </rPr>
      <t>감싸다</t>
    </r>
    <r>
      <rPr>
        <sz val="10"/>
        <rFont val="Carlito"/>
        <family val="2"/>
      </rPr>
      <t xml:space="preserve">, </t>
    </r>
    <r>
      <rPr>
        <sz val="10"/>
        <rFont val="Carlito"/>
      </rPr>
      <t>둘러싸다</t>
    </r>
  </si>
  <si>
    <r>
      <rPr>
        <sz val="10"/>
        <rFont val="Carlito"/>
      </rPr>
      <t>전형적으로</t>
    </r>
    <r>
      <rPr>
        <sz val="10"/>
        <rFont val="Carlito"/>
        <family val="2"/>
      </rPr>
      <t xml:space="preserve"> </t>
    </r>
    <r>
      <rPr>
        <sz val="10"/>
        <rFont val="Carlito"/>
      </rPr>
      <t>보여주다</t>
    </r>
  </si>
  <si>
    <r>
      <rPr>
        <sz val="10"/>
        <rFont val="Carlito"/>
      </rPr>
      <t>애매모호한</t>
    </r>
    <r>
      <rPr>
        <sz val="10"/>
        <rFont val="Carlito"/>
        <family val="2"/>
      </rPr>
      <t xml:space="preserve"> </t>
    </r>
    <r>
      <rPr>
        <sz val="10"/>
        <rFont val="Carlito"/>
      </rPr>
      <t>말</t>
    </r>
    <r>
      <rPr>
        <sz val="10"/>
        <rFont val="Carlito"/>
        <family val="2"/>
      </rPr>
      <t xml:space="preserve">, </t>
    </r>
    <r>
      <rPr>
        <sz val="10"/>
        <rFont val="Carlito"/>
      </rPr>
      <t>얼버무림</t>
    </r>
  </si>
  <si>
    <r>
      <rPr>
        <sz val="10"/>
        <rFont val="Carlito"/>
      </rPr>
      <t>근절</t>
    </r>
  </si>
  <si>
    <r>
      <rPr>
        <sz val="10"/>
        <rFont val="Carlito"/>
      </rPr>
      <t>윤리적</t>
    </r>
    <r>
      <rPr>
        <sz val="10"/>
        <rFont val="Carlito"/>
        <family val="2"/>
      </rPr>
      <t xml:space="preserve"> </t>
    </r>
    <r>
      <rPr>
        <sz val="10"/>
        <rFont val="Carlito"/>
      </rPr>
      <t>함의</t>
    </r>
  </si>
  <si>
    <r>
      <rPr>
        <sz val="10"/>
        <rFont val="Carlito"/>
      </rPr>
      <t>에틸렌</t>
    </r>
    <r>
      <rPr>
        <sz val="10"/>
        <rFont val="Carlito"/>
        <family val="2"/>
      </rPr>
      <t xml:space="preserve"> </t>
    </r>
    <r>
      <rPr>
        <sz val="10"/>
        <rFont val="Carlito"/>
      </rPr>
      <t>가스</t>
    </r>
  </si>
  <si>
    <r>
      <rPr>
        <sz val="10"/>
        <rFont val="Carlito"/>
      </rPr>
      <t>기습작전을</t>
    </r>
    <r>
      <rPr>
        <sz val="10"/>
        <rFont val="Carlito"/>
        <family val="2"/>
      </rPr>
      <t xml:space="preserve"> </t>
    </r>
    <r>
      <rPr>
        <sz val="10"/>
        <rFont val="Carlito"/>
      </rPr>
      <t>수행하다</t>
    </r>
  </si>
  <si>
    <r>
      <rPr>
        <sz val="10"/>
        <rFont val="Carlito"/>
      </rPr>
      <t>신나는</t>
    </r>
    <r>
      <rPr>
        <sz val="10"/>
        <rFont val="Carlito"/>
        <family val="2"/>
      </rPr>
      <t xml:space="preserve">, </t>
    </r>
    <r>
      <rPr>
        <sz val="10"/>
        <rFont val="Carlito"/>
      </rPr>
      <t>짜릿한</t>
    </r>
  </si>
  <si>
    <r>
      <rPr>
        <sz val="10"/>
        <rFont val="Carlito"/>
      </rPr>
      <t>터무니없이</t>
    </r>
    <r>
      <rPr>
        <sz val="10"/>
        <rFont val="Carlito"/>
        <family val="2"/>
      </rPr>
      <t xml:space="preserve"> </t>
    </r>
    <r>
      <rPr>
        <sz val="10"/>
        <rFont val="Carlito"/>
      </rPr>
      <t>비싸게</t>
    </r>
  </si>
  <si>
    <r>
      <rPr>
        <sz val="10"/>
        <rFont val="Carlito"/>
      </rPr>
      <t>신속</t>
    </r>
    <r>
      <rPr>
        <sz val="10"/>
        <rFont val="Carlito"/>
        <family val="2"/>
      </rPr>
      <t xml:space="preserve"> </t>
    </r>
    <r>
      <rPr>
        <sz val="10"/>
        <rFont val="Carlito"/>
      </rPr>
      <t>처리되는</t>
    </r>
  </si>
  <si>
    <r>
      <rPr>
        <sz val="10"/>
        <rFont val="Carlito"/>
      </rPr>
      <t>없어도</t>
    </r>
    <r>
      <rPr>
        <sz val="10"/>
        <rFont val="Carlito"/>
        <family val="2"/>
      </rPr>
      <t xml:space="preserve"> </t>
    </r>
    <r>
      <rPr>
        <sz val="10"/>
        <rFont val="Carlito"/>
      </rPr>
      <t>되는</t>
    </r>
    <r>
      <rPr>
        <sz val="10"/>
        <rFont val="Carlito"/>
        <family val="2"/>
      </rPr>
      <t xml:space="preserve">, </t>
    </r>
    <r>
      <rPr>
        <sz val="10"/>
        <rFont val="Carlito"/>
      </rPr>
      <t>소모</t>
    </r>
    <r>
      <rPr>
        <sz val="10"/>
        <rFont val="Carlito"/>
        <family val="2"/>
      </rPr>
      <t xml:space="preserve"> </t>
    </r>
    <r>
      <rPr>
        <sz val="10"/>
        <rFont val="Carlito"/>
      </rPr>
      <t>가능한</t>
    </r>
  </si>
  <si>
    <r>
      <rPr>
        <sz val="10"/>
        <rFont val="Carlito"/>
      </rPr>
      <t>추방</t>
    </r>
    <r>
      <rPr>
        <sz val="10"/>
        <rFont val="Carlito"/>
        <family val="2"/>
      </rPr>
      <t xml:space="preserve">, </t>
    </r>
    <r>
      <rPr>
        <sz val="10"/>
        <rFont val="Carlito"/>
      </rPr>
      <t>제명</t>
    </r>
  </si>
  <si>
    <r>
      <rPr>
        <sz val="10"/>
        <rFont val="Carlito"/>
      </rPr>
      <t>흉물</t>
    </r>
  </si>
  <si>
    <r>
      <rPr>
        <sz val="10"/>
        <rFont val="Carlito"/>
      </rPr>
      <t>거짓</t>
    </r>
    <r>
      <rPr>
        <sz val="10"/>
        <rFont val="Carlito"/>
        <family val="2"/>
      </rPr>
      <t xml:space="preserve"> </t>
    </r>
    <r>
      <rPr>
        <sz val="10"/>
        <rFont val="Carlito"/>
      </rPr>
      <t>이분법</t>
    </r>
  </si>
  <si>
    <r>
      <rPr>
        <sz val="10"/>
        <rFont val="Carlito"/>
      </rPr>
      <t>흔들리다</t>
    </r>
    <r>
      <rPr>
        <sz val="10"/>
        <rFont val="Carlito"/>
        <family val="2"/>
      </rPr>
      <t xml:space="preserve">, </t>
    </r>
    <r>
      <rPr>
        <sz val="10"/>
        <rFont val="Carlito"/>
      </rPr>
      <t>약해지다</t>
    </r>
  </si>
  <si>
    <r>
      <rPr>
        <sz val="10"/>
        <rFont val="Carlito"/>
      </rPr>
      <t>파시즘</t>
    </r>
  </si>
  <si>
    <r>
      <rPr>
        <sz val="10"/>
        <rFont val="Carlito"/>
      </rPr>
      <t>열정</t>
    </r>
    <r>
      <rPr>
        <sz val="10"/>
        <rFont val="Carlito"/>
        <family val="2"/>
      </rPr>
      <t xml:space="preserve">, </t>
    </r>
    <r>
      <rPr>
        <sz val="10"/>
        <rFont val="Carlito"/>
      </rPr>
      <t>열광</t>
    </r>
  </si>
  <si>
    <r>
      <rPr>
        <sz val="10"/>
        <rFont val="Carlito"/>
      </rPr>
      <t>태아</t>
    </r>
    <r>
      <rPr>
        <sz val="10"/>
        <rFont val="Carlito"/>
        <family val="2"/>
      </rPr>
      <t xml:space="preserve"> </t>
    </r>
    <r>
      <rPr>
        <sz val="10"/>
        <rFont val="Carlito"/>
      </rPr>
      <t>유전자</t>
    </r>
    <r>
      <rPr>
        <sz val="10"/>
        <rFont val="Carlito"/>
        <family val="2"/>
      </rPr>
      <t xml:space="preserve"> </t>
    </r>
    <r>
      <rPr>
        <sz val="10"/>
        <rFont val="Carlito"/>
      </rPr>
      <t>발현</t>
    </r>
  </si>
  <si>
    <r>
      <rPr>
        <sz val="10"/>
        <rFont val="Carlito"/>
      </rPr>
      <t>법정불환화폐</t>
    </r>
  </si>
  <si>
    <r>
      <rPr>
        <sz val="10"/>
        <rFont val="Carlito"/>
      </rPr>
      <t>충실성</t>
    </r>
  </si>
  <si>
    <r>
      <rPr>
        <sz val="10"/>
        <rFont val="Carlito"/>
      </rPr>
      <t>정부</t>
    </r>
    <r>
      <rPr>
        <sz val="10"/>
        <rFont val="Carlito"/>
        <family val="2"/>
      </rPr>
      <t xml:space="preserve"> </t>
    </r>
    <r>
      <rPr>
        <sz val="10"/>
        <rFont val="Carlito"/>
      </rPr>
      <t>재정을</t>
    </r>
    <r>
      <rPr>
        <sz val="10"/>
        <rFont val="Carlito"/>
        <family val="2"/>
      </rPr>
      <t xml:space="preserve"> </t>
    </r>
    <r>
      <rPr>
        <sz val="10"/>
        <rFont val="Carlito"/>
      </rPr>
      <t>채우다</t>
    </r>
  </si>
  <si>
    <r>
      <rPr>
        <sz val="10"/>
        <rFont val="Carlito"/>
      </rPr>
      <t>번성하다</t>
    </r>
    <r>
      <rPr>
        <sz val="10"/>
        <rFont val="Carlito"/>
        <family val="2"/>
      </rPr>
      <t xml:space="preserve">, </t>
    </r>
    <r>
      <rPr>
        <sz val="10"/>
        <rFont val="Carlito"/>
      </rPr>
      <t>활발해지다</t>
    </r>
  </si>
  <si>
    <r>
      <rPr>
        <sz val="10"/>
        <rFont val="Carlito"/>
      </rPr>
      <t>엽산</t>
    </r>
  </si>
  <si>
    <r>
      <rPr>
        <sz val="10"/>
        <rFont val="Carlito"/>
      </rPr>
      <t>대외적</t>
    </r>
    <r>
      <rPr>
        <sz val="10"/>
        <rFont val="Carlito"/>
        <family val="2"/>
      </rPr>
      <t xml:space="preserve"> </t>
    </r>
    <r>
      <rPr>
        <sz val="10"/>
        <rFont val="Carlito"/>
      </rPr>
      <t>얽힘</t>
    </r>
    <r>
      <rPr>
        <sz val="10"/>
        <rFont val="Carlito"/>
        <family val="2"/>
      </rPr>
      <t xml:space="preserve">, </t>
    </r>
    <r>
      <rPr>
        <sz val="10"/>
        <rFont val="Carlito"/>
      </rPr>
      <t>외교적</t>
    </r>
    <r>
      <rPr>
        <sz val="10"/>
        <rFont val="Carlito"/>
        <family val="2"/>
      </rPr>
      <t xml:space="preserve"> </t>
    </r>
    <r>
      <rPr>
        <sz val="10"/>
        <rFont val="Carlito"/>
      </rPr>
      <t>분쟁</t>
    </r>
    <r>
      <rPr>
        <sz val="10"/>
        <rFont val="Carlito"/>
        <family val="2"/>
      </rPr>
      <t xml:space="preserve"> </t>
    </r>
    <r>
      <rPr>
        <sz val="10"/>
        <rFont val="Carlito"/>
      </rPr>
      <t>연루</t>
    </r>
  </si>
  <si>
    <r>
      <rPr>
        <sz val="10"/>
        <rFont val="Carlito"/>
      </rPr>
      <t>격식</t>
    </r>
    <r>
      <rPr>
        <sz val="10"/>
        <rFont val="Carlito"/>
        <family val="2"/>
      </rPr>
      <t xml:space="preserve"> </t>
    </r>
    <r>
      <rPr>
        <sz val="10"/>
        <rFont val="Carlito"/>
      </rPr>
      <t>있는</t>
    </r>
    <r>
      <rPr>
        <sz val="10"/>
        <rFont val="Carlito"/>
        <family val="2"/>
      </rPr>
      <t xml:space="preserve"> </t>
    </r>
    <r>
      <rPr>
        <sz val="10"/>
        <rFont val="Carlito"/>
      </rPr>
      <t>문체</t>
    </r>
  </si>
  <si>
    <r>
      <t>2</t>
    </r>
    <r>
      <rPr>
        <sz val="10"/>
        <rFont val="Carlito"/>
      </rPr>
      <t>주</t>
    </r>
  </si>
  <si>
    <r>
      <rPr>
        <sz val="10"/>
        <rFont val="Carlito"/>
      </rPr>
      <t>결실</t>
    </r>
    <r>
      <rPr>
        <sz val="10"/>
        <rFont val="Carlito"/>
        <family val="2"/>
      </rPr>
      <t xml:space="preserve">, </t>
    </r>
    <r>
      <rPr>
        <sz val="10"/>
        <rFont val="Carlito"/>
      </rPr>
      <t>성취</t>
    </r>
  </si>
  <si>
    <r>
      <rPr>
        <sz val="10"/>
        <rFont val="Carlito"/>
      </rPr>
      <t>전략이</t>
    </r>
    <r>
      <rPr>
        <sz val="10"/>
        <rFont val="Carlito"/>
        <family val="2"/>
      </rPr>
      <t xml:space="preserve"> </t>
    </r>
    <r>
      <rPr>
        <sz val="10"/>
        <rFont val="Carlito"/>
      </rPr>
      <t>성공했다</t>
    </r>
  </si>
  <si>
    <r>
      <t xml:space="preserve">GC </t>
    </r>
    <r>
      <rPr>
        <sz val="10"/>
        <rFont val="Carlito"/>
      </rPr>
      <t>염기가</t>
    </r>
    <r>
      <rPr>
        <sz val="10"/>
        <rFont val="Carlito"/>
        <family val="2"/>
      </rPr>
      <t xml:space="preserve"> </t>
    </r>
    <r>
      <rPr>
        <sz val="10"/>
        <rFont val="Carlito"/>
      </rPr>
      <t>풍부한</t>
    </r>
  </si>
  <si>
    <r>
      <rPr>
        <sz val="10"/>
        <rFont val="Carlito"/>
      </rPr>
      <t>일반</t>
    </r>
    <r>
      <rPr>
        <sz val="10"/>
        <rFont val="Carlito"/>
        <family val="2"/>
      </rPr>
      <t xml:space="preserve"> </t>
    </r>
    <r>
      <rPr>
        <sz val="10"/>
        <rFont val="Carlito"/>
      </rPr>
      <t>상대성</t>
    </r>
    <r>
      <rPr>
        <sz val="10"/>
        <rFont val="Carlito"/>
        <family val="2"/>
      </rPr>
      <t xml:space="preserve"> </t>
    </r>
    <r>
      <rPr>
        <sz val="10"/>
        <rFont val="Carlito"/>
      </rPr>
      <t>이론</t>
    </r>
  </si>
  <si>
    <r>
      <rPr>
        <sz val="10"/>
        <rFont val="Carlito"/>
      </rPr>
      <t>유전체</t>
    </r>
  </si>
  <si>
    <r>
      <rPr>
        <sz val="10"/>
        <rFont val="Carlito"/>
      </rPr>
      <t>지정학적</t>
    </r>
    <r>
      <rPr>
        <sz val="10"/>
        <rFont val="Carlito"/>
        <family val="2"/>
      </rPr>
      <t xml:space="preserve"> </t>
    </r>
    <r>
      <rPr>
        <sz val="10"/>
        <rFont val="Carlito"/>
      </rPr>
      <t>권력</t>
    </r>
    <r>
      <rPr>
        <sz val="10"/>
        <rFont val="Carlito"/>
        <family val="2"/>
      </rPr>
      <t xml:space="preserve"> </t>
    </r>
    <r>
      <rPr>
        <sz val="10"/>
        <rFont val="Carlito"/>
      </rPr>
      <t>불균형</t>
    </r>
  </si>
  <si>
    <r>
      <rPr>
        <sz val="10"/>
        <rFont val="Carlito"/>
      </rPr>
      <t>횡설수설</t>
    </r>
    <r>
      <rPr>
        <sz val="10"/>
        <rFont val="Carlito"/>
        <family val="2"/>
      </rPr>
      <t xml:space="preserve">, </t>
    </r>
    <r>
      <rPr>
        <sz val="10"/>
        <rFont val="Carlito"/>
      </rPr>
      <t>뜻</t>
    </r>
    <r>
      <rPr>
        <sz val="10"/>
        <rFont val="Carlito"/>
        <family val="2"/>
      </rPr>
      <t xml:space="preserve"> </t>
    </r>
    <r>
      <rPr>
        <sz val="10"/>
        <rFont val="Carlito"/>
      </rPr>
      <t>없는</t>
    </r>
    <r>
      <rPr>
        <sz val="10"/>
        <rFont val="Carlito"/>
        <family val="2"/>
      </rPr>
      <t xml:space="preserve"> </t>
    </r>
    <r>
      <rPr>
        <sz val="10"/>
        <rFont val="Carlito"/>
      </rPr>
      <t>말</t>
    </r>
  </si>
  <si>
    <r>
      <rPr>
        <sz val="10"/>
        <rFont val="Carlito"/>
      </rPr>
      <t>잘못되다</t>
    </r>
  </si>
  <si>
    <r>
      <rPr>
        <sz val="10"/>
        <rFont val="Carlito"/>
      </rPr>
      <t>엄청난</t>
    </r>
    <r>
      <rPr>
        <sz val="10"/>
        <rFont val="Carlito"/>
        <family val="2"/>
      </rPr>
      <t xml:space="preserve"> </t>
    </r>
    <r>
      <rPr>
        <sz val="10"/>
        <rFont val="Carlito"/>
      </rPr>
      <t>노력을</t>
    </r>
    <r>
      <rPr>
        <sz val="10"/>
        <rFont val="Carlito"/>
        <family val="2"/>
      </rPr>
      <t xml:space="preserve"> </t>
    </r>
    <r>
      <rPr>
        <sz val="10"/>
        <rFont val="Carlito"/>
      </rPr>
      <t>하다</t>
    </r>
  </si>
  <si>
    <r>
      <rPr>
        <sz val="10"/>
        <rFont val="Carlito"/>
      </rPr>
      <t>그래핀</t>
    </r>
  </si>
  <si>
    <r>
      <rPr>
        <sz val="10"/>
        <rFont val="Carlito"/>
      </rPr>
      <t>분노를</t>
    </r>
    <r>
      <rPr>
        <sz val="10"/>
        <rFont val="Carlito"/>
        <family val="2"/>
      </rPr>
      <t xml:space="preserve"> </t>
    </r>
    <r>
      <rPr>
        <sz val="10"/>
        <rFont val="Carlito"/>
      </rPr>
      <t>품지</t>
    </r>
    <r>
      <rPr>
        <sz val="10"/>
        <rFont val="Carlito"/>
        <family val="2"/>
      </rPr>
      <t xml:space="preserve"> </t>
    </r>
    <r>
      <rPr>
        <sz val="10"/>
        <rFont val="Carlito"/>
      </rPr>
      <t>않다</t>
    </r>
  </si>
  <si>
    <r>
      <rPr>
        <sz val="10"/>
        <rFont val="Carlito"/>
      </rPr>
      <t>강경한</t>
    </r>
    <r>
      <rPr>
        <sz val="10"/>
        <rFont val="Carlito"/>
        <family val="2"/>
      </rPr>
      <t xml:space="preserve"> </t>
    </r>
    <r>
      <rPr>
        <sz val="10"/>
        <rFont val="Carlito"/>
      </rPr>
      <t>입장</t>
    </r>
  </si>
  <si>
    <r>
      <rPr>
        <sz val="10"/>
        <rFont val="Carlito"/>
      </rPr>
      <t>이용하다</t>
    </r>
    <r>
      <rPr>
        <sz val="10"/>
        <rFont val="Carlito"/>
        <family val="2"/>
      </rPr>
      <t xml:space="preserve">, </t>
    </r>
    <r>
      <rPr>
        <sz val="10"/>
        <rFont val="Carlito"/>
      </rPr>
      <t>활용하다</t>
    </r>
  </si>
  <si>
    <r>
      <rPr>
        <sz val="10"/>
        <rFont val="Carlito"/>
      </rPr>
      <t>미래를</t>
    </r>
    <r>
      <rPr>
        <sz val="10"/>
        <rFont val="Carlito"/>
        <family val="2"/>
      </rPr>
      <t xml:space="preserve"> </t>
    </r>
    <r>
      <rPr>
        <sz val="10"/>
        <rFont val="Carlito"/>
      </rPr>
      <t>염두에</t>
    </r>
    <r>
      <rPr>
        <sz val="10"/>
        <rFont val="Carlito"/>
        <family val="2"/>
      </rPr>
      <t xml:space="preserve"> </t>
    </r>
    <r>
      <rPr>
        <sz val="10"/>
        <rFont val="Carlito"/>
      </rPr>
      <t>두다</t>
    </r>
  </si>
  <si>
    <r>
      <rPr>
        <sz val="10"/>
        <rFont val="Carlito"/>
      </rPr>
      <t>유전적인</t>
    </r>
  </si>
  <si>
    <r>
      <rPr>
        <sz val="10"/>
        <rFont val="Carlito"/>
      </rPr>
      <t>혼성화</t>
    </r>
    <r>
      <rPr>
        <sz val="10"/>
        <rFont val="Carlito"/>
        <family val="2"/>
      </rPr>
      <t xml:space="preserve">, </t>
    </r>
    <r>
      <rPr>
        <sz val="10"/>
        <rFont val="Carlito"/>
      </rPr>
      <t>교배</t>
    </r>
  </si>
  <si>
    <r>
      <rPr>
        <sz val="10"/>
        <rFont val="Carlito"/>
      </rPr>
      <t>과도한</t>
    </r>
    <r>
      <rPr>
        <sz val="10"/>
        <rFont val="Carlito"/>
        <family val="2"/>
      </rPr>
      <t xml:space="preserve"> </t>
    </r>
    <r>
      <rPr>
        <sz val="10"/>
        <rFont val="Carlito"/>
      </rPr>
      <t>집중</t>
    </r>
  </si>
  <si>
    <r>
      <rPr>
        <sz val="10"/>
        <rFont val="Carlito"/>
      </rPr>
      <t>가설</t>
    </r>
  </si>
  <si>
    <r>
      <rPr>
        <sz val="10"/>
        <rFont val="Carlito"/>
      </rPr>
      <t>가설로</t>
    </r>
    <r>
      <rPr>
        <sz val="10"/>
        <rFont val="Carlito"/>
        <family val="2"/>
      </rPr>
      <t xml:space="preserve"> </t>
    </r>
    <r>
      <rPr>
        <sz val="10"/>
        <rFont val="Carlito"/>
      </rPr>
      <t>제시된</t>
    </r>
  </si>
  <si>
    <r>
      <rPr>
        <sz val="10"/>
        <rFont val="Carlito"/>
      </rPr>
      <t>저명한</t>
    </r>
    <r>
      <rPr>
        <sz val="10"/>
        <rFont val="Carlito"/>
        <family val="2"/>
      </rPr>
      <t xml:space="preserve">, </t>
    </r>
    <r>
      <rPr>
        <sz val="10"/>
        <rFont val="Carlito"/>
      </rPr>
      <t>뛰어난</t>
    </r>
  </si>
  <si>
    <r>
      <rPr>
        <sz val="10"/>
        <rFont val="Carlito"/>
      </rPr>
      <t>탄핵</t>
    </r>
  </si>
  <si>
    <r>
      <rPr>
        <sz val="10"/>
        <rFont val="Carlito"/>
      </rPr>
      <t>감지하기</t>
    </r>
    <r>
      <rPr>
        <sz val="10"/>
        <rFont val="Carlito"/>
        <family val="2"/>
      </rPr>
      <t xml:space="preserve"> </t>
    </r>
    <r>
      <rPr>
        <sz val="10"/>
        <rFont val="Carlito"/>
      </rPr>
      <t>어려운</t>
    </r>
  </si>
  <si>
    <r>
      <rPr>
        <sz val="10"/>
        <rFont val="Carlito"/>
      </rPr>
      <t>빈곤한</t>
    </r>
  </si>
  <si>
    <r>
      <rPr>
        <sz val="10"/>
        <rFont val="Carlito"/>
      </rPr>
      <t>혐의</t>
    </r>
    <r>
      <rPr>
        <sz val="10"/>
        <rFont val="Carlito"/>
        <family val="2"/>
      </rPr>
      <t xml:space="preserve">, </t>
    </r>
    <r>
      <rPr>
        <sz val="10"/>
        <rFont val="Carlito"/>
      </rPr>
      <t>비난</t>
    </r>
  </si>
  <si>
    <r>
      <rPr>
        <sz val="10"/>
        <rFont val="Carlito"/>
      </rPr>
      <t>유행했다</t>
    </r>
    <r>
      <rPr>
        <sz val="10"/>
        <rFont val="Carlito"/>
        <family val="2"/>
      </rPr>
      <t xml:space="preserve"> </t>
    </r>
    <r>
      <rPr>
        <sz val="10"/>
        <rFont val="Carlito"/>
      </rPr>
      <t>사라졌다</t>
    </r>
    <r>
      <rPr>
        <sz val="10"/>
        <rFont val="Carlito"/>
        <family val="2"/>
      </rPr>
      <t xml:space="preserve"> </t>
    </r>
    <r>
      <rPr>
        <sz val="10"/>
        <rFont val="Carlito"/>
      </rPr>
      <t>하다</t>
    </r>
  </si>
  <si>
    <r>
      <rPr>
        <sz val="10"/>
        <rFont val="Carlito"/>
      </rPr>
      <t>심각한</t>
    </r>
    <r>
      <rPr>
        <sz val="10"/>
        <rFont val="Carlito"/>
        <family val="2"/>
      </rPr>
      <t xml:space="preserve"> </t>
    </r>
    <r>
      <rPr>
        <sz val="10"/>
        <rFont val="Carlito"/>
      </rPr>
      <t>곤경에</t>
    </r>
    <r>
      <rPr>
        <sz val="10"/>
        <rFont val="Carlito"/>
        <family val="2"/>
      </rPr>
      <t xml:space="preserve"> </t>
    </r>
    <r>
      <rPr>
        <sz val="10"/>
        <rFont val="Carlito"/>
      </rPr>
      <t>처한</t>
    </r>
  </si>
  <si>
    <r>
      <t>~</t>
    </r>
    <r>
      <rPr>
        <sz val="10"/>
        <rFont val="Carlito"/>
      </rPr>
      <t>대신에</t>
    </r>
  </si>
  <si>
    <r>
      <rPr>
        <sz val="10"/>
        <rFont val="Carlito"/>
      </rPr>
      <t>발생률</t>
    </r>
    <r>
      <rPr>
        <sz val="10"/>
        <rFont val="Carlito"/>
        <family val="2"/>
      </rPr>
      <t xml:space="preserve"> / </t>
    </r>
    <r>
      <rPr>
        <sz val="10"/>
        <rFont val="Carlito"/>
      </rPr>
      <t>발생</t>
    </r>
    <r>
      <rPr>
        <sz val="10"/>
        <rFont val="Carlito"/>
        <family val="2"/>
      </rPr>
      <t xml:space="preserve"> </t>
    </r>
    <r>
      <rPr>
        <sz val="10"/>
        <rFont val="Carlito"/>
      </rPr>
      <t>사례</t>
    </r>
    <r>
      <rPr>
        <sz val="10"/>
        <rFont val="Carlito"/>
        <family val="2"/>
      </rPr>
      <t xml:space="preserve">, </t>
    </r>
    <r>
      <rPr>
        <sz val="10"/>
        <rFont val="Carlito"/>
      </rPr>
      <t>발생률</t>
    </r>
  </si>
  <si>
    <r>
      <rPr>
        <sz val="10"/>
        <rFont val="Carlito"/>
      </rPr>
      <t>어울리지</t>
    </r>
    <r>
      <rPr>
        <sz val="10"/>
        <rFont val="Carlito"/>
        <family val="2"/>
      </rPr>
      <t xml:space="preserve"> </t>
    </r>
    <r>
      <rPr>
        <sz val="10"/>
        <rFont val="Carlito"/>
      </rPr>
      <t>않는</t>
    </r>
  </si>
  <si>
    <r>
      <rPr>
        <sz val="10"/>
        <rFont val="Carlito"/>
      </rPr>
      <t>현직자</t>
    </r>
    <r>
      <rPr>
        <sz val="10"/>
        <rFont val="Carlito"/>
        <family val="2"/>
      </rPr>
      <t xml:space="preserve">; </t>
    </r>
    <r>
      <rPr>
        <sz val="10"/>
        <rFont val="Carlito"/>
      </rPr>
      <t>현직의</t>
    </r>
  </si>
  <si>
    <r>
      <rPr>
        <sz val="10"/>
        <rFont val="Carlito"/>
      </rPr>
      <t>필수적인</t>
    </r>
  </si>
  <si>
    <r>
      <rPr>
        <sz val="10"/>
        <rFont val="Carlito"/>
      </rPr>
      <t>침입</t>
    </r>
    <r>
      <rPr>
        <sz val="10"/>
        <rFont val="Carlito"/>
        <family val="2"/>
      </rPr>
      <t xml:space="preserve">, </t>
    </r>
    <r>
      <rPr>
        <sz val="10"/>
        <rFont val="Carlito"/>
      </rPr>
      <t>대량</t>
    </r>
    <r>
      <rPr>
        <sz val="10"/>
        <rFont val="Carlito"/>
        <family val="2"/>
      </rPr>
      <t xml:space="preserve"> </t>
    </r>
    <r>
      <rPr>
        <sz val="10"/>
        <rFont val="Carlito"/>
      </rPr>
      <t>발생</t>
    </r>
  </si>
  <si>
    <r>
      <rPr>
        <sz val="10"/>
        <rFont val="Carlito"/>
      </rPr>
      <t>가하다</t>
    </r>
    <r>
      <rPr>
        <sz val="10"/>
        <rFont val="Carlito"/>
        <family val="2"/>
      </rPr>
      <t xml:space="preserve">, </t>
    </r>
    <r>
      <rPr>
        <sz val="10"/>
        <rFont val="Carlito"/>
      </rPr>
      <t>입히다</t>
    </r>
  </si>
  <si>
    <r>
      <rPr>
        <sz val="10"/>
        <rFont val="Carlito"/>
      </rPr>
      <t>기발한</t>
    </r>
    <r>
      <rPr>
        <sz val="10"/>
        <rFont val="Carlito"/>
        <family val="2"/>
      </rPr>
      <t xml:space="preserve">, </t>
    </r>
    <r>
      <rPr>
        <sz val="10"/>
        <rFont val="Carlito"/>
      </rPr>
      <t>독창적인</t>
    </r>
  </si>
  <si>
    <r>
      <rPr>
        <sz val="10"/>
        <rFont val="Carlito"/>
      </rPr>
      <t>섭취</t>
    </r>
  </si>
  <si>
    <r>
      <rPr>
        <sz val="10"/>
        <rFont val="Carlito"/>
      </rPr>
      <t>지불</t>
    </r>
    <r>
      <rPr>
        <sz val="10"/>
        <rFont val="Carlito"/>
        <family val="2"/>
      </rPr>
      <t xml:space="preserve"> </t>
    </r>
    <r>
      <rPr>
        <sz val="10"/>
        <rFont val="Carlito"/>
      </rPr>
      <t>불능의</t>
    </r>
    <r>
      <rPr>
        <sz val="10"/>
        <rFont val="Carlito"/>
        <family val="2"/>
      </rPr>
      <t xml:space="preserve">, </t>
    </r>
    <r>
      <rPr>
        <sz val="10"/>
        <rFont val="Carlito"/>
      </rPr>
      <t>파산한</t>
    </r>
  </si>
  <si>
    <r>
      <rPr>
        <sz val="10"/>
        <rFont val="Carlito"/>
      </rPr>
      <t>제도화하다</t>
    </r>
  </si>
  <si>
    <r>
      <rPr>
        <sz val="10"/>
        <rFont val="Carlito"/>
      </rPr>
      <t>반란</t>
    </r>
    <r>
      <rPr>
        <sz val="10"/>
        <rFont val="Carlito"/>
        <family val="2"/>
      </rPr>
      <t xml:space="preserve">, </t>
    </r>
    <r>
      <rPr>
        <sz val="10"/>
        <rFont val="Carlito"/>
      </rPr>
      <t>폭동</t>
    </r>
  </si>
  <si>
    <r>
      <rPr>
        <sz val="10"/>
        <rFont val="Carlito"/>
      </rPr>
      <t>극복하기</t>
    </r>
    <r>
      <rPr>
        <sz val="10"/>
        <rFont val="Carlito"/>
        <family val="2"/>
      </rPr>
      <t xml:space="preserve"> </t>
    </r>
    <r>
      <rPr>
        <sz val="10"/>
        <rFont val="Carlito"/>
      </rPr>
      <t>어려운</t>
    </r>
  </si>
  <si>
    <r>
      <rPr>
        <sz val="10"/>
        <rFont val="Carlito"/>
      </rPr>
      <t>서로</t>
    </r>
    <r>
      <rPr>
        <sz val="10"/>
        <rFont val="Carlito"/>
        <family val="2"/>
      </rPr>
      <t xml:space="preserve"> </t>
    </r>
    <r>
      <rPr>
        <sz val="10"/>
        <rFont val="Carlito"/>
      </rPr>
      <t>맞물리는</t>
    </r>
  </si>
  <si>
    <r>
      <rPr>
        <sz val="10"/>
        <rFont val="Carlito"/>
      </rPr>
      <t>개입주의자</t>
    </r>
    <r>
      <rPr>
        <sz val="10"/>
        <rFont val="Carlito"/>
        <family val="2"/>
      </rPr>
      <t xml:space="preserve">; </t>
    </r>
    <r>
      <rPr>
        <sz val="10"/>
        <rFont val="Carlito"/>
      </rPr>
      <t>개입주의의</t>
    </r>
  </si>
  <si>
    <r>
      <rPr>
        <sz val="10"/>
        <rFont val="Carlito"/>
      </rPr>
      <t>복잡한</t>
    </r>
    <r>
      <rPr>
        <sz val="10"/>
        <rFont val="Carlito"/>
        <family val="2"/>
      </rPr>
      <t xml:space="preserve">, </t>
    </r>
    <r>
      <rPr>
        <sz val="10"/>
        <rFont val="Carlito"/>
      </rPr>
      <t>정교한</t>
    </r>
  </si>
  <si>
    <r>
      <rPr>
        <sz val="10"/>
        <rFont val="Carlito"/>
      </rPr>
      <t>이온</t>
    </r>
  </si>
  <si>
    <r>
      <rPr>
        <sz val="10"/>
        <rFont val="Carlito"/>
      </rPr>
      <t>되돌릴</t>
    </r>
    <r>
      <rPr>
        <sz val="10"/>
        <rFont val="Carlito"/>
        <family val="2"/>
      </rPr>
      <t xml:space="preserve"> </t>
    </r>
    <r>
      <rPr>
        <sz val="10"/>
        <rFont val="Carlito"/>
      </rPr>
      <t>수</t>
    </r>
    <r>
      <rPr>
        <sz val="10"/>
        <rFont val="Carlito"/>
        <family val="2"/>
      </rPr>
      <t xml:space="preserve"> </t>
    </r>
    <r>
      <rPr>
        <sz val="10"/>
        <rFont val="Carlito"/>
      </rPr>
      <t>없는</t>
    </r>
  </si>
  <si>
    <r>
      <rPr>
        <sz val="10"/>
        <rFont val="Carlito"/>
      </rPr>
      <t>고립주의자</t>
    </r>
    <r>
      <rPr>
        <sz val="10"/>
        <rFont val="Carlito"/>
        <family val="2"/>
      </rPr>
      <t xml:space="preserve">; </t>
    </r>
    <r>
      <rPr>
        <sz val="10"/>
        <rFont val="Carlito"/>
      </rPr>
      <t>고립주의의</t>
    </r>
  </si>
  <si>
    <r>
      <rPr>
        <sz val="10"/>
        <rFont val="Carlito"/>
      </rPr>
      <t>거슬리는</t>
    </r>
    <r>
      <rPr>
        <sz val="10"/>
        <rFont val="Carlito"/>
        <family val="2"/>
      </rPr>
      <t xml:space="preserve">, </t>
    </r>
    <r>
      <rPr>
        <sz val="10"/>
        <rFont val="Carlito"/>
      </rPr>
      <t>부조화의</t>
    </r>
  </si>
  <si>
    <r>
      <rPr>
        <sz val="10"/>
        <rFont val="Carlito"/>
      </rPr>
      <t>활성화하다</t>
    </r>
    <r>
      <rPr>
        <sz val="10"/>
        <rFont val="Carlito"/>
        <family val="2"/>
      </rPr>
      <t xml:space="preserve">, </t>
    </r>
    <r>
      <rPr>
        <sz val="10"/>
        <rFont val="Carlito"/>
      </rPr>
      <t>시동을</t>
    </r>
    <r>
      <rPr>
        <sz val="10"/>
        <rFont val="Carlito"/>
        <family val="2"/>
      </rPr>
      <t xml:space="preserve"> </t>
    </r>
    <r>
      <rPr>
        <sz val="10"/>
        <rFont val="Carlito"/>
      </rPr>
      <t>걸다</t>
    </r>
  </si>
  <si>
    <r>
      <rPr>
        <sz val="10"/>
        <rFont val="Carlito"/>
      </rPr>
      <t>리베이트</t>
    </r>
    <r>
      <rPr>
        <sz val="10"/>
        <rFont val="Carlito"/>
        <family val="2"/>
      </rPr>
      <t xml:space="preserve">, </t>
    </r>
    <r>
      <rPr>
        <sz val="10"/>
        <rFont val="Carlito"/>
      </rPr>
      <t>뒷돈</t>
    </r>
  </si>
  <si>
    <r>
      <rPr>
        <sz val="10"/>
        <rFont val="Carlito"/>
      </rPr>
      <t>불러일으키다</t>
    </r>
    <r>
      <rPr>
        <sz val="10"/>
        <rFont val="Carlito"/>
        <family val="2"/>
      </rPr>
      <t xml:space="preserve">, </t>
    </r>
    <r>
      <rPr>
        <sz val="10"/>
        <rFont val="Carlito"/>
      </rPr>
      <t>촉발하다</t>
    </r>
  </si>
  <si>
    <r>
      <t>~</t>
    </r>
    <r>
      <rPr>
        <sz val="10"/>
        <rFont val="Carlito"/>
      </rPr>
      <t>로</t>
    </r>
    <r>
      <rPr>
        <sz val="10"/>
        <rFont val="Carlito"/>
        <family val="2"/>
      </rPr>
      <t xml:space="preserve"> </t>
    </r>
    <r>
      <rPr>
        <sz val="10"/>
        <rFont val="Carlito"/>
      </rPr>
      <t>가득</t>
    </r>
    <r>
      <rPr>
        <sz val="10"/>
        <rFont val="Carlito"/>
        <family val="2"/>
      </rPr>
      <t xml:space="preserve"> </t>
    </r>
    <r>
      <rPr>
        <sz val="10"/>
        <rFont val="Carlito"/>
      </rPr>
      <t>찬</t>
    </r>
  </si>
  <si>
    <r>
      <rPr>
        <sz val="10"/>
        <rFont val="Carlito"/>
      </rPr>
      <t>혹평하다</t>
    </r>
  </si>
  <si>
    <r>
      <rPr>
        <sz val="10"/>
        <rFont val="Carlito"/>
      </rPr>
      <t>방치되다</t>
    </r>
    <r>
      <rPr>
        <sz val="10"/>
        <rFont val="Carlito"/>
        <family val="2"/>
      </rPr>
      <t xml:space="preserve">, </t>
    </r>
    <r>
      <rPr>
        <sz val="10"/>
        <rFont val="Carlito"/>
      </rPr>
      <t>시들다</t>
    </r>
  </si>
  <si>
    <r>
      <rPr>
        <sz val="10"/>
        <rFont val="Carlito"/>
      </rPr>
      <t>느슨한</t>
    </r>
    <r>
      <rPr>
        <sz val="10"/>
        <rFont val="Carlito"/>
        <family val="2"/>
      </rPr>
      <t xml:space="preserve">, </t>
    </r>
    <r>
      <rPr>
        <sz val="10"/>
        <rFont val="Carlito"/>
      </rPr>
      <t>허술한</t>
    </r>
  </si>
  <si>
    <r>
      <rPr>
        <sz val="10"/>
        <rFont val="Carlito"/>
      </rPr>
      <t>법적</t>
    </r>
    <r>
      <rPr>
        <sz val="10"/>
        <rFont val="Carlito"/>
        <family val="2"/>
      </rPr>
      <t xml:space="preserve"> </t>
    </r>
    <r>
      <rPr>
        <sz val="10"/>
        <rFont val="Carlito"/>
      </rPr>
      <t>구제</t>
    </r>
    <r>
      <rPr>
        <sz val="10"/>
        <rFont val="Carlito"/>
        <family val="2"/>
      </rPr>
      <t xml:space="preserve"> </t>
    </r>
    <r>
      <rPr>
        <sz val="10"/>
        <rFont val="Carlito"/>
      </rPr>
      <t>수단</t>
    </r>
  </si>
  <si>
    <r>
      <rPr>
        <sz val="10"/>
        <rFont val="Carlito"/>
      </rPr>
      <t>입법</t>
    </r>
    <r>
      <rPr>
        <sz val="10"/>
        <rFont val="Carlito"/>
        <family val="2"/>
      </rPr>
      <t xml:space="preserve"> </t>
    </r>
    <r>
      <rPr>
        <sz val="10"/>
        <rFont val="Carlito"/>
      </rPr>
      <t>의회</t>
    </r>
  </si>
  <si>
    <r>
      <rPr>
        <sz val="10"/>
        <rFont val="Carlito"/>
      </rPr>
      <t>타당성</t>
    </r>
    <r>
      <rPr>
        <sz val="10"/>
        <rFont val="Carlito"/>
        <family val="2"/>
      </rPr>
      <t xml:space="preserve">, </t>
    </r>
    <r>
      <rPr>
        <sz val="10"/>
        <rFont val="Carlito"/>
      </rPr>
      <t>정당성</t>
    </r>
  </si>
  <si>
    <r>
      <rPr>
        <sz val="10"/>
        <rFont val="Carlito"/>
      </rPr>
      <t>정당한</t>
    </r>
    <r>
      <rPr>
        <sz val="10"/>
        <rFont val="Carlito"/>
        <family val="2"/>
      </rPr>
      <t xml:space="preserve">, </t>
    </r>
    <r>
      <rPr>
        <sz val="10"/>
        <rFont val="Carlito"/>
      </rPr>
      <t>합법적인</t>
    </r>
    <r>
      <rPr>
        <sz val="10"/>
        <rFont val="Carlito"/>
        <family val="2"/>
      </rPr>
      <t xml:space="preserve"> / </t>
    </r>
    <r>
      <rPr>
        <sz val="10"/>
        <rFont val="Carlito"/>
      </rPr>
      <t>합법적인</t>
    </r>
    <r>
      <rPr>
        <sz val="10"/>
        <rFont val="Carlito"/>
        <family val="2"/>
      </rPr>
      <t xml:space="preserve">, </t>
    </r>
    <r>
      <rPr>
        <sz val="10"/>
        <rFont val="Carlito"/>
      </rPr>
      <t>정당한</t>
    </r>
  </si>
  <si>
    <r>
      <rPr>
        <sz val="10"/>
        <rFont val="Carlito"/>
      </rPr>
      <t>오페라</t>
    </r>
    <r>
      <rPr>
        <sz val="10"/>
        <rFont val="Carlito"/>
        <family val="2"/>
      </rPr>
      <t xml:space="preserve"> </t>
    </r>
    <r>
      <rPr>
        <sz val="10"/>
        <rFont val="Carlito"/>
      </rPr>
      <t>대본</t>
    </r>
  </si>
  <si>
    <r>
      <rPr>
        <sz val="10"/>
        <rFont val="Carlito"/>
      </rPr>
      <t>생명</t>
    </r>
    <r>
      <rPr>
        <sz val="10"/>
        <rFont val="Carlito"/>
        <family val="2"/>
      </rPr>
      <t xml:space="preserve"> </t>
    </r>
    <r>
      <rPr>
        <sz val="10"/>
        <rFont val="Carlito"/>
      </rPr>
      <t>유지가</t>
    </r>
    <r>
      <rPr>
        <sz val="10"/>
        <rFont val="Carlito"/>
        <family val="2"/>
      </rPr>
      <t xml:space="preserve"> </t>
    </r>
    <r>
      <rPr>
        <sz val="10"/>
        <rFont val="Carlito"/>
      </rPr>
      <t>가능한</t>
    </r>
  </si>
  <si>
    <r>
      <rPr>
        <sz val="10"/>
        <rFont val="Carlito"/>
      </rPr>
      <t>제출하다</t>
    </r>
    <r>
      <rPr>
        <sz val="10"/>
        <rFont val="Carlito"/>
        <family val="2"/>
      </rPr>
      <t xml:space="preserve">, </t>
    </r>
    <r>
      <rPr>
        <sz val="10"/>
        <rFont val="Carlito"/>
      </rPr>
      <t>제기하다</t>
    </r>
  </si>
  <si>
    <r>
      <rPr>
        <sz val="10"/>
        <rFont val="Carlito"/>
      </rPr>
      <t>장수</t>
    </r>
    <r>
      <rPr>
        <sz val="10"/>
        <rFont val="Carlito"/>
        <family val="2"/>
      </rPr>
      <t xml:space="preserve">, </t>
    </r>
    <r>
      <rPr>
        <sz val="10"/>
        <rFont val="Carlito"/>
      </rPr>
      <t>오래</t>
    </r>
    <r>
      <rPr>
        <sz val="10"/>
        <rFont val="Carlito"/>
        <family val="2"/>
      </rPr>
      <t xml:space="preserve"> </t>
    </r>
    <r>
      <rPr>
        <sz val="10"/>
        <rFont val="Carlito"/>
      </rPr>
      <t>지속됨</t>
    </r>
  </si>
  <si>
    <r>
      <rPr>
        <sz val="10"/>
        <rFont val="Carlito"/>
      </rPr>
      <t>다가오다</t>
    </r>
    <r>
      <rPr>
        <sz val="10"/>
        <rFont val="Carlito"/>
        <family val="2"/>
      </rPr>
      <t xml:space="preserve">, </t>
    </r>
    <r>
      <rPr>
        <sz val="10"/>
        <rFont val="Carlito"/>
      </rPr>
      <t>위협적으로</t>
    </r>
    <r>
      <rPr>
        <sz val="10"/>
        <rFont val="Carlito"/>
        <family val="2"/>
      </rPr>
      <t xml:space="preserve"> </t>
    </r>
    <r>
      <rPr>
        <sz val="10"/>
        <rFont val="Carlito"/>
      </rPr>
      <t>어렴풋이</t>
    </r>
    <r>
      <rPr>
        <sz val="10"/>
        <rFont val="Carlito"/>
        <family val="2"/>
      </rPr>
      <t xml:space="preserve"> </t>
    </r>
    <r>
      <rPr>
        <sz val="10"/>
        <rFont val="Carlito"/>
      </rPr>
      <t>보이다</t>
    </r>
  </si>
  <si>
    <r>
      <rPr>
        <sz val="10"/>
        <rFont val="Carlito"/>
      </rPr>
      <t>거물</t>
    </r>
    <r>
      <rPr>
        <sz val="10"/>
        <rFont val="Carlito"/>
        <family val="2"/>
      </rPr>
      <t xml:space="preserve">, </t>
    </r>
    <r>
      <rPr>
        <sz val="10"/>
        <rFont val="Carlito"/>
      </rPr>
      <t>유력</t>
    </r>
    <r>
      <rPr>
        <sz val="10"/>
        <rFont val="Carlito"/>
        <family val="2"/>
      </rPr>
      <t xml:space="preserve"> </t>
    </r>
    <r>
      <rPr>
        <sz val="10"/>
        <rFont val="Carlito"/>
      </rPr>
      <t>사업가</t>
    </r>
  </si>
  <si>
    <r>
      <rPr>
        <sz val="10"/>
        <rFont val="Carlito"/>
      </rPr>
      <t>징후</t>
    </r>
    <r>
      <rPr>
        <sz val="10"/>
        <rFont val="Carlito"/>
        <family val="2"/>
      </rPr>
      <t xml:space="preserve">, </t>
    </r>
    <r>
      <rPr>
        <sz val="10"/>
        <rFont val="Carlito"/>
      </rPr>
      <t>나타남</t>
    </r>
  </si>
  <si>
    <r>
      <rPr>
        <sz val="10"/>
        <rFont val="Carlito"/>
      </rPr>
      <t>기계화</t>
    </r>
  </si>
  <si>
    <r>
      <rPr>
        <sz val="10"/>
        <rFont val="Carlito"/>
      </rPr>
      <t>대대적인</t>
    </r>
    <r>
      <rPr>
        <sz val="10"/>
        <rFont val="Carlito"/>
        <family val="2"/>
      </rPr>
      <t xml:space="preserve"> </t>
    </r>
    <r>
      <rPr>
        <sz val="10"/>
        <rFont val="Carlito"/>
      </rPr>
      <t>언론</t>
    </r>
    <r>
      <rPr>
        <sz val="10"/>
        <rFont val="Carlito"/>
        <family val="2"/>
      </rPr>
      <t xml:space="preserve"> </t>
    </r>
    <r>
      <rPr>
        <sz val="10"/>
        <rFont val="Carlito"/>
      </rPr>
      <t>캠페인</t>
    </r>
  </si>
  <si>
    <r>
      <rPr>
        <sz val="10"/>
        <rFont val="Carlito"/>
      </rPr>
      <t>급격한</t>
    </r>
    <r>
      <rPr>
        <sz val="10"/>
        <rFont val="Carlito"/>
        <family val="2"/>
      </rPr>
      <t xml:space="preserve">, </t>
    </r>
    <r>
      <rPr>
        <sz val="10"/>
        <rFont val="Carlito"/>
      </rPr>
      <t>눈부신</t>
    </r>
  </si>
  <si>
    <r>
      <rPr>
        <sz val="10"/>
        <rFont val="Carlito"/>
      </rPr>
      <t>미생물</t>
    </r>
  </si>
  <si>
    <r>
      <rPr>
        <sz val="10"/>
        <rFont val="Carlito"/>
      </rPr>
      <t>녹은</t>
    </r>
    <r>
      <rPr>
        <sz val="10"/>
        <rFont val="Carlito"/>
        <family val="2"/>
      </rPr>
      <t xml:space="preserve">, </t>
    </r>
    <r>
      <rPr>
        <sz val="10"/>
        <rFont val="Carlito"/>
      </rPr>
      <t>용융된</t>
    </r>
  </si>
  <si>
    <r>
      <rPr>
        <sz val="10"/>
        <rFont val="Carlito"/>
      </rPr>
      <t>녹은</t>
    </r>
    <r>
      <rPr>
        <sz val="10"/>
        <rFont val="Carlito"/>
        <family val="2"/>
      </rPr>
      <t xml:space="preserve"> </t>
    </r>
    <r>
      <rPr>
        <sz val="10"/>
        <rFont val="Carlito"/>
      </rPr>
      <t>맨틀</t>
    </r>
  </si>
  <si>
    <r>
      <rPr>
        <sz val="10"/>
        <rFont val="Carlito"/>
      </rPr>
      <t>단음절의</t>
    </r>
  </si>
  <si>
    <r>
      <rPr>
        <sz val="10"/>
        <rFont val="Carlito"/>
      </rPr>
      <t>모기가</t>
    </r>
    <r>
      <rPr>
        <sz val="10"/>
        <rFont val="Carlito"/>
        <family val="2"/>
      </rPr>
      <t xml:space="preserve"> </t>
    </r>
    <r>
      <rPr>
        <sz val="10"/>
        <rFont val="Carlito"/>
      </rPr>
      <t>옮기는</t>
    </r>
  </si>
  <si>
    <r>
      <rPr>
        <sz val="10"/>
        <rFont val="Carlito"/>
      </rPr>
      <t>균근</t>
    </r>
  </si>
  <si>
    <r>
      <rPr>
        <sz val="10"/>
        <rFont val="Carlito"/>
      </rPr>
      <t>귀화</t>
    </r>
    <r>
      <rPr>
        <sz val="10"/>
        <rFont val="Carlito"/>
        <family val="2"/>
      </rPr>
      <t xml:space="preserve"> </t>
    </r>
    <r>
      <rPr>
        <sz val="10"/>
        <rFont val="Carlito"/>
      </rPr>
      <t>시민권</t>
    </r>
  </si>
  <si>
    <r>
      <rPr>
        <sz val="10"/>
        <rFont val="Carlito"/>
      </rPr>
      <t>미미한</t>
    </r>
  </si>
  <si>
    <r>
      <rPr>
        <sz val="10"/>
        <rFont val="Carlito"/>
      </rPr>
      <t>네오니코티노이드계</t>
    </r>
    <r>
      <rPr>
        <sz val="10"/>
        <rFont val="Carlito"/>
        <family val="2"/>
      </rPr>
      <t xml:space="preserve"> </t>
    </r>
    <r>
      <rPr>
        <sz val="10"/>
        <rFont val="Carlito"/>
      </rPr>
      <t>살충제</t>
    </r>
  </si>
  <si>
    <r>
      <rPr>
        <sz val="10"/>
        <rFont val="Carlito"/>
      </rPr>
      <t>신경</t>
    </r>
    <r>
      <rPr>
        <sz val="10"/>
        <rFont val="Carlito"/>
        <family val="2"/>
      </rPr>
      <t xml:space="preserve"> </t>
    </r>
    <r>
      <rPr>
        <sz val="10"/>
        <rFont val="Carlito"/>
      </rPr>
      <t>경로</t>
    </r>
  </si>
  <si>
    <r>
      <rPr>
        <sz val="10"/>
        <rFont val="Carlito"/>
      </rPr>
      <t>신경생성</t>
    </r>
  </si>
  <si>
    <r>
      <rPr>
        <sz val="10"/>
        <rFont val="Carlito"/>
      </rPr>
      <t>이산화질소</t>
    </r>
    <r>
      <rPr>
        <sz val="10"/>
        <rFont val="Carlito"/>
        <family val="2"/>
      </rPr>
      <t xml:space="preserve"> </t>
    </r>
    <r>
      <rPr>
        <sz val="10"/>
        <rFont val="Carlito"/>
      </rPr>
      <t>배출</t>
    </r>
  </si>
  <si>
    <r>
      <rPr>
        <sz val="10"/>
        <rFont val="Carlito"/>
      </rPr>
      <t>불이행</t>
    </r>
    <r>
      <rPr>
        <sz val="10"/>
        <rFont val="Carlito"/>
        <family val="2"/>
      </rPr>
      <t xml:space="preserve">, </t>
    </r>
    <r>
      <rPr>
        <sz val="10"/>
        <rFont val="Carlito"/>
      </rPr>
      <t>미준수</t>
    </r>
  </si>
  <si>
    <r>
      <rPr>
        <sz val="10"/>
        <rFont val="Carlito"/>
      </rPr>
      <t>비정부기구</t>
    </r>
  </si>
  <si>
    <r>
      <rPr>
        <sz val="10"/>
        <rFont val="Carlito"/>
      </rPr>
      <t>미묘하고</t>
    </r>
    <r>
      <rPr>
        <sz val="10"/>
        <rFont val="Carlito"/>
        <family val="2"/>
      </rPr>
      <t xml:space="preserve"> </t>
    </r>
    <r>
      <rPr>
        <sz val="10"/>
        <rFont val="Carlito"/>
      </rPr>
      <t>세분화된</t>
    </r>
    <r>
      <rPr>
        <sz val="10"/>
        <rFont val="Carlito"/>
        <family val="2"/>
      </rPr>
      <t xml:space="preserve"> </t>
    </r>
    <r>
      <rPr>
        <sz val="10"/>
        <rFont val="Carlito"/>
      </rPr>
      <t>입장</t>
    </r>
  </si>
  <si>
    <r>
      <rPr>
        <sz val="10"/>
        <rFont val="Carlito"/>
      </rPr>
      <t>막힘</t>
    </r>
    <r>
      <rPr>
        <sz val="10"/>
        <rFont val="Carlito"/>
        <family val="2"/>
      </rPr>
      <t xml:space="preserve">, </t>
    </r>
    <r>
      <rPr>
        <sz val="10"/>
        <rFont val="Carlito"/>
      </rPr>
      <t>방해</t>
    </r>
  </si>
  <si>
    <r>
      <rPr>
        <sz val="10"/>
        <rFont val="Carlito"/>
      </rPr>
      <t>누락</t>
    </r>
  </si>
  <si>
    <r>
      <rPr>
        <sz val="10"/>
        <rFont val="Carlito"/>
      </rPr>
      <t>발병</t>
    </r>
    <r>
      <rPr>
        <sz val="10"/>
        <rFont val="Carlito"/>
        <family val="2"/>
      </rPr>
      <t xml:space="preserve">, </t>
    </r>
    <r>
      <rPr>
        <sz val="10"/>
        <rFont val="Carlito"/>
      </rPr>
      <t>시작</t>
    </r>
  </si>
  <si>
    <r>
      <rPr>
        <sz val="10"/>
        <rFont val="Carlito"/>
      </rPr>
      <t>맹공격</t>
    </r>
  </si>
  <si>
    <r>
      <rPr>
        <sz val="10"/>
        <rFont val="Carlito"/>
      </rPr>
      <t>축출하다</t>
    </r>
  </si>
  <si>
    <r>
      <rPr>
        <sz val="10"/>
        <rFont val="Carlito"/>
      </rPr>
      <t>성과</t>
    </r>
    <r>
      <rPr>
        <sz val="10"/>
        <rFont val="Carlito"/>
        <family val="2"/>
      </rPr>
      <t xml:space="preserve"> </t>
    </r>
    <r>
      <rPr>
        <sz val="10"/>
        <rFont val="Carlito"/>
      </rPr>
      <t>중심의</t>
    </r>
  </si>
  <si>
    <r>
      <rPr>
        <sz val="10"/>
        <rFont val="Carlito"/>
      </rPr>
      <t>인구</t>
    </r>
    <r>
      <rPr>
        <sz val="10"/>
        <rFont val="Carlito"/>
        <family val="2"/>
      </rPr>
      <t xml:space="preserve"> </t>
    </r>
    <r>
      <rPr>
        <sz val="10"/>
        <rFont val="Carlito"/>
      </rPr>
      <t>과잉</t>
    </r>
  </si>
  <si>
    <r>
      <rPr>
        <sz val="10"/>
        <rFont val="Carlito"/>
      </rPr>
      <t>이교</t>
    </r>
    <r>
      <rPr>
        <sz val="10"/>
        <rFont val="Carlito"/>
        <family val="2"/>
      </rPr>
      <t xml:space="preserve"> </t>
    </r>
    <r>
      <rPr>
        <sz val="10"/>
        <rFont val="Carlito"/>
      </rPr>
      <t>신앙</t>
    </r>
  </si>
  <si>
    <r>
      <rPr>
        <sz val="10"/>
        <rFont val="Carlito"/>
      </rPr>
      <t>고생물학자</t>
    </r>
  </si>
  <si>
    <r>
      <rPr>
        <sz val="10"/>
        <rFont val="Carlito"/>
      </rPr>
      <t>고생물학</t>
    </r>
  </si>
  <si>
    <r>
      <rPr>
        <sz val="10"/>
        <rFont val="Carlito"/>
      </rPr>
      <t>기준</t>
    </r>
    <r>
      <rPr>
        <sz val="10"/>
        <rFont val="Carlito"/>
        <family val="2"/>
      </rPr>
      <t xml:space="preserve">, </t>
    </r>
    <r>
      <rPr>
        <sz val="10"/>
        <rFont val="Carlito"/>
      </rPr>
      <t>한계</t>
    </r>
    <r>
      <rPr>
        <sz val="10"/>
        <rFont val="Carlito"/>
        <family val="2"/>
      </rPr>
      <t xml:space="preserve">, </t>
    </r>
    <r>
      <rPr>
        <sz val="10"/>
        <rFont val="Carlito"/>
      </rPr>
      <t>매개변수</t>
    </r>
  </si>
  <si>
    <r>
      <rPr>
        <sz val="10"/>
        <rFont val="Carlito"/>
      </rPr>
      <t>기생하는</t>
    </r>
  </si>
  <si>
    <r>
      <rPr>
        <sz val="10"/>
        <rFont val="Carlito"/>
      </rPr>
      <t>교구민</t>
    </r>
  </si>
  <si>
    <r>
      <rPr>
        <sz val="10"/>
        <rFont val="Carlito"/>
      </rPr>
      <t>동등성</t>
    </r>
    <r>
      <rPr>
        <sz val="10"/>
        <rFont val="Carlito"/>
        <family val="2"/>
      </rPr>
      <t xml:space="preserve">, </t>
    </r>
    <r>
      <rPr>
        <sz val="10"/>
        <rFont val="Carlito"/>
      </rPr>
      <t>등가성</t>
    </r>
  </si>
  <si>
    <r>
      <rPr>
        <sz val="10"/>
        <rFont val="Carlito"/>
      </rPr>
      <t>당파적인</t>
    </r>
    <r>
      <rPr>
        <sz val="10"/>
        <rFont val="Carlito"/>
        <family val="2"/>
      </rPr>
      <t xml:space="preserve">, </t>
    </r>
    <r>
      <rPr>
        <sz val="10"/>
        <rFont val="Carlito"/>
      </rPr>
      <t>편파적인</t>
    </r>
  </si>
  <si>
    <r>
      <rPr>
        <sz val="10"/>
        <rFont val="Carlito"/>
      </rPr>
      <t>목초지</t>
    </r>
  </si>
  <si>
    <r>
      <rPr>
        <sz val="10"/>
        <rFont val="Carlito"/>
      </rPr>
      <t>병원균</t>
    </r>
  </si>
  <si>
    <r>
      <rPr>
        <sz val="10"/>
        <rFont val="Carlito"/>
      </rPr>
      <t>부족</t>
    </r>
    <r>
      <rPr>
        <sz val="10"/>
        <rFont val="Carlito"/>
        <family val="2"/>
      </rPr>
      <t xml:space="preserve">, </t>
    </r>
    <r>
      <rPr>
        <sz val="10"/>
        <rFont val="Carlito"/>
      </rPr>
      <t>결핍</t>
    </r>
  </si>
  <si>
    <r>
      <t>~</t>
    </r>
    <r>
      <rPr>
        <sz val="10"/>
        <rFont val="Carlito"/>
      </rPr>
      <t>로</t>
    </r>
    <r>
      <rPr>
        <sz val="10"/>
        <rFont val="Carlito"/>
        <family val="2"/>
      </rPr>
      <t xml:space="preserve"> </t>
    </r>
    <r>
      <rPr>
        <sz val="10"/>
        <rFont val="Carlito"/>
      </rPr>
      <t>낙인찍다</t>
    </r>
    <r>
      <rPr>
        <sz val="10"/>
        <rFont val="Carlito"/>
        <family val="2"/>
      </rPr>
      <t>/</t>
    </r>
    <r>
      <rPr>
        <sz val="10"/>
        <rFont val="Carlito"/>
      </rPr>
      <t>규정하다</t>
    </r>
  </si>
  <si>
    <r>
      <rPr>
        <sz val="10"/>
        <rFont val="Carlito"/>
      </rPr>
      <t>시장에</t>
    </r>
    <r>
      <rPr>
        <sz val="10"/>
        <rFont val="Carlito"/>
        <family val="2"/>
      </rPr>
      <t xml:space="preserve"> </t>
    </r>
    <r>
      <rPr>
        <sz val="10"/>
        <rFont val="Carlito"/>
      </rPr>
      <t>진입하다</t>
    </r>
  </si>
  <si>
    <r>
      <rPr>
        <sz val="10"/>
        <rFont val="Carlito"/>
      </rPr>
      <t>위험한</t>
    </r>
  </si>
  <si>
    <r>
      <rPr>
        <sz val="10"/>
        <rFont val="Carlito"/>
      </rPr>
      <t>위태롭게</t>
    </r>
    <r>
      <rPr>
        <sz val="10"/>
        <rFont val="Carlito"/>
        <family val="2"/>
      </rPr>
      <t xml:space="preserve">, </t>
    </r>
    <r>
      <rPr>
        <sz val="10"/>
        <rFont val="Carlito"/>
      </rPr>
      <t>위험할</t>
    </r>
    <r>
      <rPr>
        <sz val="10"/>
        <rFont val="Carlito"/>
        <family val="2"/>
      </rPr>
      <t xml:space="preserve"> </t>
    </r>
    <r>
      <rPr>
        <sz val="10"/>
        <rFont val="Carlito"/>
      </rPr>
      <t>정도로</t>
    </r>
  </si>
  <si>
    <r>
      <rPr>
        <sz val="10"/>
        <rFont val="Carlito"/>
      </rPr>
      <t>허용적인</t>
    </r>
    <r>
      <rPr>
        <sz val="10"/>
        <rFont val="Carlito"/>
        <family val="2"/>
      </rPr>
      <t xml:space="preserve">, </t>
    </r>
    <r>
      <rPr>
        <sz val="10"/>
        <rFont val="Carlito"/>
      </rPr>
      <t>관대한</t>
    </r>
  </si>
  <si>
    <r>
      <rPr>
        <sz val="10"/>
        <rFont val="Carlito"/>
      </rPr>
      <t>수직의</t>
    </r>
  </si>
  <si>
    <r>
      <t>~</t>
    </r>
    <r>
      <rPr>
        <sz val="10"/>
        <rFont val="Carlito"/>
      </rPr>
      <t>에</t>
    </r>
    <r>
      <rPr>
        <sz val="10"/>
        <rFont val="Carlito"/>
        <family val="2"/>
      </rPr>
      <t xml:space="preserve"> </t>
    </r>
    <r>
      <rPr>
        <sz val="10"/>
        <rFont val="Carlito"/>
      </rPr>
      <t>관한</t>
    </r>
  </si>
  <si>
    <r>
      <rPr>
        <sz val="10"/>
        <rFont val="Carlito"/>
      </rPr>
      <t>만연하게</t>
    </r>
  </si>
  <si>
    <r>
      <rPr>
        <sz val="10"/>
        <rFont val="Carlito"/>
      </rPr>
      <t>자선의</t>
    </r>
  </si>
  <si>
    <r>
      <rPr>
        <sz val="10"/>
        <rFont val="Carlito"/>
      </rPr>
      <t>음성적으로</t>
    </r>
    <r>
      <rPr>
        <sz val="10"/>
        <rFont val="Carlito"/>
        <family val="2"/>
      </rPr>
      <t xml:space="preserve"> </t>
    </r>
    <r>
      <rPr>
        <sz val="10"/>
        <rFont val="Carlito"/>
      </rPr>
      <t>유사한</t>
    </r>
  </si>
  <si>
    <r>
      <rPr>
        <sz val="10"/>
        <rFont val="Carlito"/>
      </rPr>
      <t>생리적인</t>
    </r>
  </si>
  <si>
    <r>
      <t>A</t>
    </r>
    <r>
      <rPr>
        <sz val="10"/>
        <rFont val="Carlito"/>
      </rPr>
      <t>와</t>
    </r>
    <r>
      <rPr>
        <sz val="10"/>
        <rFont val="Carlito"/>
        <family val="2"/>
      </rPr>
      <t xml:space="preserve"> B</t>
    </r>
    <r>
      <rPr>
        <sz val="10"/>
        <rFont val="Carlito"/>
      </rPr>
      <t>를</t>
    </r>
    <r>
      <rPr>
        <sz val="10"/>
        <rFont val="Carlito"/>
        <family val="2"/>
      </rPr>
      <t xml:space="preserve"> </t>
    </r>
    <r>
      <rPr>
        <sz val="10"/>
        <rFont val="Carlito"/>
      </rPr>
      <t>대립시키다</t>
    </r>
  </si>
  <si>
    <r>
      <rPr>
        <sz val="10"/>
        <rFont val="Carlito"/>
      </rPr>
      <t>표절</t>
    </r>
  </si>
  <si>
    <r>
      <rPr>
        <sz val="10"/>
        <rFont val="Carlito"/>
      </rPr>
      <t>식물</t>
    </r>
    <r>
      <rPr>
        <sz val="10"/>
        <rFont val="Carlito"/>
        <family val="2"/>
      </rPr>
      <t xml:space="preserve"> </t>
    </r>
    <r>
      <rPr>
        <sz val="10"/>
        <rFont val="Carlito"/>
      </rPr>
      <t>육종가</t>
    </r>
  </si>
  <si>
    <r>
      <rPr>
        <sz val="10"/>
        <rFont val="Carlito"/>
      </rPr>
      <t>폭락하다</t>
    </r>
  </si>
  <si>
    <r>
      <rPr>
        <sz val="10"/>
        <rFont val="Carlito"/>
      </rPr>
      <t>약탈하다</t>
    </r>
  </si>
  <si>
    <r>
      <rPr>
        <sz val="10"/>
        <rFont val="Carlito"/>
      </rPr>
      <t>대중</t>
    </r>
    <r>
      <rPr>
        <sz val="10"/>
        <rFont val="Carlito"/>
        <family val="2"/>
      </rPr>
      <t xml:space="preserve">, </t>
    </r>
    <r>
      <rPr>
        <sz val="10"/>
        <rFont val="Carlito"/>
      </rPr>
      <t>민중</t>
    </r>
  </si>
  <si>
    <r>
      <rPr>
        <sz val="10"/>
        <rFont val="Carlito"/>
      </rPr>
      <t>탈산업화의</t>
    </r>
  </si>
  <si>
    <r>
      <rPr>
        <sz val="10"/>
        <rFont val="Carlito"/>
      </rPr>
      <t>촉발하다</t>
    </r>
  </si>
  <si>
    <r>
      <rPr>
        <sz val="10"/>
        <rFont val="Carlito"/>
      </rPr>
      <t>불가능하게</t>
    </r>
    <r>
      <rPr>
        <sz val="10"/>
        <rFont val="Carlito"/>
        <family val="2"/>
      </rPr>
      <t xml:space="preserve"> </t>
    </r>
    <r>
      <rPr>
        <sz val="10"/>
        <rFont val="Carlito"/>
      </rPr>
      <t>하다</t>
    </r>
    <r>
      <rPr>
        <sz val="10"/>
        <rFont val="Carlito"/>
        <family val="2"/>
      </rPr>
      <t xml:space="preserve">, </t>
    </r>
    <r>
      <rPr>
        <sz val="10"/>
        <rFont val="Carlito"/>
      </rPr>
      <t>막다</t>
    </r>
  </si>
  <si>
    <r>
      <rPr>
        <sz val="10"/>
        <rFont val="Carlito"/>
      </rPr>
      <t>약탈적인</t>
    </r>
    <r>
      <rPr>
        <sz val="10"/>
        <rFont val="Carlito"/>
        <family val="2"/>
      </rPr>
      <t xml:space="preserve">, </t>
    </r>
    <r>
      <rPr>
        <sz val="10"/>
        <rFont val="Carlito"/>
      </rPr>
      <t>착취적인</t>
    </r>
  </si>
  <si>
    <r>
      <t>~</t>
    </r>
    <r>
      <rPr>
        <sz val="10"/>
        <rFont val="Carlito"/>
      </rPr>
      <t>하기</t>
    </r>
    <r>
      <rPr>
        <sz val="10"/>
        <rFont val="Carlito"/>
        <family val="2"/>
      </rPr>
      <t xml:space="preserve"> </t>
    </r>
    <r>
      <rPr>
        <sz val="10"/>
        <rFont val="Carlito"/>
      </rPr>
      <t>쉽게</t>
    </r>
    <r>
      <rPr>
        <sz val="10"/>
        <rFont val="Carlito"/>
        <family val="2"/>
      </rPr>
      <t xml:space="preserve"> </t>
    </r>
    <r>
      <rPr>
        <sz val="10"/>
        <rFont val="Carlito"/>
      </rPr>
      <t>만들다</t>
    </r>
  </si>
  <si>
    <r>
      <rPr>
        <sz val="10"/>
        <rFont val="Carlito"/>
      </rPr>
      <t>우세하다</t>
    </r>
    <r>
      <rPr>
        <sz val="10"/>
        <rFont val="Carlito"/>
        <family val="2"/>
      </rPr>
      <t xml:space="preserve">, </t>
    </r>
    <r>
      <rPr>
        <sz val="10"/>
        <rFont val="Carlito"/>
      </rPr>
      <t>지배적이다</t>
    </r>
  </si>
  <si>
    <r>
      <rPr>
        <sz val="10"/>
        <rFont val="Carlito"/>
      </rPr>
      <t>특혜</t>
    </r>
  </si>
  <si>
    <r>
      <rPr>
        <sz val="10"/>
        <rFont val="Carlito"/>
      </rPr>
      <t>선견지명이</t>
    </r>
    <r>
      <rPr>
        <sz val="10"/>
        <rFont val="Carlito"/>
        <family val="2"/>
      </rPr>
      <t xml:space="preserve"> </t>
    </r>
    <r>
      <rPr>
        <sz val="10"/>
        <rFont val="Carlito"/>
      </rPr>
      <t>있는</t>
    </r>
  </si>
  <si>
    <r>
      <rPr>
        <sz val="10"/>
        <rFont val="Carlito"/>
      </rPr>
      <t>주재하다</t>
    </r>
  </si>
  <si>
    <r>
      <rPr>
        <sz val="10"/>
        <rFont val="Carlito"/>
      </rPr>
      <t>언론</t>
    </r>
    <r>
      <rPr>
        <sz val="10"/>
        <rFont val="Carlito"/>
        <family val="2"/>
      </rPr>
      <t xml:space="preserve"> </t>
    </r>
    <r>
      <rPr>
        <sz val="10"/>
        <rFont val="Carlito"/>
      </rPr>
      <t>검열</t>
    </r>
  </si>
  <si>
    <r>
      <rPr>
        <sz val="10"/>
        <rFont val="Carlito"/>
      </rPr>
      <t>널리</t>
    </r>
    <r>
      <rPr>
        <sz val="10"/>
        <rFont val="Carlito"/>
        <family val="2"/>
      </rPr>
      <t xml:space="preserve"> </t>
    </r>
    <r>
      <rPr>
        <sz val="10"/>
        <rFont val="Carlito"/>
      </rPr>
      <t>퍼짐</t>
    </r>
    <r>
      <rPr>
        <sz val="10"/>
        <rFont val="Carlito"/>
        <family val="2"/>
      </rPr>
      <t xml:space="preserve">, </t>
    </r>
    <r>
      <rPr>
        <sz val="10"/>
        <rFont val="Carlito"/>
      </rPr>
      <t>유행</t>
    </r>
  </si>
  <si>
    <r>
      <rPr>
        <sz val="10"/>
        <rFont val="Carlito"/>
      </rPr>
      <t>깊은</t>
    </r>
    <r>
      <rPr>
        <sz val="10"/>
        <rFont val="Carlito"/>
        <family val="2"/>
      </rPr>
      <t xml:space="preserve"> </t>
    </r>
    <r>
      <rPr>
        <sz val="10"/>
        <rFont val="Carlito"/>
      </rPr>
      <t>심리적</t>
    </r>
    <r>
      <rPr>
        <sz val="10"/>
        <rFont val="Carlito"/>
        <family val="2"/>
      </rPr>
      <t xml:space="preserve"> </t>
    </r>
    <r>
      <rPr>
        <sz val="10"/>
        <rFont val="Carlito"/>
      </rPr>
      <t>영향</t>
    </r>
  </si>
  <si>
    <r>
      <rPr>
        <sz val="10"/>
        <rFont val="Carlito"/>
      </rPr>
      <t>급증</t>
    </r>
    <r>
      <rPr>
        <sz val="10"/>
        <rFont val="Carlito"/>
        <family val="2"/>
      </rPr>
      <t xml:space="preserve">, </t>
    </r>
    <r>
      <rPr>
        <sz val="10"/>
        <rFont val="Carlito"/>
      </rPr>
      <t>확산</t>
    </r>
  </si>
  <si>
    <r>
      <rPr>
        <sz val="10"/>
        <rFont val="Carlito"/>
      </rPr>
      <t>번식시키다</t>
    </r>
    <r>
      <rPr>
        <sz val="10"/>
        <rFont val="Carlito"/>
        <family val="2"/>
      </rPr>
      <t xml:space="preserve">, </t>
    </r>
    <r>
      <rPr>
        <sz val="10"/>
        <rFont val="Carlito"/>
      </rPr>
      <t>전파하다</t>
    </r>
    <r>
      <rPr>
        <sz val="10"/>
        <rFont val="Carlito"/>
        <family val="2"/>
      </rPr>
      <t xml:space="preserve"> / </t>
    </r>
    <r>
      <rPr>
        <sz val="10"/>
        <rFont val="Carlito"/>
      </rPr>
      <t>번식시키다</t>
    </r>
  </si>
  <si>
    <r>
      <rPr>
        <sz val="10"/>
        <rFont val="Carlito"/>
      </rPr>
      <t>평범한</t>
    </r>
    <r>
      <rPr>
        <sz val="10"/>
        <rFont val="Carlito"/>
        <family val="2"/>
      </rPr>
      <t xml:space="preserve">, </t>
    </r>
    <r>
      <rPr>
        <sz val="10"/>
        <rFont val="Carlito"/>
      </rPr>
      <t>지루한</t>
    </r>
  </si>
  <si>
    <r>
      <rPr>
        <sz val="10"/>
        <rFont val="Carlito"/>
      </rPr>
      <t>뛰어난</t>
    </r>
    <r>
      <rPr>
        <sz val="10"/>
        <rFont val="Carlito"/>
        <family val="2"/>
      </rPr>
      <t xml:space="preserve"> </t>
    </r>
    <r>
      <rPr>
        <sz val="10"/>
        <rFont val="Carlito"/>
      </rPr>
      <t>기량</t>
    </r>
  </si>
  <si>
    <r>
      <rPr>
        <sz val="10"/>
        <rFont val="Carlito"/>
      </rPr>
      <t>가까운</t>
    </r>
    <r>
      <rPr>
        <sz val="10"/>
        <rFont val="Carlito"/>
        <family val="2"/>
      </rPr>
      <t xml:space="preserve"> </t>
    </r>
    <r>
      <rPr>
        <sz val="10"/>
        <rFont val="Carlito"/>
      </rPr>
      <t>관찰자</t>
    </r>
  </si>
  <si>
    <r>
      <rPr>
        <sz val="10"/>
        <rFont val="Carlito"/>
      </rPr>
      <t>신중한</t>
    </r>
    <r>
      <rPr>
        <sz val="10"/>
        <rFont val="Carlito"/>
        <family val="2"/>
      </rPr>
      <t xml:space="preserve">, </t>
    </r>
    <r>
      <rPr>
        <sz val="10"/>
        <rFont val="Carlito"/>
      </rPr>
      <t>분별</t>
    </r>
    <r>
      <rPr>
        <sz val="10"/>
        <rFont val="Carlito"/>
        <family val="2"/>
      </rPr>
      <t xml:space="preserve"> </t>
    </r>
    <r>
      <rPr>
        <sz val="10"/>
        <rFont val="Carlito"/>
      </rPr>
      <t>있는</t>
    </r>
  </si>
  <si>
    <r>
      <rPr>
        <sz val="10"/>
        <rFont val="Carlito"/>
      </rPr>
      <t>사이비</t>
    </r>
    <r>
      <rPr>
        <sz val="10"/>
        <rFont val="Carlito"/>
        <family val="2"/>
      </rPr>
      <t xml:space="preserve"> </t>
    </r>
    <r>
      <rPr>
        <sz val="10"/>
        <rFont val="Carlito"/>
      </rPr>
      <t>과학</t>
    </r>
  </si>
  <si>
    <r>
      <rPr>
        <sz val="10"/>
        <rFont val="Carlito"/>
      </rPr>
      <t>건선</t>
    </r>
  </si>
  <si>
    <r>
      <rPr>
        <sz val="10"/>
        <rFont val="Carlito"/>
      </rPr>
      <t>홍보성</t>
    </r>
    <r>
      <rPr>
        <sz val="10"/>
        <rFont val="Carlito"/>
        <family val="2"/>
      </rPr>
      <t xml:space="preserve"> </t>
    </r>
    <r>
      <rPr>
        <sz val="10"/>
        <rFont val="Carlito"/>
      </rPr>
      <t>행위</t>
    </r>
  </si>
  <si>
    <r>
      <rPr>
        <sz val="10"/>
        <rFont val="Carlito"/>
      </rPr>
      <t>정화</t>
    </r>
  </si>
  <si>
    <r>
      <rPr>
        <sz val="10"/>
        <rFont val="Carlito"/>
      </rPr>
      <t>반란을</t>
    </r>
    <r>
      <rPr>
        <sz val="10"/>
        <rFont val="Carlito"/>
        <family val="2"/>
      </rPr>
      <t xml:space="preserve"> </t>
    </r>
    <r>
      <rPr>
        <sz val="10"/>
        <rFont val="Carlito"/>
      </rPr>
      <t>진압하다</t>
    </r>
  </si>
  <si>
    <r>
      <rPr>
        <sz val="10"/>
        <rFont val="Carlito"/>
      </rPr>
      <t>반대</t>
    </r>
    <r>
      <rPr>
        <sz val="10"/>
        <rFont val="Carlito"/>
        <family val="2"/>
      </rPr>
      <t xml:space="preserve"> </t>
    </r>
    <r>
      <rPr>
        <sz val="10"/>
        <rFont val="Carlito"/>
      </rPr>
      <t>의견을</t>
    </r>
    <r>
      <rPr>
        <sz val="10"/>
        <rFont val="Carlito"/>
        <family val="2"/>
      </rPr>
      <t xml:space="preserve"> </t>
    </r>
    <r>
      <rPr>
        <sz val="10"/>
        <rFont val="Carlito"/>
      </rPr>
      <t>진압하다</t>
    </r>
  </si>
  <si>
    <r>
      <rPr>
        <sz val="10"/>
        <rFont val="Carlito"/>
      </rPr>
      <t>파급</t>
    </r>
    <r>
      <rPr>
        <sz val="10"/>
        <rFont val="Carlito"/>
        <family val="2"/>
      </rPr>
      <t xml:space="preserve"> </t>
    </r>
    <r>
      <rPr>
        <sz val="10"/>
        <rFont val="Carlito"/>
      </rPr>
      <t>효과</t>
    </r>
    <r>
      <rPr>
        <sz val="10"/>
        <rFont val="Carlito"/>
        <family val="2"/>
      </rPr>
      <t xml:space="preserve">, </t>
    </r>
    <r>
      <rPr>
        <sz val="10"/>
        <rFont val="Carlito"/>
      </rPr>
      <t>영향</t>
    </r>
  </si>
  <si>
    <r>
      <rPr>
        <sz val="10"/>
        <rFont val="Carlito"/>
      </rPr>
      <t>이유</t>
    </r>
    <r>
      <rPr>
        <sz val="10"/>
        <rFont val="Carlito"/>
        <family val="2"/>
      </rPr>
      <t xml:space="preserve">, </t>
    </r>
    <r>
      <rPr>
        <sz val="10"/>
        <rFont val="Carlito"/>
      </rPr>
      <t>논리적</t>
    </r>
    <r>
      <rPr>
        <sz val="10"/>
        <rFont val="Carlito"/>
        <family val="2"/>
      </rPr>
      <t xml:space="preserve"> </t>
    </r>
    <r>
      <rPr>
        <sz val="10"/>
        <rFont val="Carlito"/>
      </rPr>
      <t>근거</t>
    </r>
  </si>
  <si>
    <r>
      <rPr>
        <sz val="10"/>
        <rFont val="Carlito"/>
      </rPr>
      <t>상대</t>
    </r>
    <r>
      <rPr>
        <sz val="10"/>
        <rFont val="Carlito"/>
        <family val="2"/>
      </rPr>
      <t xml:space="preserve"> </t>
    </r>
    <r>
      <rPr>
        <sz val="10"/>
        <rFont val="Carlito"/>
      </rPr>
      <t>당과</t>
    </r>
    <r>
      <rPr>
        <sz val="10"/>
        <rFont val="Carlito"/>
        <family val="2"/>
      </rPr>
      <t xml:space="preserve"> </t>
    </r>
    <r>
      <rPr>
        <sz val="10"/>
        <rFont val="Carlito"/>
      </rPr>
      <t>협력하다</t>
    </r>
  </si>
  <si>
    <r>
      <rPr>
        <sz val="10"/>
        <rFont val="Carlito"/>
      </rPr>
      <t>인수</t>
    </r>
    <r>
      <rPr>
        <sz val="10"/>
        <rFont val="Carlito"/>
        <family val="2"/>
      </rPr>
      <t xml:space="preserve"> </t>
    </r>
    <r>
      <rPr>
        <sz val="10"/>
        <rFont val="Carlito"/>
      </rPr>
      <t>제안에</t>
    </r>
    <r>
      <rPr>
        <sz val="10"/>
        <rFont val="Carlito"/>
        <family val="2"/>
      </rPr>
      <t xml:space="preserve"> </t>
    </r>
    <r>
      <rPr>
        <sz val="10"/>
        <rFont val="Carlito"/>
      </rPr>
      <t>호의적인</t>
    </r>
  </si>
  <si>
    <r>
      <rPr>
        <sz val="10"/>
        <rFont val="Carlito"/>
      </rPr>
      <t>피난처</t>
    </r>
    <r>
      <rPr>
        <sz val="10"/>
        <rFont val="Carlito"/>
        <family val="2"/>
      </rPr>
      <t xml:space="preserve">, </t>
    </r>
    <r>
      <rPr>
        <sz val="10"/>
        <rFont val="Carlito"/>
      </rPr>
      <t>은신처</t>
    </r>
  </si>
  <si>
    <r>
      <rPr>
        <sz val="10"/>
        <rFont val="Carlito"/>
      </rPr>
      <t>개보수</t>
    </r>
    <r>
      <rPr>
        <sz val="10"/>
        <rFont val="Carlito"/>
        <family val="2"/>
      </rPr>
      <t xml:space="preserve">, </t>
    </r>
    <r>
      <rPr>
        <sz val="10"/>
        <rFont val="Carlito"/>
      </rPr>
      <t>재단장</t>
    </r>
  </si>
  <si>
    <r>
      <rPr>
        <sz val="10"/>
        <rFont val="Carlito"/>
      </rPr>
      <t>반박하다</t>
    </r>
    <r>
      <rPr>
        <sz val="10"/>
        <rFont val="Carlito"/>
        <family val="2"/>
      </rPr>
      <t xml:space="preserve">, </t>
    </r>
    <r>
      <rPr>
        <sz val="10"/>
        <rFont val="Carlito"/>
      </rPr>
      <t>논박하다</t>
    </r>
  </si>
  <si>
    <r>
      <rPr>
        <sz val="10"/>
        <rFont val="Carlito"/>
      </rPr>
      <t>재생</t>
    </r>
    <r>
      <rPr>
        <sz val="10"/>
        <rFont val="Carlito"/>
        <family val="2"/>
      </rPr>
      <t xml:space="preserve"> </t>
    </r>
    <r>
      <rPr>
        <sz val="10"/>
        <rFont val="Carlito"/>
      </rPr>
      <t>의학</t>
    </r>
  </si>
  <si>
    <r>
      <rPr>
        <sz val="10"/>
        <rFont val="Carlito"/>
      </rPr>
      <t>규제</t>
    </r>
    <r>
      <rPr>
        <sz val="10"/>
        <rFont val="Carlito"/>
        <family val="2"/>
      </rPr>
      <t xml:space="preserve"> </t>
    </r>
    <r>
      <rPr>
        <sz val="10"/>
        <rFont val="Carlito"/>
      </rPr>
      <t>감독</t>
    </r>
  </si>
  <si>
    <r>
      <rPr>
        <sz val="10"/>
        <rFont val="Carlito"/>
      </rPr>
      <t>환불하다</t>
    </r>
    <r>
      <rPr>
        <sz val="10"/>
        <rFont val="Carlito"/>
        <family val="2"/>
      </rPr>
      <t xml:space="preserve">, </t>
    </r>
    <r>
      <rPr>
        <sz val="10"/>
        <rFont val="Carlito"/>
      </rPr>
      <t>변상하다</t>
    </r>
  </si>
  <si>
    <r>
      <rPr>
        <sz val="10"/>
        <rFont val="Carlito"/>
      </rPr>
      <t>상환</t>
    </r>
    <r>
      <rPr>
        <sz val="10"/>
        <rFont val="Carlito"/>
        <family val="2"/>
      </rPr>
      <t xml:space="preserve">, </t>
    </r>
    <r>
      <rPr>
        <sz val="10"/>
        <rFont val="Carlito"/>
      </rPr>
      <t>변제</t>
    </r>
  </si>
  <si>
    <r>
      <rPr>
        <sz val="10"/>
        <rFont val="Carlito"/>
      </rPr>
      <t>끊임없는</t>
    </r>
    <r>
      <rPr>
        <sz val="10"/>
        <rFont val="Carlito"/>
        <family val="2"/>
      </rPr>
      <t xml:space="preserve">, </t>
    </r>
    <r>
      <rPr>
        <sz val="10"/>
        <rFont val="Carlito"/>
      </rPr>
      <t>가차없는</t>
    </r>
  </si>
  <si>
    <r>
      <t>A</t>
    </r>
    <r>
      <rPr>
        <sz val="10"/>
        <rFont val="Carlito"/>
      </rPr>
      <t>가</t>
    </r>
    <r>
      <rPr>
        <sz val="10"/>
        <rFont val="Carlito"/>
        <family val="2"/>
      </rPr>
      <t xml:space="preserve"> B</t>
    </r>
    <r>
      <rPr>
        <sz val="10"/>
        <rFont val="Carlito"/>
      </rPr>
      <t>에</t>
    </r>
    <r>
      <rPr>
        <sz val="10"/>
        <rFont val="Carlito"/>
        <family val="2"/>
      </rPr>
      <t xml:space="preserve"> </t>
    </r>
    <r>
      <rPr>
        <sz val="10"/>
        <rFont val="Carlito"/>
      </rPr>
      <t>덜</t>
    </r>
    <r>
      <rPr>
        <sz val="10"/>
        <rFont val="Carlito"/>
        <family val="2"/>
      </rPr>
      <t xml:space="preserve"> </t>
    </r>
    <r>
      <rPr>
        <sz val="10"/>
        <rFont val="Carlito"/>
      </rPr>
      <t>취약하게</t>
    </r>
    <r>
      <rPr>
        <sz val="10"/>
        <rFont val="Carlito"/>
        <family val="2"/>
      </rPr>
      <t xml:space="preserve"> </t>
    </r>
    <r>
      <rPr>
        <sz val="10"/>
        <rFont val="Carlito"/>
      </rPr>
      <t>만들다</t>
    </r>
  </si>
  <si>
    <r>
      <rPr>
        <sz val="10"/>
        <rFont val="Carlito"/>
      </rPr>
      <t>본국</t>
    </r>
    <r>
      <rPr>
        <sz val="10"/>
        <rFont val="Carlito"/>
        <family val="2"/>
      </rPr>
      <t xml:space="preserve"> </t>
    </r>
    <r>
      <rPr>
        <sz val="10"/>
        <rFont val="Carlito"/>
      </rPr>
      <t>반환</t>
    </r>
    <r>
      <rPr>
        <sz val="10"/>
        <rFont val="Carlito"/>
        <family val="2"/>
      </rPr>
      <t xml:space="preserve">, </t>
    </r>
    <r>
      <rPr>
        <sz val="10"/>
        <rFont val="Carlito"/>
      </rPr>
      <t>송환</t>
    </r>
  </si>
  <si>
    <r>
      <rPr>
        <sz val="10"/>
        <rFont val="Carlito"/>
      </rPr>
      <t>표현</t>
    </r>
    <r>
      <rPr>
        <sz val="10"/>
        <rFont val="Carlito"/>
        <family val="2"/>
      </rPr>
      <t xml:space="preserve">, </t>
    </r>
    <r>
      <rPr>
        <sz val="10"/>
        <rFont val="Carlito"/>
      </rPr>
      <t>대표</t>
    </r>
  </si>
  <si>
    <r>
      <rPr>
        <sz val="10"/>
        <rFont val="Carlito"/>
      </rPr>
      <t>보복</t>
    </r>
    <r>
      <rPr>
        <sz val="10"/>
        <rFont val="Carlito"/>
        <family val="2"/>
      </rPr>
      <t xml:space="preserve">, </t>
    </r>
    <r>
      <rPr>
        <sz val="10"/>
        <rFont val="Carlito"/>
      </rPr>
      <t>보복</t>
    </r>
    <r>
      <rPr>
        <sz val="10"/>
        <rFont val="Carlito"/>
        <family val="2"/>
      </rPr>
      <t xml:space="preserve"> </t>
    </r>
    <r>
      <rPr>
        <sz val="10"/>
        <rFont val="Carlito"/>
      </rPr>
      <t>행위</t>
    </r>
  </si>
  <si>
    <r>
      <rPr>
        <sz val="10"/>
        <rFont val="Carlito"/>
      </rPr>
      <t>망상적혈구</t>
    </r>
  </si>
  <si>
    <r>
      <rPr>
        <sz val="10"/>
        <rFont val="Carlito"/>
      </rPr>
      <t>보복</t>
    </r>
    <r>
      <rPr>
        <sz val="10"/>
        <rFont val="Carlito"/>
        <family val="2"/>
      </rPr>
      <t xml:space="preserve"> </t>
    </r>
    <r>
      <rPr>
        <sz val="10"/>
        <rFont val="Carlito"/>
      </rPr>
      <t>조치</t>
    </r>
  </si>
  <si>
    <r>
      <rPr>
        <sz val="10"/>
        <rFont val="Carlito"/>
      </rPr>
      <t>소급해서</t>
    </r>
  </si>
  <si>
    <r>
      <rPr>
        <sz val="10"/>
        <rFont val="Carlito"/>
      </rPr>
      <t>역전사</t>
    </r>
    <r>
      <rPr>
        <sz val="10"/>
        <rFont val="Carlito"/>
        <family val="2"/>
      </rPr>
      <t xml:space="preserve"> </t>
    </r>
    <r>
      <rPr>
        <sz val="10"/>
        <rFont val="Carlito"/>
      </rPr>
      <t>효소</t>
    </r>
  </si>
  <si>
    <r>
      <rPr>
        <sz val="10"/>
        <rFont val="Carlito"/>
      </rPr>
      <t>혁신하다</t>
    </r>
  </si>
  <si>
    <r>
      <rPr>
        <sz val="10"/>
        <rFont val="Carlito"/>
      </rPr>
      <t>그나마</t>
    </r>
    <r>
      <rPr>
        <sz val="10"/>
        <rFont val="Carlito"/>
        <family val="2"/>
      </rPr>
      <t xml:space="preserve"> </t>
    </r>
    <r>
      <rPr>
        <sz val="10"/>
        <rFont val="Carlito"/>
      </rPr>
      <t>다행인</t>
    </r>
    <r>
      <rPr>
        <sz val="10"/>
        <rFont val="Carlito"/>
        <family val="2"/>
      </rPr>
      <t xml:space="preserve"> </t>
    </r>
    <r>
      <rPr>
        <sz val="10"/>
        <rFont val="Carlito"/>
      </rPr>
      <t>점</t>
    </r>
  </si>
  <si>
    <r>
      <rPr>
        <sz val="10"/>
        <rFont val="Carlito"/>
      </rPr>
      <t>작가</t>
    </r>
    <r>
      <rPr>
        <sz val="10"/>
        <rFont val="Carlito"/>
        <family val="2"/>
      </rPr>
      <t xml:space="preserve">, </t>
    </r>
    <r>
      <rPr>
        <sz val="10"/>
        <rFont val="Carlito"/>
      </rPr>
      <t>필경사</t>
    </r>
  </si>
  <si>
    <r>
      <rPr>
        <sz val="10"/>
        <rFont val="Carlito"/>
      </rPr>
      <t>정밀</t>
    </r>
    <r>
      <rPr>
        <sz val="10"/>
        <rFont val="Carlito"/>
        <family val="2"/>
      </rPr>
      <t xml:space="preserve"> </t>
    </r>
    <r>
      <rPr>
        <sz val="10"/>
        <rFont val="Carlito"/>
      </rPr>
      <t>조사</t>
    </r>
    <r>
      <rPr>
        <sz val="10"/>
        <rFont val="Carlito"/>
        <family val="2"/>
      </rPr>
      <t xml:space="preserve">, </t>
    </r>
    <r>
      <rPr>
        <sz val="10"/>
        <rFont val="Carlito"/>
      </rPr>
      <t>감시</t>
    </r>
  </si>
  <si>
    <r>
      <rPr>
        <sz val="10"/>
        <rFont val="Carlito"/>
      </rPr>
      <t>운명을</t>
    </r>
    <r>
      <rPr>
        <sz val="10"/>
        <rFont val="Carlito"/>
        <family val="2"/>
      </rPr>
      <t xml:space="preserve"> </t>
    </r>
    <r>
      <rPr>
        <sz val="10"/>
        <rFont val="Carlito"/>
      </rPr>
      <t>결정짓다</t>
    </r>
  </si>
  <si>
    <r>
      <rPr>
        <sz val="10"/>
        <rFont val="Carlito"/>
      </rPr>
      <t>자기실현적</t>
    </r>
    <r>
      <rPr>
        <sz val="10"/>
        <rFont val="Carlito"/>
        <family val="2"/>
      </rPr>
      <t xml:space="preserve"> </t>
    </r>
    <r>
      <rPr>
        <sz val="10"/>
        <rFont val="Carlito"/>
      </rPr>
      <t>예언</t>
    </r>
  </si>
  <si>
    <r>
      <rPr>
        <sz val="10"/>
        <rFont val="Carlito"/>
      </rPr>
      <t>반도체</t>
    </r>
  </si>
  <si>
    <r>
      <rPr>
        <sz val="10"/>
        <rFont val="Carlito"/>
      </rPr>
      <t>감상주의</t>
    </r>
  </si>
  <si>
    <r>
      <t>~</t>
    </r>
    <r>
      <rPr>
        <sz val="10"/>
        <rFont val="Carlito"/>
      </rPr>
      <t>로</t>
    </r>
    <r>
      <rPr>
        <sz val="10"/>
        <rFont val="Carlito"/>
        <family val="2"/>
      </rPr>
      <t xml:space="preserve"> </t>
    </r>
    <r>
      <rPr>
        <sz val="10"/>
        <rFont val="Carlito"/>
      </rPr>
      <t>결정하다</t>
    </r>
  </si>
  <si>
    <r>
      <rPr>
        <sz val="10"/>
        <rFont val="Carlito"/>
      </rPr>
      <t>손실을</t>
    </r>
    <r>
      <rPr>
        <sz val="10"/>
        <rFont val="Carlito"/>
        <family val="2"/>
      </rPr>
      <t xml:space="preserve"> </t>
    </r>
    <r>
      <rPr>
        <sz val="10"/>
        <rFont val="Carlito"/>
      </rPr>
      <t>피하다</t>
    </r>
  </si>
  <si>
    <r>
      <rPr>
        <sz val="10"/>
        <rFont val="Carlito"/>
      </rPr>
      <t>문제를</t>
    </r>
    <r>
      <rPr>
        <sz val="10"/>
        <rFont val="Carlito"/>
        <family val="2"/>
      </rPr>
      <t xml:space="preserve"> </t>
    </r>
    <r>
      <rPr>
        <sz val="10"/>
        <rFont val="Carlito"/>
      </rPr>
      <t>회피하다</t>
    </r>
  </si>
  <si>
    <r>
      <rPr>
        <sz val="10"/>
        <rFont val="Carlito"/>
      </rPr>
      <t>서명국</t>
    </r>
    <r>
      <rPr>
        <sz val="10"/>
        <rFont val="Carlito"/>
        <family val="2"/>
      </rPr>
      <t xml:space="preserve">; </t>
    </r>
    <r>
      <rPr>
        <sz val="10"/>
        <rFont val="Carlito"/>
      </rPr>
      <t>서명한</t>
    </r>
  </si>
  <si>
    <r>
      <rPr>
        <sz val="10"/>
        <rFont val="Carlito"/>
      </rPr>
      <t>혼자</t>
    </r>
    <r>
      <rPr>
        <sz val="10"/>
        <rFont val="Carlito"/>
        <family val="2"/>
      </rPr>
      <t xml:space="preserve"> </t>
    </r>
    <r>
      <rPr>
        <sz val="10"/>
        <rFont val="Carlito"/>
      </rPr>
      <t>힘으로</t>
    </r>
  </si>
  <si>
    <r>
      <rPr>
        <sz val="10"/>
        <rFont val="Carlito"/>
      </rPr>
      <t>푹</t>
    </r>
    <r>
      <rPr>
        <sz val="10"/>
        <rFont val="Carlito"/>
        <family val="2"/>
      </rPr>
      <t xml:space="preserve"> </t>
    </r>
    <r>
      <rPr>
        <sz val="10"/>
        <rFont val="Carlito"/>
      </rPr>
      <t>빠진</t>
    </r>
    <r>
      <rPr>
        <sz val="10"/>
        <rFont val="Carlito"/>
        <family val="2"/>
      </rPr>
      <t xml:space="preserve">, </t>
    </r>
    <r>
      <rPr>
        <sz val="10"/>
        <rFont val="Carlito"/>
      </rPr>
      <t>반한</t>
    </r>
  </si>
  <si>
    <r>
      <rPr>
        <sz val="10"/>
        <rFont val="Carlito"/>
      </rPr>
      <t>비꼬는</t>
    </r>
    <r>
      <rPr>
        <sz val="10"/>
        <rFont val="Carlito"/>
        <family val="2"/>
      </rPr>
      <t xml:space="preserve">, </t>
    </r>
    <r>
      <rPr>
        <sz val="10"/>
        <rFont val="Carlito"/>
      </rPr>
      <t>빈정대는</t>
    </r>
  </si>
  <si>
    <r>
      <rPr>
        <sz val="10"/>
        <rFont val="Carlito"/>
      </rPr>
      <t>주권</t>
    </r>
  </si>
  <si>
    <r>
      <t>~</t>
    </r>
    <r>
      <rPr>
        <sz val="10"/>
        <rFont val="Carlito"/>
      </rPr>
      <t>의</t>
    </r>
    <r>
      <rPr>
        <sz val="10"/>
        <rFont val="Carlito"/>
        <family val="2"/>
      </rPr>
      <t xml:space="preserve"> </t>
    </r>
    <r>
      <rPr>
        <sz val="10"/>
        <rFont val="Carlito"/>
      </rPr>
      <t>종말을</t>
    </r>
    <r>
      <rPr>
        <sz val="10"/>
        <rFont val="Carlito"/>
        <family val="2"/>
      </rPr>
      <t xml:space="preserve"> </t>
    </r>
    <r>
      <rPr>
        <sz val="10"/>
        <rFont val="Carlito"/>
      </rPr>
      <t>의미하다</t>
    </r>
  </si>
  <si>
    <r>
      <rPr>
        <sz val="10"/>
        <rFont val="Carlito"/>
      </rPr>
      <t>매출을</t>
    </r>
    <r>
      <rPr>
        <sz val="10"/>
        <rFont val="Carlito"/>
        <family val="2"/>
      </rPr>
      <t xml:space="preserve"> </t>
    </r>
    <r>
      <rPr>
        <sz val="10"/>
        <rFont val="Carlito"/>
      </rPr>
      <t>촉진하다</t>
    </r>
  </si>
  <si>
    <r>
      <rPr>
        <sz val="10"/>
        <rFont val="Carlito"/>
      </rPr>
      <t>현실과</t>
    </r>
    <r>
      <rPr>
        <sz val="10"/>
        <rFont val="Carlito"/>
        <family val="2"/>
      </rPr>
      <t xml:space="preserve"> </t>
    </r>
    <r>
      <rPr>
        <sz val="10"/>
        <rFont val="Carlito"/>
      </rPr>
      <t>맞아떨어지다</t>
    </r>
  </si>
  <si>
    <r>
      <rPr>
        <sz val="10"/>
        <rFont val="Carlito"/>
      </rPr>
      <t>정체된</t>
    </r>
  </si>
  <si>
    <r>
      <rPr>
        <sz val="10"/>
        <rFont val="Carlito"/>
      </rPr>
      <t>포도상구균</t>
    </r>
  </si>
  <si>
    <r>
      <rPr>
        <sz val="10"/>
        <rFont val="Carlito"/>
      </rPr>
      <t>확고한</t>
    </r>
    <r>
      <rPr>
        <sz val="10"/>
        <rFont val="Carlito"/>
        <family val="2"/>
      </rPr>
      <t xml:space="preserve">, </t>
    </r>
    <r>
      <rPr>
        <sz val="10"/>
        <rFont val="Carlito"/>
      </rPr>
      <t>충실한</t>
    </r>
  </si>
  <si>
    <r>
      <rPr>
        <sz val="10"/>
        <rFont val="Carlito"/>
      </rPr>
      <t>규정하다</t>
    </r>
    <r>
      <rPr>
        <sz val="10"/>
        <rFont val="Carlito"/>
        <family val="2"/>
      </rPr>
      <t xml:space="preserve">, </t>
    </r>
    <r>
      <rPr>
        <sz val="10"/>
        <rFont val="Carlito"/>
      </rPr>
      <t>명시하다</t>
    </r>
    <r>
      <rPr>
        <sz val="10"/>
        <rFont val="Carlito"/>
        <family val="2"/>
      </rPr>
      <t xml:space="preserve"> / </t>
    </r>
    <r>
      <rPr>
        <sz val="10"/>
        <rFont val="Carlito"/>
      </rPr>
      <t>명시하다</t>
    </r>
    <r>
      <rPr>
        <sz val="10"/>
        <rFont val="Carlito"/>
        <family val="2"/>
      </rPr>
      <t xml:space="preserve">, </t>
    </r>
    <r>
      <rPr>
        <sz val="10"/>
        <rFont val="Carlito"/>
      </rPr>
      <t>규정하다</t>
    </r>
  </si>
  <si>
    <r>
      <rPr>
        <sz val="10"/>
        <rFont val="Carlito"/>
      </rPr>
      <t>간소화하다</t>
    </r>
    <r>
      <rPr>
        <sz val="10"/>
        <rFont val="Carlito"/>
        <family val="2"/>
      </rPr>
      <t xml:space="preserve">, </t>
    </r>
    <r>
      <rPr>
        <sz val="10"/>
        <rFont val="Carlito"/>
      </rPr>
      <t>효율화하다</t>
    </r>
  </si>
  <si>
    <r>
      <rPr>
        <sz val="10"/>
        <rFont val="Carlito"/>
      </rPr>
      <t>제압하다</t>
    </r>
  </si>
  <si>
    <r>
      <rPr>
        <sz val="10"/>
        <rFont val="Carlito"/>
      </rPr>
      <t>물에</t>
    </r>
    <r>
      <rPr>
        <sz val="10"/>
        <rFont val="Carlito"/>
        <family val="2"/>
      </rPr>
      <t xml:space="preserve"> </t>
    </r>
    <r>
      <rPr>
        <sz val="10"/>
        <rFont val="Carlito"/>
      </rPr>
      <t>잠긴</t>
    </r>
  </si>
  <si>
    <r>
      <rPr>
        <sz val="10"/>
        <rFont val="Carlito"/>
      </rPr>
      <t>근근이</t>
    </r>
    <r>
      <rPr>
        <sz val="10"/>
        <rFont val="Carlito"/>
        <family val="2"/>
      </rPr>
      <t xml:space="preserve"> </t>
    </r>
    <r>
      <rPr>
        <sz val="10"/>
        <rFont val="Carlito"/>
      </rPr>
      <t>살아가다</t>
    </r>
  </si>
  <si>
    <r>
      <rPr>
        <sz val="10"/>
        <rFont val="Carlito"/>
      </rPr>
      <t>입증하다</t>
    </r>
  </si>
  <si>
    <r>
      <rPr>
        <sz val="10"/>
        <rFont val="Carlito"/>
      </rPr>
      <t>전복하다</t>
    </r>
    <r>
      <rPr>
        <sz val="10"/>
        <rFont val="Carlito"/>
        <family val="2"/>
      </rPr>
      <t xml:space="preserve">, </t>
    </r>
    <r>
      <rPr>
        <sz val="10"/>
        <rFont val="Carlito"/>
      </rPr>
      <t>뒤집다</t>
    </r>
  </si>
  <si>
    <r>
      <rPr>
        <sz val="10"/>
        <rFont val="Carlito"/>
      </rPr>
      <t>황</t>
    </r>
    <r>
      <rPr>
        <sz val="10"/>
        <rFont val="Carlito"/>
        <family val="2"/>
      </rPr>
      <t xml:space="preserve"> </t>
    </r>
    <r>
      <rPr>
        <sz val="10"/>
        <rFont val="Carlito"/>
      </rPr>
      <t>형성물</t>
    </r>
  </si>
  <si>
    <r>
      <rPr>
        <sz val="10"/>
        <rFont val="Carlito"/>
      </rPr>
      <t>우위</t>
    </r>
    <r>
      <rPr>
        <sz val="10"/>
        <rFont val="Carlito"/>
        <family val="2"/>
      </rPr>
      <t xml:space="preserve">, </t>
    </r>
    <r>
      <rPr>
        <sz val="10"/>
        <rFont val="Carlito"/>
      </rPr>
      <t>지배적</t>
    </r>
    <r>
      <rPr>
        <sz val="10"/>
        <rFont val="Carlito"/>
        <family val="2"/>
      </rPr>
      <t xml:space="preserve"> </t>
    </r>
    <r>
      <rPr>
        <sz val="10"/>
        <rFont val="Carlito"/>
      </rPr>
      <t>위치</t>
    </r>
  </si>
  <si>
    <r>
      <rPr>
        <sz val="10"/>
        <rFont val="Carlito"/>
      </rPr>
      <t>감시</t>
    </r>
    <r>
      <rPr>
        <sz val="10"/>
        <rFont val="Carlito"/>
        <family val="2"/>
      </rPr>
      <t xml:space="preserve"> / </t>
    </r>
    <r>
      <rPr>
        <sz val="10"/>
        <rFont val="Carlito"/>
      </rPr>
      <t>감시</t>
    </r>
    <r>
      <rPr>
        <sz val="10"/>
        <rFont val="Carlito"/>
        <family val="2"/>
      </rPr>
      <t xml:space="preserve">, </t>
    </r>
    <r>
      <rPr>
        <sz val="10"/>
        <rFont val="Carlito"/>
      </rPr>
      <t>정찰</t>
    </r>
  </si>
  <si>
    <r>
      <rPr>
        <sz val="10"/>
        <rFont val="Carlito"/>
      </rPr>
      <t>취약성</t>
    </r>
    <r>
      <rPr>
        <sz val="10"/>
        <rFont val="Carlito"/>
        <family val="2"/>
      </rPr>
      <t xml:space="preserve">, </t>
    </r>
    <r>
      <rPr>
        <sz val="10"/>
        <rFont val="Carlito"/>
      </rPr>
      <t>감수성</t>
    </r>
  </si>
  <si>
    <r>
      <rPr>
        <sz val="10"/>
        <rFont val="Carlito"/>
      </rPr>
      <t>지속</t>
    </r>
    <r>
      <rPr>
        <sz val="10"/>
        <rFont val="Carlito"/>
        <family val="2"/>
      </rPr>
      <t xml:space="preserve"> </t>
    </r>
    <r>
      <rPr>
        <sz val="10"/>
        <rFont val="Carlito"/>
      </rPr>
      <t>가능한</t>
    </r>
    <r>
      <rPr>
        <sz val="10"/>
        <rFont val="Carlito"/>
        <family val="2"/>
      </rPr>
      <t xml:space="preserve"> </t>
    </r>
    <r>
      <rPr>
        <sz val="10"/>
        <rFont val="Carlito"/>
      </rPr>
      <t>수입원</t>
    </r>
  </si>
  <si>
    <r>
      <rPr>
        <sz val="10"/>
        <rFont val="Carlito"/>
      </rPr>
      <t>제안을</t>
    </r>
    <r>
      <rPr>
        <sz val="10"/>
        <rFont val="Carlito"/>
        <family val="2"/>
      </rPr>
      <t xml:space="preserve"> </t>
    </r>
    <r>
      <rPr>
        <sz val="10"/>
        <rFont val="Carlito"/>
      </rPr>
      <t>더</t>
    </r>
    <r>
      <rPr>
        <sz val="10"/>
        <rFont val="Carlito"/>
        <family val="2"/>
      </rPr>
      <t xml:space="preserve"> </t>
    </r>
    <r>
      <rPr>
        <sz val="10"/>
        <rFont val="Carlito"/>
      </rPr>
      <t>좋게</t>
    </r>
    <r>
      <rPr>
        <sz val="10"/>
        <rFont val="Carlito"/>
        <family val="2"/>
      </rPr>
      <t xml:space="preserve"> </t>
    </r>
    <r>
      <rPr>
        <sz val="10"/>
        <rFont val="Carlito"/>
      </rPr>
      <t>만들다</t>
    </r>
  </si>
  <si>
    <r>
      <rPr>
        <sz val="10"/>
        <rFont val="Carlito"/>
      </rPr>
      <t>증가하다</t>
    </r>
    <r>
      <rPr>
        <sz val="10"/>
        <rFont val="Carlito"/>
        <family val="2"/>
      </rPr>
      <t xml:space="preserve">, </t>
    </r>
    <r>
      <rPr>
        <sz val="10"/>
        <rFont val="Carlito"/>
      </rPr>
      <t>부풀다</t>
    </r>
  </si>
  <si>
    <r>
      <rPr>
        <sz val="10"/>
        <rFont val="Carlito"/>
      </rPr>
      <t>공생</t>
    </r>
  </si>
  <si>
    <r>
      <rPr>
        <sz val="10"/>
        <rFont val="Carlito"/>
      </rPr>
      <t>주사기</t>
    </r>
    <r>
      <rPr>
        <sz val="10"/>
        <rFont val="Carlito"/>
        <family val="2"/>
      </rPr>
      <t xml:space="preserve"> </t>
    </r>
    <r>
      <rPr>
        <sz val="10"/>
        <rFont val="Carlito"/>
      </rPr>
      <t>같은</t>
    </r>
  </si>
  <si>
    <r>
      <t>~</t>
    </r>
    <r>
      <rPr>
        <sz val="10"/>
        <rFont val="Carlito"/>
      </rPr>
      <t>에</t>
    </r>
    <r>
      <rPr>
        <sz val="10"/>
        <rFont val="Carlito"/>
        <family val="2"/>
      </rPr>
      <t xml:space="preserve"> </t>
    </r>
    <r>
      <rPr>
        <sz val="10"/>
        <rFont val="Carlito"/>
      </rPr>
      <t>이의를</t>
    </r>
    <r>
      <rPr>
        <sz val="10"/>
        <rFont val="Carlito"/>
        <family val="2"/>
      </rPr>
      <t xml:space="preserve"> </t>
    </r>
    <r>
      <rPr>
        <sz val="10"/>
        <rFont val="Carlito"/>
      </rPr>
      <t>제기하다</t>
    </r>
  </si>
  <si>
    <r>
      <rPr>
        <sz val="10"/>
        <rFont val="Carlito"/>
      </rPr>
      <t>원문을</t>
    </r>
    <r>
      <rPr>
        <sz val="10"/>
        <rFont val="Carlito"/>
        <family val="2"/>
      </rPr>
      <t xml:space="preserve"> </t>
    </r>
    <r>
      <rPr>
        <sz val="10"/>
        <rFont val="Carlito"/>
      </rPr>
      <t>자유롭게</t>
    </r>
    <r>
      <rPr>
        <sz val="10"/>
        <rFont val="Carlito"/>
        <family val="2"/>
      </rPr>
      <t xml:space="preserve"> </t>
    </r>
    <r>
      <rPr>
        <sz val="10"/>
        <rFont val="Carlito"/>
      </rPr>
      <t>바꾸다</t>
    </r>
  </si>
  <si>
    <r>
      <t>~</t>
    </r>
    <r>
      <rPr>
        <sz val="10"/>
        <rFont val="Carlito"/>
      </rPr>
      <t>보다</t>
    </r>
    <r>
      <rPr>
        <sz val="10"/>
        <rFont val="Carlito"/>
        <family val="2"/>
      </rPr>
      <t xml:space="preserve"> </t>
    </r>
    <r>
      <rPr>
        <sz val="10"/>
        <rFont val="Carlito"/>
      </rPr>
      <t>우선하다</t>
    </r>
  </si>
  <si>
    <r>
      <rPr>
        <sz val="10"/>
        <rFont val="Carlito"/>
      </rPr>
      <t>원격</t>
    </r>
    <r>
      <rPr>
        <sz val="10"/>
        <rFont val="Carlito"/>
        <family val="2"/>
      </rPr>
      <t xml:space="preserve"> </t>
    </r>
    <r>
      <rPr>
        <sz val="10"/>
        <rFont val="Carlito"/>
      </rPr>
      <t>조종</t>
    </r>
    <r>
      <rPr>
        <sz val="10"/>
        <rFont val="Carlito"/>
        <family val="2"/>
      </rPr>
      <t xml:space="preserve"> </t>
    </r>
    <r>
      <rPr>
        <sz val="10"/>
        <rFont val="Carlito"/>
      </rPr>
      <t>로봇</t>
    </r>
  </si>
  <si>
    <r>
      <rPr>
        <sz val="10"/>
        <rFont val="Carlito"/>
      </rPr>
      <t>끈기</t>
    </r>
    <r>
      <rPr>
        <sz val="10"/>
        <rFont val="Carlito"/>
        <family val="2"/>
      </rPr>
      <t xml:space="preserve">, </t>
    </r>
    <r>
      <rPr>
        <sz val="10"/>
        <rFont val="Carlito"/>
      </rPr>
      <t>집요함</t>
    </r>
  </si>
  <si>
    <r>
      <rPr>
        <sz val="10"/>
        <rFont val="Carlito"/>
      </rPr>
      <t>공동주택</t>
    </r>
    <r>
      <rPr>
        <sz val="10"/>
        <rFont val="Carlito"/>
        <family val="2"/>
      </rPr>
      <t xml:space="preserve">, </t>
    </r>
    <r>
      <rPr>
        <sz val="10"/>
        <rFont val="Carlito"/>
      </rPr>
      <t>임대주택</t>
    </r>
  </si>
  <si>
    <r>
      <rPr>
        <sz val="10"/>
        <rFont val="Carlito"/>
      </rPr>
      <t>조심스러운</t>
    </r>
    <r>
      <rPr>
        <sz val="10"/>
        <rFont val="Carlito"/>
        <family val="2"/>
      </rPr>
      <t xml:space="preserve"> </t>
    </r>
    <r>
      <rPr>
        <sz val="10"/>
        <rFont val="Carlito"/>
      </rPr>
      <t>부흥</t>
    </r>
  </si>
  <si>
    <r>
      <rPr>
        <sz val="10"/>
        <rFont val="Carlito"/>
      </rPr>
      <t>재임</t>
    </r>
    <r>
      <rPr>
        <sz val="10"/>
        <rFont val="Carlito"/>
        <family val="2"/>
      </rPr>
      <t xml:space="preserve"> </t>
    </r>
    <r>
      <rPr>
        <sz val="10"/>
        <rFont val="Carlito"/>
      </rPr>
      <t>기간</t>
    </r>
  </si>
  <si>
    <r>
      <rPr>
        <sz val="10"/>
        <rFont val="Carlito"/>
      </rPr>
      <t>영역을</t>
    </r>
    <r>
      <rPr>
        <sz val="10"/>
        <rFont val="Carlito"/>
        <family val="2"/>
      </rPr>
      <t xml:space="preserve"> </t>
    </r>
    <r>
      <rPr>
        <sz val="10"/>
        <rFont val="Carlito"/>
      </rPr>
      <t>지키려는</t>
    </r>
  </si>
  <si>
    <r>
      <rPr>
        <sz val="10"/>
        <rFont val="Carlito"/>
      </rPr>
      <t>묶인</t>
    </r>
    <r>
      <rPr>
        <sz val="10"/>
        <rFont val="Carlito"/>
        <family val="2"/>
      </rPr>
      <t xml:space="preserve">, </t>
    </r>
    <r>
      <rPr>
        <sz val="10"/>
        <rFont val="Carlito"/>
      </rPr>
      <t>연결된</t>
    </r>
  </si>
  <si>
    <r>
      <rPr>
        <sz val="10"/>
        <rFont val="Carlito"/>
      </rPr>
      <t>일반적이지</t>
    </r>
    <r>
      <rPr>
        <sz val="10"/>
        <rFont val="Carlito"/>
        <family val="2"/>
      </rPr>
      <t xml:space="preserve"> </t>
    </r>
    <r>
      <rPr>
        <sz val="10"/>
        <rFont val="Carlito"/>
      </rPr>
      <t>않은</t>
    </r>
    <r>
      <rPr>
        <sz val="10"/>
        <rFont val="Carlito"/>
        <family val="2"/>
      </rPr>
      <t xml:space="preserve"> </t>
    </r>
    <r>
      <rPr>
        <sz val="10"/>
        <rFont val="Carlito"/>
      </rPr>
      <t>예외</t>
    </r>
  </si>
  <si>
    <r>
      <rPr>
        <sz val="10"/>
        <rFont val="Carlito"/>
      </rPr>
      <t>문턱</t>
    </r>
    <r>
      <rPr>
        <sz val="10"/>
        <rFont val="Carlito"/>
        <family val="2"/>
      </rPr>
      <t xml:space="preserve">, </t>
    </r>
    <r>
      <rPr>
        <sz val="10"/>
        <rFont val="Carlito"/>
      </rPr>
      <t>한계치</t>
    </r>
  </si>
  <si>
    <r>
      <rPr>
        <sz val="10"/>
        <rFont val="Carlito"/>
      </rPr>
      <t>적극</t>
    </r>
    <r>
      <rPr>
        <sz val="10"/>
        <rFont val="Carlito"/>
        <family val="2"/>
      </rPr>
      <t xml:space="preserve"> </t>
    </r>
    <r>
      <rPr>
        <sz val="10"/>
        <rFont val="Carlito"/>
      </rPr>
      <t>지지하다</t>
    </r>
  </si>
  <si>
    <r>
      <rPr>
        <sz val="10"/>
        <rFont val="Carlito"/>
      </rPr>
      <t>승산을</t>
    </r>
    <r>
      <rPr>
        <sz val="10"/>
        <rFont val="Carlito"/>
        <family val="2"/>
      </rPr>
      <t xml:space="preserve"> </t>
    </r>
    <r>
      <rPr>
        <sz val="10"/>
        <rFont val="Carlito"/>
      </rPr>
      <t>자기</t>
    </r>
    <r>
      <rPr>
        <sz val="10"/>
        <rFont val="Carlito"/>
        <family val="2"/>
      </rPr>
      <t xml:space="preserve"> </t>
    </r>
    <r>
      <rPr>
        <sz val="10"/>
        <rFont val="Carlito"/>
      </rPr>
      <t>쪽으로</t>
    </r>
    <r>
      <rPr>
        <sz val="10"/>
        <rFont val="Carlito"/>
        <family val="2"/>
      </rPr>
      <t xml:space="preserve"> </t>
    </r>
    <r>
      <rPr>
        <sz val="10"/>
        <rFont val="Carlito"/>
      </rPr>
      <t>기울이다</t>
    </r>
  </si>
  <si>
    <r>
      <rPr>
        <sz val="10"/>
        <rFont val="Carlito"/>
      </rPr>
      <t>장점을</t>
    </r>
    <r>
      <rPr>
        <sz val="10"/>
        <rFont val="Carlito"/>
        <family val="2"/>
      </rPr>
      <t xml:space="preserve"> </t>
    </r>
    <r>
      <rPr>
        <sz val="10"/>
        <rFont val="Carlito"/>
      </rPr>
      <t>선전하다</t>
    </r>
  </si>
  <si>
    <r>
      <rPr>
        <sz val="10"/>
        <rFont val="Carlito"/>
      </rPr>
      <t>유독성</t>
    </r>
    <r>
      <rPr>
        <sz val="10"/>
        <rFont val="Carlito"/>
        <family val="2"/>
      </rPr>
      <t xml:space="preserve"> </t>
    </r>
    <r>
      <rPr>
        <sz val="10"/>
        <rFont val="Carlito"/>
      </rPr>
      <t>막</t>
    </r>
    <r>
      <rPr>
        <sz val="10"/>
        <rFont val="Carlito"/>
        <family val="2"/>
      </rPr>
      <t>/</t>
    </r>
    <r>
      <rPr>
        <sz val="10"/>
        <rFont val="Carlito"/>
      </rPr>
      <t>층</t>
    </r>
  </si>
  <si>
    <r>
      <rPr>
        <sz val="10"/>
        <rFont val="Carlito"/>
      </rPr>
      <t>미량</t>
    </r>
  </si>
  <si>
    <r>
      <rPr>
        <sz val="10"/>
        <rFont val="Carlito"/>
      </rPr>
      <t>배신</t>
    </r>
    <r>
      <rPr>
        <sz val="10"/>
        <rFont val="Carlito"/>
        <family val="2"/>
      </rPr>
      <t xml:space="preserve">, </t>
    </r>
    <r>
      <rPr>
        <sz val="10"/>
        <rFont val="Carlito"/>
      </rPr>
      <t>기만</t>
    </r>
  </si>
  <si>
    <r>
      <rPr>
        <sz val="10"/>
        <rFont val="Carlito"/>
      </rPr>
      <t>등록금</t>
    </r>
    <r>
      <rPr>
        <sz val="10"/>
        <rFont val="Carlito"/>
        <family val="2"/>
      </rPr>
      <t xml:space="preserve"> </t>
    </r>
    <r>
      <rPr>
        <sz val="10"/>
        <rFont val="Carlito"/>
      </rPr>
      <t>면제</t>
    </r>
  </si>
  <si>
    <r>
      <rPr>
        <sz val="10"/>
        <rFont val="Carlito"/>
      </rPr>
      <t>회생</t>
    </r>
    <r>
      <rPr>
        <sz val="10"/>
        <rFont val="Carlito"/>
        <family val="2"/>
      </rPr>
      <t xml:space="preserve"> </t>
    </r>
    <r>
      <rPr>
        <sz val="10"/>
        <rFont val="Carlito"/>
      </rPr>
      <t>계획</t>
    </r>
  </si>
  <si>
    <r>
      <rPr>
        <sz val="10"/>
        <rFont val="Carlito"/>
      </rPr>
      <t>어디에나</t>
    </r>
    <r>
      <rPr>
        <sz val="10"/>
        <rFont val="Carlito"/>
        <family val="2"/>
      </rPr>
      <t xml:space="preserve"> </t>
    </r>
    <r>
      <rPr>
        <sz val="10"/>
        <rFont val="Carlito"/>
      </rPr>
      <t>있는</t>
    </r>
  </si>
  <si>
    <r>
      <rPr>
        <sz val="10"/>
        <rFont val="Carlito"/>
      </rPr>
      <t>설명되지</t>
    </r>
    <r>
      <rPr>
        <sz val="10"/>
        <rFont val="Carlito"/>
        <family val="2"/>
      </rPr>
      <t xml:space="preserve"> </t>
    </r>
    <r>
      <rPr>
        <sz val="10"/>
        <rFont val="Carlito"/>
      </rPr>
      <t>않는</t>
    </r>
    <r>
      <rPr>
        <sz val="10"/>
        <rFont val="Carlito"/>
        <family val="2"/>
      </rPr>
      <t xml:space="preserve">, </t>
    </r>
    <r>
      <rPr>
        <sz val="10"/>
        <rFont val="Carlito"/>
      </rPr>
      <t>행방을</t>
    </r>
    <r>
      <rPr>
        <sz val="10"/>
        <rFont val="Carlito"/>
        <family val="2"/>
      </rPr>
      <t xml:space="preserve"> </t>
    </r>
    <r>
      <rPr>
        <sz val="10"/>
        <rFont val="Carlito"/>
      </rPr>
      <t>알</t>
    </r>
    <r>
      <rPr>
        <sz val="10"/>
        <rFont val="Carlito"/>
        <family val="2"/>
      </rPr>
      <t xml:space="preserve"> </t>
    </r>
    <r>
      <rPr>
        <sz val="10"/>
        <rFont val="Carlito"/>
      </rPr>
      <t>수</t>
    </r>
    <r>
      <rPr>
        <sz val="10"/>
        <rFont val="Carlito"/>
        <family val="2"/>
      </rPr>
      <t xml:space="preserve"> </t>
    </r>
    <r>
      <rPr>
        <sz val="10"/>
        <rFont val="Carlito"/>
      </rPr>
      <t>없는</t>
    </r>
  </si>
  <si>
    <r>
      <rPr>
        <sz val="10"/>
        <rFont val="Carlito"/>
      </rPr>
      <t>순수한</t>
    </r>
    <r>
      <rPr>
        <sz val="10"/>
        <rFont val="Carlito"/>
        <family val="2"/>
      </rPr>
      <t xml:space="preserve">, </t>
    </r>
    <r>
      <rPr>
        <sz val="10"/>
        <rFont val="Carlito"/>
      </rPr>
      <t>섞이지</t>
    </r>
    <r>
      <rPr>
        <sz val="10"/>
        <rFont val="Carlito"/>
        <family val="2"/>
      </rPr>
      <t xml:space="preserve"> </t>
    </r>
    <r>
      <rPr>
        <sz val="10"/>
        <rFont val="Carlito"/>
      </rPr>
      <t>않은</t>
    </r>
  </si>
  <si>
    <r>
      <rPr>
        <sz val="10"/>
        <rFont val="Carlito"/>
      </rPr>
      <t>묘하게</t>
    </r>
    <r>
      <rPr>
        <sz val="10"/>
        <rFont val="Carlito"/>
        <family val="2"/>
      </rPr>
      <t xml:space="preserve"> </t>
    </r>
    <r>
      <rPr>
        <sz val="10"/>
        <rFont val="Carlito"/>
      </rPr>
      <t>이상한</t>
    </r>
    <r>
      <rPr>
        <sz val="10"/>
        <rFont val="Carlito"/>
        <family val="2"/>
      </rPr>
      <t xml:space="preserve">, </t>
    </r>
    <r>
      <rPr>
        <sz val="10"/>
        <rFont val="Carlito"/>
      </rPr>
      <t>기이한</t>
    </r>
  </si>
  <si>
    <r>
      <rPr>
        <sz val="10"/>
        <rFont val="Carlito"/>
      </rPr>
      <t>약자</t>
    </r>
    <r>
      <rPr>
        <sz val="10"/>
        <rFont val="Carlito"/>
        <family val="2"/>
      </rPr>
      <t xml:space="preserve"> </t>
    </r>
    <r>
      <rPr>
        <sz val="10"/>
        <rFont val="Carlito"/>
      </rPr>
      <t>이미지</t>
    </r>
  </si>
  <si>
    <r>
      <rPr>
        <sz val="10"/>
        <rFont val="Carlito"/>
      </rPr>
      <t>축소</t>
    </r>
    <r>
      <rPr>
        <sz val="10"/>
        <rFont val="Carlito"/>
        <family val="2"/>
      </rPr>
      <t xml:space="preserve"> </t>
    </r>
    <r>
      <rPr>
        <sz val="10"/>
        <rFont val="Carlito"/>
      </rPr>
      <t>신고하다</t>
    </r>
  </si>
  <si>
    <r>
      <rPr>
        <sz val="10"/>
        <rFont val="Carlito"/>
      </rPr>
      <t>실현</t>
    </r>
    <r>
      <rPr>
        <sz val="10"/>
        <rFont val="Carlito"/>
        <family val="2"/>
      </rPr>
      <t xml:space="preserve"> </t>
    </r>
    <r>
      <rPr>
        <sz val="10"/>
        <rFont val="Carlito"/>
      </rPr>
      <t>불가능한</t>
    </r>
  </si>
  <si>
    <r>
      <rPr>
        <sz val="10"/>
        <rFont val="Carlito"/>
      </rPr>
      <t>거주</t>
    </r>
    <r>
      <rPr>
        <sz val="10"/>
        <rFont val="Carlito"/>
        <family val="2"/>
      </rPr>
      <t xml:space="preserve"> </t>
    </r>
    <r>
      <rPr>
        <sz val="10"/>
        <rFont val="Carlito"/>
      </rPr>
      <t>불가능한</t>
    </r>
  </si>
  <si>
    <r>
      <rPr>
        <sz val="10"/>
        <rFont val="Carlito"/>
      </rPr>
      <t>중단</t>
    </r>
    <r>
      <rPr>
        <sz val="10"/>
        <rFont val="Carlito"/>
        <family val="2"/>
      </rPr>
      <t xml:space="preserve"> </t>
    </r>
    <r>
      <rPr>
        <sz val="10"/>
        <rFont val="Carlito"/>
      </rPr>
      <t>없이</t>
    </r>
  </si>
  <si>
    <r>
      <rPr>
        <sz val="10"/>
        <rFont val="Carlito"/>
      </rPr>
      <t>흔들리지</t>
    </r>
    <r>
      <rPr>
        <sz val="10"/>
        <rFont val="Carlito"/>
        <family val="2"/>
      </rPr>
      <t xml:space="preserve"> </t>
    </r>
    <r>
      <rPr>
        <sz val="10"/>
        <rFont val="Carlito"/>
      </rPr>
      <t>않는</t>
    </r>
    <r>
      <rPr>
        <sz val="10"/>
        <rFont val="Carlito"/>
        <family val="2"/>
      </rPr>
      <t xml:space="preserve"> </t>
    </r>
    <r>
      <rPr>
        <sz val="10"/>
        <rFont val="Carlito"/>
      </rPr>
      <t>믿음</t>
    </r>
  </si>
  <si>
    <r>
      <rPr>
        <sz val="10"/>
        <rFont val="Carlito"/>
      </rPr>
      <t>입증되지</t>
    </r>
    <r>
      <rPr>
        <sz val="10"/>
        <rFont val="Carlito"/>
        <family val="2"/>
      </rPr>
      <t xml:space="preserve"> </t>
    </r>
    <r>
      <rPr>
        <sz val="10"/>
        <rFont val="Carlito"/>
      </rPr>
      <t>않은</t>
    </r>
  </si>
  <si>
    <r>
      <rPr>
        <sz val="10"/>
        <rFont val="Carlito"/>
      </rPr>
      <t>자기도</t>
    </r>
    <r>
      <rPr>
        <sz val="10"/>
        <rFont val="Carlito"/>
        <family val="2"/>
      </rPr>
      <t xml:space="preserve"> </t>
    </r>
    <r>
      <rPr>
        <sz val="10"/>
        <rFont val="Carlito"/>
      </rPr>
      <t>모르게</t>
    </r>
  </si>
  <si>
    <r>
      <rPr>
        <sz val="10"/>
        <rFont val="Carlito"/>
      </rPr>
      <t>대변동</t>
    </r>
    <r>
      <rPr>
        <sz val="10"/>
        <rFont val="Carlito"/>
        <family val="2"/>
      </rPr>
      <t xml:space="preserve">, </t>
    </r>
    <r>
      <rPr>
        <sz val="10"/>
        <rFont val="Carlito"/>
      </rPr>
      <t>격변</t>
    </r>
  </si>
  <si>
    <r>
      <rPr>
        <sz val="10"/>
        <rFont val="Carlito"/>
      </rPr>
      <t>사회적</t>
    </r>
    <r>
      <rPr>
        <sz val="10"/>
        <rFont val="Carlito"/>
        <family val="2"/>
      </rPr>
      <t xml:space="preserve"> </t>
    </r>
    <r>
      <rPr>
        <sz val="10"/>
        <rFont val="Carlito"/>
      </rPr>
      <t>관습을</t>
    </r>
    <r>
      <rPr>
        <sz val="10"/>
        <rFont val="Carlito"/>
        <family val="2"/>
      </rPr>
      <t xml:space="preserve"> </t>
    </r>
    <r>
      <rPr>
        <sz val="10"/>
        <rFont val="Carlito"/>
      </rPr>
      <t>뒤엎다</t>
    </r>
  </si>
  <si>
    <r>
      <rPr>
        <sz val="10"/>
        <rFont val="Carlito"/>
      </rPr>
      <t>왕좌를</t>
    </r>
    <r>
      <rPr>
        <sz val="10"/>
        <rFont val="Carlito"/>
        <family val="2"/>
      </rPr>
      <t xml:space="preserve"> </t>
    </r>
    <r>
      <rPr>
        <sz val="10"/>
        <rFont val="Carlito"/>
      </rPr>
      <t>찬탈하다</t>
    </r>
  </si>
  <si>
    <r>
      <rPr>
        <sz val="10"/>
        <rFont val="Carlito"/>
      </rPr>
      <t>패배한</t>
    </r>
    <r>
      <rPr>
        <sz val="10"/>
        <rFont val="Carlito"/>
        <family val="2"/>
      </rPr>
      <t xml:space="preserve"> </t>
    </r>
    <r>
      <rPr>
        <sz val="10"/>
        <rFont val="Carlito"/>
      </rPr>
      <t>사람들</t>
    </r>
    <r>
      <rPr>
        <sz val="10"/>
        <rFont val="Carlito"/>
        <family val="2"/>
      </rPr>
      <t xml:space="preserve">; </t>
    </r>
    <r>
      <rPr>
        <sz val="10"/>
        <rFont val="Carlito"/>
      </rPr>
      <t>패배한</t>
    </r>
  </si>
  <si>
    <r>
      <rPr>
        <sz val="10"/>
        <rFont val="Carlito"/>
      </rPr>
      <t>흔적기관의</t>
    </r>
    <r>
      <rPr>
        <sz val="10"/>
        <rFont val="Carlito"/>
        <family val="2"/>
      </rPr>
      <t xml:space="preserve">, </t>
    </r>
    <r>
      <rPr>
        <sz val="10"/>
        <rFont val="Carlito"/>
      </rPr>
      <t>퇴화한</t>
    </r>
  </si>
  <si>
    <r>
      <rPr>
        <sz val="10"/>
        <rFont val="Carlito"/>
      </rPr>
      <t>생존</t>
    </r>
    <r>
      <rPr>
        <sz val="10"/>
        <rFont val="Carlito"/>
        <family val="2"/>
      </rPr>
      <t xml:space="preserve"> </t>
    </r>
    <r>
      <rPr>
        <sz val="10"/>
        <rFont val="Carlito"/>
      </rPr>
      <t>가능한</t>
    </r>
    <r>
      <rPr>
        <sz val="10"/>
        <rFont val="Carlito"/>
        <family val="2"/>
      </rPr>
      <t xml:space="preserve">, </t>
    </r>
    <r>
      <rPr>
        <sz val="10"/>
        <rFont val="Carlito"/>
      </rPr>
      <t>실행</t>
    </r>
    <r>
      <rPr>
        <sz val="10"/>
        <rFont val="Carlito"/>
        <family val="2"/>
      </rPr>
      <t xml:space="preserve"> </t>
    </r>
    <r>
      <rPr>
        <sz val="10"/>
        <rFont val="Carlito"/>
      </rPr>
      <t>가능한</t>
    </r>
  </si>
  <si>
    <r>
      <rPr>
        <sz val="10"/>
        <rFont val="Carlito"/>
      </rPr>
      <t>취약성</t>
    </r>
  </si>
  <si>
    <r>
      <rPr>
        <sz val="10"/>
        <rFont val="Carlito"/>
      </rPr>
      <t>정당화하다</t>
    </r>
  </si>
  <si>
    <r>
      <rPr>
        <sz val="10"/>
        <rFont val="Carlito"/>
      </rPr>
      <t>그러자</t>
    </r>
    <r>
      <rPr>
        <sz val="10"/>
        <rFont val="Carlito"/>
        <family val="2"/>
      </rPr>
      <t xml:space="preserve">, </t>
    </r>
    <r>
      <rPr>
        <sz val="10"/>
        <rFont val="Carlito"/>
      </rPr>
      <t>그</t>
    </r>
    <r>
      <rPr>
        <sz val="10"/>
        <rFont val="Carlito"/>
        <family val="2"/>
      </rPr>
      <t xml:space="preserve"> </t>
    </r>
    <r>
      <rPr>
        <sz val="10"/>
        <rFont val="Carlito"/>
      </rPr>
      <t>직후</t>
    </r>
  </si>
  <si>
    <r>
      <rPr>
        <sz val="10"/>
        <rFont val="Carlito"/>
      </rPr>
      <t>내부고발자</t>
    </r>
  </si>
  <si>
    <r>
      <rPr>
        <sz val="10"/>
        <rFont val="Carlito"/>
      </rPr>
      <t>평범한</t>
    </r>
    <r>
      <rPr>
        <sz val="10"/>
        <rFont val="Carlito"/>
        <family val="2"/>
      </rPr>
      <t xml:space="preserve"> </t>
    </r>
    <r>
      <rPr>
        <sz val="10"/>
        <rFont val="Carlito"/>
      </rPr>
      <t>직장</t>
    </r>
    <r>
      <rPr>
        <sz val="10"/>
        <rFont val="Carlito"/>
        <family val="2"/>
      </rPr>
      <t xml:space="preserve"> </t>
    </r>
    <r>
      <rPr>
        <sz val="10"/>
        <rFont val="Carlito"/>
      </rPr>
      <t>세계</t>
    </r>
  </si>
  <si>
    <r>
      <rPr>
        <sz val="10"/>
        <rFont val="Carlito"/>
      </rPr>
      <t>큰</t>
    </r>
    <r>
      <rPr>
        <sz val="10"/>
        <rFont val="Carlito"/>
        <family val="2"/>
      </rPr>
      <t xml:space="preserve"> </t>
    </r>
    <r>
      <rPr>
        <sz val="10"/>
        <rFont val="Carlito"/>
      </rPr>
      <t>피해를</t>
    </r>
    <r>
      <rPr>
        <sz val="10"/>
        <rFont val="Carlito"/>
        <family val="2"/>
      </rPr>
      <t xml:space="preserve"> </t>
    </r>
    <r>
      <rPr>
        <sz val="10"/>
        <rFont val="Carlito"/>
      </rPr>
      <t>입히다</t>
    </r>
  </si>
  <si>
    <r>
      <rPr>
        <sz val="10"/>
        <rFont val="Carlito"/>
      </rPr>
      <t>연철로</t>
    </r>
    <r>
      <rPr>
        <sz val="10"/>
        <rFont val="Carlito"/>
        <family val="2"/>
      </rPr>
      <t xml:space="preserve"> </t>
    </r>
    <r>
      <rPr>
        <sz val="10"/>
        <rFont val="Carlito"/>
      </rPr>
      <t>된</t>
    </r>
  </si>
  <si>
    <r>
      <rPr>
        <sz val="10"/>
        <rFont val="Carlito"/>
      </rPr>
      <t>기대</t>
    </r>
    <r>
      <rPr>
        <sz val="10"/>
        <rFont val="Carlito"/>
        <family val="2"/>
      </rPr>
      <t xml:space="preserve"> </t>
    </r>
    <r>
      <rPr>
        <sz val="10"/>
        <rFont val="Carlito"/>
      </rPr>
      <t>이상으로</t>
    </r>
  </si>
  <si>
    <r>
      <rPr>
        <sz val="10"/>
        <rFont val="Carlito"/>
      </rPr>
      <t>풍부함</t>
    </r>
  </si>
  <si>
    <r>
      <rPr>
        <sz val="10"/>
        <rFont val="Carlito"/>
      </rPr>
      <t>풍부한</t>
    </r>
  </si>
  <si>
    <r>
      <rPr>
        <sz val="10"/>
        <rFont val="Carlito"/>
      </rPr>
      <t>가속화하는</t>
    </r>
  </si>
  <si>
    <r>
      <rPr>
        <sz val="10"/>
        <rFont val="Carlito"/>
      </rPr>
      <t>숙박</t>
    </r>
    <r>
      <rPr>
        <sz val="10"/>
        <rFont val="Carlito"/>
        <family val="2"/>
      </rPr>
      <t xml:space="preserve"> </t>
    </r>
    <r>
      <rPr>
        <sz val="10"/>
        <rFont val="Carlito"/>
      </rPr>
      <t>시설</t>
    </r>
    <r>
      <rPr>
        <sz val="10"/>
        <rFont val="Carlito"/>
        <family val="2"/>
      </rPr>
      <t xml:space="preserve">; </t>
    </r>
    <r>
      <rPr>
        <sz val="10"/>
        <rFont val="Carlito"/>
      </rPr>
      <t>조정</t>
    </r>
  </si>
  <si>
    <r>
      <rPr>
        <sz val="10"/>
        <rFont val="Carlito"/>
      </rPr>
      <t>처음엔</t>
    </r>
    <r>
      <rPr>
        <sz val="10"/>
        <rFont val="Carlito"/>
        <family val="2"/>
      </rPr>
      <t xml:space="preserve"> </t>
    </r>
    <r>
      <rPr>
        <sz val="10"/>
        <rFont val="Carlito"/>
      </rPr>
      <t>낯설지만</t>
    </r>
    <r>
      <rPr>
        <sz val="10"/>
        <rFont val="Carlito"/>
        <family val="2"/>
      </rPr>
      <t xml:space="preserve"> </t>
    </r>
    <r>
      <rPr>
        <sz val="10"/>
        <rFont val="Carlito"/>
      </rPr>
      <t>익숙해지는</t>
    </r>
    <r>
      <rPr>
        <sz val="10"/>
        <rFont val="Carlito"/>
        <family val="2"/>
      </rPr>
      <t xml:space="preserve"> </t>
    </r>
    <r>
      <rPr>
        <sz val="10"/>
        <rFont val="Carlito"/>
      </rPr>
      <t>취향</t>
    </r>
  </si>
  <si>
    <r>
      <rPr>
        <sz val="10"/>
        <rFont val="Carlito"/>
      </rPr>
      <t>첨가물</t>
    </r>
  </si>
  <si>
    <r>
      <rPr>
        <sz val="10"/>
        <rFont val="Carlito"/>
      </rPr>
      <t>투여된</t>
    </r>
    <r>
      <rPr>
        <sz val="10"/>
        <rFont val="Carlito"/>
        <family val="2"/>
      </rPr>
      <t xml:space="preserve">; </t>
    </r>
    <r>
      <rPr>
        <sz val="10"/>
        <rFont val="Carlito"/>
      </rPr>
      <t>관리된</t>
    </r>
  </si>
  <si>
    <r>
      <rPr>
        <sz val="10"/>
        <rFont val="Carlito"/>
      </rPr>
      <t>청소년기의</t>
    </r>
    <r>
      <rPr>
        <sz val="10"/>
        <rFont val="Carlito"/>
        <family val="2"/>
      </rPr>
      <t xml:space="preserve">; </t>
    </r>
    <r>
      <rPr>
        <sz val="10"/>
        <rFont val="Carlito"/>
      </rPr>
      <t>청소년</t>
    </r>
    <r>
      <rPr>
        <sz val="10"/>
        <rFont val="Carlito"/>
        <family val="2"/>
      </rPr>
      <t xml:space="preserve"> / </t>
    </r>
    <r>
      <rPr>
        <sz val="10"/>
        <rFont val="Carlito"/>
      </rPr>
      <t>청소년</t>
    </r>
  </si>
  <si>
    <r>
      <rPr>
        <sz val="10"/>
        <rFont val="Carlito"/>
      </rPr>
      <t>동요한</t>
    </r>
    <r>
      <rPr>
        <sz val="10"/>
        <rFont val="Carlito"/>
        <family val="2"/>
      </rPr>
      <t xml:space="preserve">, </t>
    </r>
    <r>
      <rPr>
        <sz val="10"/>
        <rFont val="Carlito"/>
      </rPr>
      <t>불안한</t>
    </r>
  </si>
  <si>
    <r>
      <rPr>
        <sz val="10"/>
        <rFont val="Carlito"/>
      </rPr>
      <t>혐의</t>
    </r>
    <r>
      <rPr>
        <sz val="10"/>
        <rFont val="Carlito"/>
        <family val="2"/>
      </rPr>
      <t xml:space="preserve">, </t>
    </r>
    <r>
      <rPr>
        <sz val="10"/>
        <rFont val="Carlito"/>
      </rPr>
      <t>주장</t>
    </r>
  </si>
  <si>
    <r>
      <rPr>
        <sz val="10"/>
        <rFont val="Carlito"/>
      </rPr>
      <t>배분하다</t>
    </r>
  </si>
  <si>
    <r>
      <rPr>
        <sz val="10"/>
        <rFont val="Carlito"/>
      </rPr>
      <t>부를</t>
    </r>
    <r>
      <rPr>
        <sz val="10"/>
        <rFont val="Carlito"/>
        <family val="2"/>
      </rPr>
      <t xml:space="preserve"> </t>
    </r>
    <r>
      <rPr>
        <sz val="10"/>
        <rFont val="Carlito"/>
      </rPr>
      <t>축적하다</t>
    </r>
  </si>
  <si>
    <r>
      <rPr>
        <sz val="10"/>
        <rFont val="Carlito"/>
      </rPr>
      <t>매복</t>
    </r>
    <r>
      <rPr>
        <sz val="10"/>
        <rFont val="Carlito"/>
        <family val="2"/>
      </rPr>
      <t xml:space="preserve"> </t>
    </r>
    <r>
      <rPr>
        <sz val="10"/>
        <rFont val="Carlito"/>
      </rPr>
      <t>공격</t>
    </r>
    <r>
      <rPr>
        <sz val="10"/>
        <rFont val="Carlito"/>
        <family val="2"/>
      </rPr>
      <t xml:space="preserve">; </t>
    </r>
    <r>
      <rPr>
        <sz val="10"/>
        <rFont val="Carlito"/>
      </rPr>
      <t>매복</t>
    </r>
    <r>
      <rPr>
        <sz val="10"/>
        <rFont val="Carlito"/>
        <family val="2"/>
      </rPr>
      <t xml:space="preserve"> </t>
    </r>
    <r>
      <rPr>
        <sz val="10"/>
        <rFont val="Carlito"/>
      </rPr>
      <t>공격하다</t>
    </r>
  </si>
  <si>
    <r>
      <rPr>
        <sz val="10"/>
        <rFont val="Carlito"/>
      </rPr>
      <t>반부패의</t>
    </r>
  </si>
  <si>
    <r>
      <rPr>
        <sz val="10"/>
        <rFont val="Carlito"/>
      </rPr>
      <t>매력적인</t>
    </r>
    <r>
      <rPr>
        <sz val="10"/>
        <rFont val="Carlito"/>
        <family val="2"/>
      </rPr>
      <t xml:space="preserve">, </t>
    </r>
    <r>
      <rPr>
        <sz val="10"/>
        <rFont val="Carlito"/>
      </rPr>
      <t>입맛</t>
    </r>
    <r>
      <rPr>
        <sz val="10"/>
        <rFont val="Carlito"/>
        <family val="2"/>
      </rPr>
      <t xml:space="preserve"> </t>
    </r>
    <r>
      <rPr>
        <sz val="10"/>
        <rFont val="Carlito"/>
      </rPr>
      <t>당기는</t>
    </r>
  </si>
  <si>
    <r>
      <rPr>
        <sz val="10"/>
        <rFont val="Carlito"/>
      </rPr>
      <t>체포하다</t>
    </r>
  </si>
  <si>
    <r>
      <rPr>
        <sz val="10"/>
        <rFont val="Carlito"/>
      </rPr>
      <t>견습생</t>
    </r>
  </si>
  <si>
    <r>
      <rPr>
        <sz val="10"/>
        <rFont val="Carlito"/>
      </rPr>
      <t>고고학자</t>
    </r>
  </si>
  <si>
    <r>
      <rPr>
        <sz val="10"/>
        <rFont val="Carlito"/>
      </rPr>
      <t>포부</t>
    </r>
    <r>
      <rPr>
        <sz val="10"/>
        <rFont val="Carlito"/>
        <family val="2"/>
      </rPr>
      <t xml:space="preserve">, </t>
    </r>
    <r>
      <rPr>
        <sz val="10"/>
        <rFont val="Carlito"/>
      </rPr>
      <t>열망</t>
    </r>
  </si>
  <si>
    <r>
      <t>~</t>
    </r>
    <r>
      <rPr>
        <sz val="10"/>
        <rFont val="Carlito"/>
      </rPr>
      <t>하기를</t>
    </r>
    <r>
      <rPr>
        <sz val="10"/>
        <rFont val="Carlito"/>
        <family val="2"/>
      </rPr>
      <t xml:space="preserve"> </t>
    </r>
    <r>
      <rPr>
        <sz val="10"/>
        <rFont val="Carlito"/>
      </rPr>
      <t>열망하다</t>
    </r>
  </si>
  <si>
    <r>
      <t>~</t>
    </r>
    <r>
      <rPr>
        <sz val="10"/>
        <rFont val="Carlito"/>
      </rPr>
      <t>을</t>
    </r>
    <r>
      <rPr>
        <sz val="10"/>
        <rFont val="Carlito"/>
        <family val="2"/>
      </rPr>
      <t xml:space="preserve"> </t>
    </r>
    <r>
      <rPr>
        <sz val="10"/>
        <rFont val="Carlito"/>
      </rPr>
      <t>희생하여</t>
    </r>
  </si>
  <si>
    <r>
      <rPr>
        <sz val="10"/>
        <rFont val="Carlito"/>
      </rPr>
      <t>달성하다</t>
    </r>
    <r>
      <rPr>
        <sz val="10"/>
        <rFont val="Carlito"/>
        <family val="2"/>
      </rPr>
      <t xml:space="preserve">, </t>
    </r>
    <r>
      <rPr>
        <sz val="10"/>
        <rFont val="Carlito"/>
      </rPr>
      <t>얻다</t>
    </r>
  </si>
  <si>
    <r>
      <t>A</t>
    </r>
    <r>
      <rPr>
        <sz val="10"/>
        <rFont val="Carlito"/>
      </rPr>
      <t>를</t>
    </r>
    <r>
      <rPr>
        <sz val="10"/>
        <rFont val="Carlito"/>
        <family val="2"/>
      </rPr>
      <t xml:space="preserve"> B </t>
    </r>
    <r>
      <rPr>
        <sz val="10"/>
        <rFont val="Carlito"/>
      </rPr>
      <t>덕분으로</t>
    </r>
    <r>
      <rPr>
        <sz val="10"/>
        <rFont val="Carlito"/>
        <family val="2"/>
      </rPr>
      <t xml:space="preserve"> </t>
    </r>
    <r>
      <rPr>
        <sz val="10"/>
        <rFont val="Carlito"/>
      </rPr>
      <t>돌리다</t>
    </r>
  </si>
  <si>
    <r>
      <t>~</t>
    </r>
    <r>
      <rPr>
        <sz val="10"/>
        <rFont val="Carlito"/>
      </rPr>
      <t>의</t>
    </r>
    <r>
      <rPr>
        <sz val="10"/>
        <rFont val="Carlito"/>
        <family val="2"/>
      </rPr>
      <t xml:space="preserve"> </t>
    </r>
    <r>
      <rPr>
        <sz val="10"/>
        <rFont val="Carlito"/>
      </rPr>
      <t>권위자</t>
    </r>
  </si>
  <si>
    <r>
      <rPr>
        <sz val="10"/>
        <rFont val="Carlito"/>
      </rPr>
      <t>반발</t>
    </r>
  </si>
  <si>
    <r>
      <rPr>
        <sz val="10"/>
        <rFont val="Carlito"/>
      </rPr>
      <t>척박한</t>
    </r>
    <r>
      <rPr>
        <sz val="10"/>
        <rFont val="Carlito"/>
        <family val="2"/>
      </rPr>
      <t xml:space="preserve">, </t>
    </r>
    <r>
      <rPr>
        <sz val="10"/>
        <rFont val="Carlito"/>
      </rPr>
      <t>황량한</t>
    </r>
  </si>
  <si>
    <r>
      <t>~</t>
    </r>
    <r>
      <rPr>
        <sz val="10"/>
        <rFont val="Carlito"/>
      </rPr>
      <t>을</t>
    </r>
    <r>
      <rPr>
        <sz val="10"/>
        <rFont val="Carlito"/>
        <family val="2"/>
      </rPr>
      <t xml:space="preserve"> </t>
    </r>
    <r>
      <rPr>
        <sz val="10"/>
        <rFont val="Carlito"/>
      </rPr>
      <t>맡다</t>
    </r>
    <r>
      <rPr>
        <sz val="10"/>
        <rFont val="Carlito"/>
        <family val="2"/>
      </rPr>
      <t xml:space="preserve">, </t>
    </r>
    <r>
      <rPr>
        <sz val="10"/>
        <rFont val="Carlito"/>
      </rPr>
      <t>위임받다</t>
    </r>
  </si>
  <si>
    <r>
      <t>~</t>
    </r>
    <r>
      <rPr>
        <sz val="10"/>
        <rFont val="Carlito"/>
      </rPr>
      <t>에</t>
    </r>
    <r>
      <rPr>
        <sz val="10"/>
        <rFont val="Carlito"/>
        <family val="2"/>
      </rPr>
      <t xml:space="preserve"> </t>
    </r>
    <r>
      <rPr>
        <sz val="10"/>
        <rFont val="Carlito"/>
      </rPr>
      <t>진절머리가</t>
    </r>
    <r>
      <rPr>
        <sz val="10"/>
        <rFont val="Carlito"/>
        <family val="2"/>
      </rPr>
      <t xml:space="preserve"> </t>
    </r>
    <r>
      <rPr>
        <sz val="10"/>
        <rFont val="Carlito"/>
      </rPr>
      <t>나다</t>
    </r>
  </si>
  <si>
    <r>
      <t xml:space="preserve">~ </t>
    </r>
    <r>
      <rPr>
        <sz val="10"/>
        <rFont val="Carlito"/>
      </rPr>
      <t>때문에</t>
    </r>
    <r>
      <rPr>
        <sz val="10"/>
        <rFont val="Carlito"/>
        <family val="2"/>
      </rPr>
      <t xml:space="preserve"> </t>
    </r>
    <r>
      <rPr>
        <sz val="10"/>
        <rFont val="Carlito"/>
      </rPr>
      <t>지체되다</t>
    </r>
    <r>
      <rPr>
        <sz val="10"/>
        <rFont val="Carlito"/>
        <family val="2"/>
      </rPr>
      <t>/</t>
    </r>
    <r>
      <rPr>
        <sz val="10"/>
        <rFont val="Carlito"/>
      </rPr>
      <t>제약받다</t>
    </r>
  </si>
  <si>
    <r>
      <t>~</t>
    </r>
    <r>
      <rPr>
        <sz val="10"/>
        <rFont val="Carlito"/>
      </rPr>
      <t>에</t>
    </r>
    <r>
      <rPr>
        <sz val="10"/>
        <rFont val="Carlito"/>
        <family val="2"/>
      </rPr>
      <t xml:space="preserve"> </t>
    </r>
    <r>
      <rPr>
        <sz val="10"/>
        <rFont val="Carlito"/>
      </rPr>
      <t>포함되다</t>
    </r>
    <r>
      <rPr>
        <sz val="10"/>
        <rFont val="Carlito"/>
        <family val="2"/>
      </rPr>
      <t xml:space="preserve">, </t>
    </r>
    <r>
      <rPr>
        <sz val="10"/>
        <rFont val="Carlito"/>
      </rPr>
      <t>결합되다</t>
    </r>
  </si>
  <si>
    <r>
      <rPr>
        <sz val="10"/>
        <rFont val="Carlito"/>
      </rPr>
      <t>해고되다</t>
    </r>
  </si>
  <si>
    <r>
      <rPr>
        <sz val="10"/>
        <rFont val="Carlito"/>
      </rPr>
      <t>큰</t>
    </r>
    <r>
      <rPr>
        <sz val="10"/>
        <rFont val="Carlito"/>
        <family val="2"/>
      </rPr>
      <t xml:space="preserve"> </t>
    </r>
    <r>
      <rPr>
        <sz val="10"/>
        <rFont val="Carlito"/>
      </rPr>
      <t>기회</t>
    </r>
    <r>
      <rPr>
        <sz val="10"/>
        <rFont val="Carlito"/>
        <family val="2"/>
      </rPr>
      <t xml:space="preserve">, </t>
    </r>
    <r>
      <rPr>
        <sz val="10"/>
        <rFont val="Carlito"/>
      </rPr>
      <t>성공</t>
    </r>
    <r>
      <rPr>
        <sz val="10"/>
        <rFont val="Carlito"/>
        <family val="2"/>
      </rPr>
      <t xml:space="preserve"> </t>
    </r>
    <r>
      <rPr>
        <sz val="10"/>
        <rFont val="Carlito"/>
      </rPr>
      <t>계기</t>
    </r>
  </si>
  <si>
    <r>
      <rPr>
        <sz val="10"/>
        <rFont val="Carlito"/>
      </rPr>
      <t>수익성</t>
    </r>
    <r>
      <rPr>
        <sz val="10"/>
        <rFont val="Carlito"/>
        <family val="2"/>
      </rPr>
      <t xml:space="preserve">, </t>
    </r>
    <r>
      <rPr>
        <sz val="10"/>
        <rFont val="Carlito"/>
      </rPr>
      <t>최종</t>
    </r>
    <r>
      <rPr>
        <sz val="10"/>
        <rFont val="Carlito"/>
        <family val="2"/>
      </rPr>
      <t xml:space="preserve"> </t>
    </r>
    <r>
      <rPr>
        <sz val="10"/>
        <rFont val="Carlito"/>
      </rPr>
      <t>손익</t>
    </r>
  </si>
  <si>
    <r>
      <rPr>
        <sz val="10"/>
        <rFont val="Carlito"/>
      </rPr>
      <t>현상금</t>
    </r>
  </si>
  <si>
    <r>
      <rPr>
        <sz val="10"/>
        <rFont val="Carlito"/>
      </rPr>
      <t>소규모</t>
    </r>
    <r>
      <rPr>
        <sz val="10"/>
        <rFont val="Carlito"/>
        <family val="2"/>
      </rPr>
      <t xml:space="preserve"> </t>
    </r>
    <r>
      <rPr>
        <sz val="10"/>
        <rFont val="Carlito"/>
      </rPr>
      <t>전문점</t>
    </r>
  </si>
  <si>
    <r>
      <rPr>
        <sz val="10"/>
        <rFont val="Carlito"/>
      </rPr>
      <t>획기적</t>
    </r>
    <r>
      <rPr>
        <sz val="10"/>
        <rFont val="Carlito"/>
        <family val="2"/>
      </rPr>
      <t xml:space="preserve"> </t>
    </r>
    <r>
      <rPr>
        <sz val="10"/>
        <rFont val="Carlito"/>
      </rPr>
      <t>발전</t>
    </r>
  </si>
  <si>
    <r>
      <rPr>
        <sz val="10"/>
        <rFont val="Carlito"/>
      </rPr>
      <t>초래하다</t>
    </r>
    <r>
      <rPr>
        <sz val="10"/>
        <rFont val="Carlito"/>
        <family val="2"/>
      </rPr>
      <t xml:space="preserve">, </t>
    </r>
    <r>
      <rPr>
        <sz val="10"/>
        <rFont val="Carlito"/>
      </rPr>
      <t>일으키다</t>
    </r>
  </si>
  <si>
    <r>
      <rPr>
        <sz val="10"/>
        <rFont val="Carlito"/>
      </rPr>
      <t>강화하다</t>
    </r>
    <r>
      <rPr>
        <sz val="10"/>
        <rFont val="Carlito"/>
        <family val="2"/>
      </rPr>
      <t xml:space="preserve">, </t>
    </r>
    <r>
      <rPr>
        <sz val="10"/>
        <rFont val="Carlito"/>
      </rPr>
      <t>축적하다</t>
    </r>
  </si>
  <si>
    <r>
      <rPr>
        <sz val="10"/>
        <rFont val="Carlito"/>
      </rPr>
      <t>생명의</t>
    </r>
    <r>
      <rPr>
        <sz val="10"/>
        <rFont val="Carlito"/>
        <family val="2"/>
      </rPr>
      <t xml:space="preserve"> </t>
    </r>
    <r>
      <rPr>
        <sz val="10"/>
        <rFont val="Carlito"/>
      </rPr>
      <t>기본</t>
    </r>
    <r>
      <rPr>
        <sz val="10"/>
        <rFont val="Carlito"/>
        <family val="2"/>
      </rPr>
      <t xml:space="preserve"> </t>
    </r>
    <r>
      <rPr>
        <sz val="10"/>
        <rFont val="Carlito"/>
      </rPr>
      <t>구성</t>
    </r>
    <r>
      <rPr>
        <sz val="10"/>
        <rFont val="Carlito"/>
        <family val="2"/>
      </rPr>
      <t xml:space="preserve"> </t>
    </r>
    <r>
      <rPr>
        <sz val="10"/>
        <rFont val="Carlito"/>
      </rPr>
      <t>요소</t>
    </r>
  </si>
  <si>
    <r>
      <rPr>
        <sz val="10"/>
        <rFont val="Carlito"/>
      </rPr>
      <t>부담스러운</t>
    </r>
  </si>
  <si>
    <r>
      <rPr>
        <sz val="10"/>
        <rFont val="Carlito"/>
      </rPr>
      <t>관료</t>
    </r>
  </si>
  <si>
    <r>
      <rPr>
        <sz val="10"/>
        <rFont val="Carlito"/>
      </rPr>
      <t>굴을</t>
    </r>
    <r>
      <rPr>
        <sz val="10"/>
        <rFont val="Carlito"/>
        <family val="2"/>
      </rPr>
      <t xml:space="preserve"> </t>
    </r>
    <r>
      <rPr>
        <sz val="10"/>
        <rFont val="Carlito"/>
      </rPr>
      <t>파다</t>
    </r>
  </si>
  <si>
    <r>
      <rPr>
        <sz val="10"/>
        <rFont val="Carlito"/>
      </rPr>
      <t>인수</t>
    </r>
  </si>
  <si>
    <r>
      <rPr>
        <sz val="10"/>
        <rFont val="Carlito"/>
      </rPr>
      <t>칼로리</t>
    </r>
    <r>
      <rPr>
        <sz val="10"/>
        <rFont val="Carlito"/>
        <family val="2"/>
      </rPr>
      <t xml:space="preserve"> </t>
    </r>
    <r>
      <rPr>
        <sz val="10"/>
        <rFont val="Carlito"/>
      </rPr>
      <t>밀도가</t>
    </r>
    <r>
      <rPr>
        <sz val="10"/>
        <rFont val="Carlito"/>
        <family val="2"/>
      </rPr>
      <t xml:space="preserve"> </t>
    </r>
    <r>
      <rPr>
        <sz val="10"/>
        <rFont val="Carlito"/>
      </rPr>
      <t>높은</t>
    </r>
  </si>
  <si>
    <r>
      <rPr>
        <sz val="10"/>
        <rFont val="Carlito"/>
      </rPr>
      <t>갑자기</t>
    </r>
    <r>
      <rPr>
        <sz val="10"/>
        <rFont val="Carlito"/>
        <family val="2"/>
      </rPr>
      <t xml:space="preserve"> </t>
    </r>
    <r>
      <rPr>
        <sz val="10"/>
        <rFont val="Carlito"/>
      </rPr>
      <t>유명하게</t>
    </r>
    <r>
      <rPr>
        <sz val="10"/>
        <rFont val="Carlito"/>
        <family val="2"/>
      </rPr>
      <t xml:space="preserve"> </t>
    </r>
    <r>
      <rPr>
        <sz val="10"/>
        <rFont val="Carlito"/>
      </rPr>
      <t>만들다</t>
    </r>
  </si>
  <si>
    <r>
      <rPr>
        <sz val="10"/>
        <rFont val="Carlito"/>
      </rPr>
      <t>허를</t>
    </r>
    <r>
      <rPr>
        <sz val="10"/>
        <rFont val="Carlito"/>
        <family val="2"/>
      </rPr>
      <t xml:space="preserve"> </t>
    </r>
    <r>
      <rPr>
        <sz val="10"/>
        <rFont val="Carlito"/>
      </rPr>
      <t>찔린</t>
    </r>
    <r>
      <rPr>
        <sz val="10"/>
        <rFont val="Carlito"/>
        <family val="2"/>
      </rPr>
      <t xml:space="preserve">, </t>
    </r>
    <r>
      <rPr>
        <sz val="10"/>
        <rFont val="Carlito"/>
      </rPr>
      <t>당황한</t>
    </r>
  </si>
  <si>
    <r>
      <rPr>
        <sz val="10"/>
        <rFont val="Carlito"/>
      </rPr>
      <t>검열관</t>
    </r>
    <r>
      <rPr>
        <sz val="10"/>
        <rFont val="Carlito"/>
        <family val="2"/>
      </rPr>
      <t xml:space="preserve">; </t>
    </r>
    <r>
      <rPr>
        <sz val="10"/>
        <rFont val="Carlito"/>
      </rPr>
      <t>검열하다</t>
    </r>
  </si>
  <si>
    <r>
      <rPr>
        <sz val="10"/>
        <rFont val="Carlito"/>
      </rPr>
      <t>전세기를</t>
    </r>
    <r>
      <rPr>
        <sz val="10"/>
        <rFont val="Carlito"/>
        <family val="2"/>
      </rPr>
      <t xml:space="preserve"> </t>
    </r>
    <r>
      <rPr>
        <sz val="10"/>
        <rFont val="Carlito"/>
      </rPr>
      <t>빌리다</t>
    </r>
  </si>
  <si>
    <r>
      <rPr>
        <sz val="10"/>
        <rFont val="Carlito"/>
      </rPr>
      <t>보육</t>
    </r>
    <r>
      <rPr>
        <sz val="10"/>
        <rFont val="Carlito"/>
        <family val="2"/>
      </rPr>
      <t xml:space="preserve"> </t>
    </r>
    <r>
      <rPr>
        <sz val="10"/>
        <rFont val="Carlito"/>
      </rPr>
      <t>자격</t>
    </r>
  </si>
  <si>
    <r>
      <rPr>
        <sz val="10"/>
        <rFont val="Carlito"/>
      </rPr>
      <t>만성</t>
    </r>
    <r>
      <rPr>
        <sz val="10"/>
        <rFont val="Carlito"/>
        <family val="2"/>
      </rPr>
      <t xml:space="preserve"> </t>
    </r>
    <r>
      <rPr>
        <sz val="10"/>
        <rFont val="Carlito"/>
      </rPr>
      <t>질환</t>
    </r>
  </si>
  <si>
    <r>
      <rPr>
        <sz val="10"/>
        <rFont val="Carlito"/>
      </rPr>
      <t>영화화</t>
    </r>
    <r>
      <rPr>
        <sz val="10"/>
        <rFont val="Carlito"/>
        <family val="2"/>
      </rPr>
      <t xml:space="preserve"> </t>
    </r>
    <r>
      <rPr>
        <sz val="10"/>
        <rFont val="Carlito"/>
      </rPr>
      <t>작품</t>
    </r>
  </si>
  <si>
    <r>
      <rPr>
        <sz val="10"/>
        <rFont val="Carlito"/>
      </rPr>
      <t>협업</t>
    </r>
  </si>
  <si>
    <r>
      <rPr>
        <sz val="10"/>
        <rFont val="Carlito"/>
      </rPr>
      <t>기념하다</t>
    </r>
  </si>
  <si>
    <r>
      <rPr>
        <sz val="10"/>
        <rFont val="Carlito"/>
      </rPr>
      <t>상업적으로</t>
    </r>
  </si>
  <si>
    <r>
      <rPr>
        <sz val="10"/>
        <rFont val="Carlito"/>
      </rPr>
      <t>상업적으로</t>
    </r>
    <r>
      <rPr>
        <sz val="10"/>
        <rFont val="Carlito"/>
        <family val="2"/>
      </rPr>
      <t xml:space="preserve"> </t>
    </r>
    <r>
      <rPr>
        <sz val="10"/>
        <rFont val="Carlito"/>
      </rPr>
      <t>성공한</t>
    </r>
  </si>
  <si>
    <r>
      <rPr>
        <sz val="10"/>
        <rFont val="Carlito"/>
      </rPr>
      <t>평등에</t>
    </r>
    <r>
      <rPr>
        <sz val="10"/>
        <rFont val="Carlito"/>
        <family val="2"/>
      </rPr>
      <t xml:space="preserve"> </t>
    </r>
    <r>
      <rPr>
        <sz val="10"/>
        <rFont val="Carlito"/>
      </rPr>
      <t>대한</t>
    </r>
    <r>
      <rPr>
        <sz val="10"/>
        <rFont val="Carlito"/>
        <family val="2"/>
      </rPr>
      <t xml:space="preserve"> </t>
    </r>
    <r>
      <rPr>
        <sz val="10"/>
        <rFont val="Carlito"/>
      </rPr>
      <t>헌신</t>
    </r>
  </si>
  <si>
    <r>
      <rPr>
        <sz val="10"/>
        <rFont val="Carlito"/>
      </rPr>
      <t>상품</t>
    </r>
    <r>
      <rPr>
        <sz val="10"/>
        <rFont val="Carlito"/>
        <family val="2"/>
      </rPr>
      <t xml:space="preserve">, </t>
    </r>
    <r>
      <rPr>
        <sz val="10"/>
        <rFont val="Carlito"/>
      </rPr>
      <t>물자</t>
    </r>
  </si>
  <si>
    <r>
      <rPr>
        <sz val="10"/>
        <rFont val="Carlito"/>
      </rPr>
      <t>흔한</t>
    </r>
    <r>
      <rPr>
        <sz val="10"/>
        <rFont val="Carlito"/>
        <family val="2"/>
      </rPr>
      <t xml:space="preserve">, </t>
    </r>
    <r>
      <rPr>
        <sz val="10"/>
        <rFont val="Carlito"/>
      </rPr>
      <t>보통의</t>
    </r>
  </si>
  <si>
    <r>
      <rPr>
        <sz val="10"/>
        <rFont val="Carlito"/>
      </rPr>
      <t>역량</t>
    </r>
    <r>
      <rPr>
        <sz val="10"/>
        <rFont val="Carlito"/>
        <family val="2"/>
      </rPr>
      <t xml:space="preserve">, </t>
    </r>
    <r>
      <rPr>
        <sz val="10"/>
        <rFont val="Carlito"/>
      </rPr>
      <t>능력</t>
    </r>
  </si>
  <si>
    <r>
      <rPr>
        <sz val="10"/>
        <rFont val="Carlito"/>
      </rPr>
      <t>준수</t>
    </r>
  </si>
  <si>
    <r>
      <rPr>
        <sz val="10"/>
        <rFont val="Carlito"/>
      </rPr>
      <t>퇴비화</t>
    </r>
    <r>
      <rPr>
        <sz val="10"/>
        <rFont val="Carlito"/>
        <family val="2"/>
      </rPr>
      <t xml:space="preserve"> </t>
    </r>
    <r>
      <rPr>
        <sz val="10"/>
        <rFont val="Carlito"/>
      </rPr>
      <t>용기</t>
    </r>
  </si>
  <si>
    <r>
      <rPr>
        <sz val="10"/>
        <rFont val="Carlito"/>
      </rPr>
      <t>강제</t>
    </r>
    <r>
      <rPr>
        <sz val="10"/>
        <rFont val="Carlito"/>
        <family val="2"/>
      </rPr>
      <t xml:space="preserve"> </t>
    </r>
    <r>
      <rPr>
        <sz val="10"/>
        <rFont val="Carlito"/>
      </rPr>
      <t>수용소</t>
    </r>
  </si>
  <si>
    <r>
      <rPr>
        <sz val="10"/>
        <rFont val="Carlito"/>
      </rPr>
      <t>결정적인</t>
    </r>
    <r>
      <rPr>
        <sz val="10"/>
        <rFont val="Carlito"/>
        <family val="2"/>
      </rPr>
      <t xml:space="preserve">, </t>
    </r>
    <r>
      <rPr>
        <sz val="10"/>
        <rFont val="Carlito"/>
      </rPr>
      <t>확정적인</t>
    </r>
  </si>
  <si>
    <r>
      <rPr>
        <sz val="10"/>
        <rFont val="Carlito"/>
      </rPr>
      <t>전도체</t>
    </r>
  </si>
  <si>
    <r>
      <rPr>
        <sz val="10"/>
        <rFont val="Carlito"/>
      </rPr>
      <t>혼잡</t>
    </r>
    <r>
      <rPr>
        <sz val="10"/>
        <rFont val="Carlito"/>
        <family val="2"/>
      </rPr>
      <t xml:space="preserve"> </t>
    </r>
    <r>
      <rPr>
        <sz val="10"/>
        <rFont val="Carlito"/>
      </rPr>
      <t>통행료</t>
    </r>
  </si>
  <si>
    <r>
      <rPr>
        <sz val="10"/>
        <rFont val="Carlito"/>
      </rPr>
      <t>의회의</t>
    </r>
  </si>
  <si>
    <r>
      <rPr>
        <sz val="10"/>
        <rFont val="Carlito"/>
      </rPr>
      <t>의식</t>
    </r>
  </si>
  <si>
    <r>
      <rPr>
        <sz val="10"/>
        <rFont val="Carlito"/>
      </rPr>
      <t>유권자</t>
    </r>
    <r>
      <rPr>
        <sz val="10"/>
        <rFont val="Carlito"/>
        <family val="2"/>
      </rPr>
      <t xml:space="preserve">, </t>
    </r>
    <r>
      <rPr>
        <sz val="10"/>
        <rFont val="Carlito"/>
      </rPr>
      <t>지역구민</t>
    </r>
  </si>
  <si>
    <r>
      <rPr>
        <sz val="10"/>
        <rFont val="Carlito"/>
      </rPr>
      <t>전염성의</t>
    </r>
  </si>
  <si>
    <r>
      <rPr>
        <sz val="10"/>
        <rFont val="Carlito"/>
      </rPr>
      <t>질병</t>
    </r>
    <r>
      <rPr>
        <sz val="10"/>
        <rFont val="Carlito"/>
        <family val="2"/>
      </rPr>
      <t xml:space="preserve"> </t>
    </r>
    <r>
      <rPr>
        <sz val="10"/>
        <rFont val="Carlito"/>
      </rPr>
      <t>확산을</t>
    </r>
    <r>
      <rPr>
        <sz val="10"/>
        <rFont val="Carlito"/>
        <family val="2"/>
      </rPr>
      <t xml:space="preserve"> </t>
    </r>
    <r>
      <rPr>
        <sz val="10"/>
        <rFont val="Carlito"/>
      </rPr>
      <t>막다</t>
    </r>
  </si>
  <si>
    <r>
      <rPr>
        <sz val="10"/>
        <rFont val="Carlito"/>
      </rPr>
      <t>고려하다</t>
    </r>
    <r>
      <rPr>
        <sz val="10"/>
        <rFont val="Carlito"/>
        <family val="2"/>
      </rPr>
      <t xml:space="preserve">, </t>
    </r>
    <r>
      <rPr>
        <sz val="10"/>
        <rFont val="Carlito"/>
      </rPr>
      <t>숙고하다</t>
    </r>
  </si>
  <si>
    <r>
      <rPr>
        <sz val="10"/>
        <rFont val="Carlito"/>
      </rPr>
      <t>우승</t>
    </r>
    <r>
      <rPr>
        <sz val="10"/>
        <rFont val="Carlito"/>
        <family val="2"/>
      </rPr>
      <t xml:space="preserve"> </t>
    </r>
    <r>
      <rPr>
        <sz val="10"/>
        <rFont val="Carlito"/>
      </rPr>
      <t>후보</t>
    </r>
    <r>
      <rPr>
        <sz val="10"/>
        <rFont val="Carlito"/>
        <family val="2"/>
      </rPr>
      <t xml:space="preserve">, </t>
    </r>
    <r>
      <rPr>
        <sz val="10"/>
        <rFont val="Carlito"/>
      </rPr>
      <t>경쟁자</t>
    </r>
  </si>
  <si>
    <r>
      <rPr>
        <sz val="10"/>
        <rFont val="Carlito"/>
      </rPr>
      <t>논쟁</t>
    </r>
    <r>
      <rPr>
        <sz val="10"/>
        <rFont val="Carlito"/>
        <family val="2"/>
      </rPr>
      <t xml:space="preserve"> </t>
    </r>
    <r>
      <rPr>
        <sz val="10"/>
        <rFont val="Carlito"/>
      </rPr>
      <t>중인</t>
    </r>
  </si>
  <si>
    <r>
      <rPr>
        <sz val="10"/>
        <rFont val="Carlito"/>
      </rPr>
      <t>계약</t>
    </r>
    <r>
      <rPr>
        <sz val="10"/>
        <rFont val="Carlito"/>
        <family val="2"/>
      </rPr>
      <t xml:space="preserve"> </t>
    </r>
    <r>
      <rPr>
        <sz val="10"/>
        <rFont val="Carlito"/>
      </rPr>
      <t>연장</t>
    </r>
  </si>
  <si>
    <r>
      <rPr>
        <sz val="10"/>
        <rFont val="Carlito"/>
      </rPr>
      <t>계약</t>
    </r>
    <r>
      <rPr>
        <sz val="10"/>
        <rFont val="Carlito"/>
        <family val="2"/>
      </rPr>
      <t xml:space="preserve"> </t>
    </r>
    <r>
      <rPr>
        <sz val="10"/>
        <rFont val="Carlito"/>
      </rPr>
      <t>기반의</t>
    </r>
  </si>
  <si>
    <r>
      <rPr>
        <sz val="10"/>
        <rFont val="Carlito"/>
      </rPr>
      <t>전기를</t>
    </r>
    <r>
      <rPr>
        <sz val="10"/>
        <rFont val="Carlito"/>
        <family val="2"/>
      </rPr>
      <t xml:space="preserve"> </t>
    </r>
    <r>
      <rPr>
        <sz val="10"/>
        <rFont val="Carlito"/>
      </rPr>
      <t>전달하다</t>
    </r>
  </si>
  <si>
    <r>
      <rPr>
        <sz val="10"/>
        <rFont val="Carlito"/>
      </rPr>
      <t>교정</t>
    </r>
    <r>
      <rPr>
        <sz val="10"/>
        <rFont val="Carlito"/>
        <family val="2"/>
      </rPr>
      <t xml:space="preserve"> </t>
    </r>
    <r>
      <rPr>
        <sz val="10"/>
        <rFont val="Carlito"/>
      </rPr>
      <t>시설</t>
    </r>
    <r>
      <rPr>
        <sz val="10"/>
        <rFont val="Carlito"/>
        <family val="2"/>
      </rPr>
      <t xml:space="preserve">, </t>
    </r>
    <r>
      <rPr>
        <sz val="10"/>
        <rFont val="Carlito"/>
      </rPr>
      <t>교도소</t>
    </r>
  </si>
  <si>
    <r>
      <rPr>
        <sz val="10"/>
        <rFont val="Carlito"/>
      </rPr>
      <t>상응하는</t>
    </r>
    <r>
      <rPr>
        <sz val="10"/>
        <rFont val="Carlito"/>
        <family val="2"/>
      </rPr>
      <t xml:space="preserve"> </t>
    </r>
    <r>
      <rPr>
        <sz val="10"/>
        <rFont val="Carlito"/>
      </rPr>
      <t>것</t>
    </r>
    <r>
      <rPr>
        <sz val="10"/>
        <rFont val="Carlito"/>
        <family val="2"/>
      </rPr>
      <t xml:space="preserve">, </t>
    </r>
    <r>
      <rPr>
        <sz val="10"/>
        <rFont val="Carlito"/>
      </rPr>
      <t>대응물</t>
    </r>
  </si>
  <si>
    <r>
      <rPr>
        <sz val="10"/>
        <rFont val="Carlito"/>
      </rPr>
      <t>작은</t>
    </r>
    <r>
      <rPr>
        <sz val="10"/>
        <rFont val="Carlito"/>
        <family val="2"/>
      </rPr>
      <t xml:space="preserve"> </t>
    </r>
    <r>
      <rPr>
        <sz val="10"/>
        <rFont val="Carlito"/>
      </rPr>
      <t>만</t>
    </r>
  </si>
  <si>
    <r>
      <rPr>
        <sz val="10"/>
        <rFont val="Carlito"/>
      </rPr>
      <t>화제를</t>
    </r>
    <r>
      <rPr>
        <sz val="10"/>
        <rFont val="Carlito"/>
        <family val="2"/>
      </rPr>
      <t xml:space="preserve"> </t>
    </r>
    <r>
      <rPr>
        <sz val="10"/>
        <rFont val="Carlito"/>
      </rPr>
      <t>만들다</t>
    </r>
  </si>
  <si>
    <r>
      <rPr>
        <sz val="10"/>
        <rFont val="Carlito"/>
      </rPr>
      <t>억제하다</t>
    </r>
    <r>
      <rPr>
        <sz val="10"/>
        <rFont val="Carlito"/>
        <family val="2"/>
      </rPr>
      <t xml:space="preserve"> / </t>
    </r>
    <r>
      <rPr>
        <sz val="10"/>
        <rFont val="Carlito"/>
      </rPr>
      <t>억제하다</t>
    </r>
    <r>
      <rPr>
        <sz val="10"/>
        <rFont val="Carlito"/>
        <family val="2"/>
      </rPr>
      <t xml:space="preserve">, </t>
    </r>
    <r>
      <rPr>
        <sz val="10"/>
        <rFont val="Carlito"/>
      </rPr>
      <t>줄이다</t>
    </r>
  </si>
  <si>
    <r>
      <rPr>
        <sz val="10"/>
        <rFont val="Carlito"/>
      </rPr>
      <t>맞춤</t>
    </r>
    <r>
      <rPr>
        <sz val="10"/>
        <rFont val="Carlito"/>
        <family val="2"/>
      </rPr>
      <t xml:space="preserve"> </t>
    </r>
    <r>
      <rPr>
        <sz val="10"/>
        <rFont val="Carlito"/>
      </rPr>
      <t>제작된</t>
    </r>
  </si>
  <si>
    <r>
      <rPr>
        <sz val="10"/>
        <rFont val="Carlito"/>
      </rPr>
      <t>맞춤화된</t>
    </r>
  </si>
  <si>
    <r>
      <rPr>
        <sz val="10"/>
        <rFont val="Carlito"/>
      </rPr>
      <t>일찍</t>
    </r>
    <r>
      <rPr>
        <sz val="10"/>
        <rFont val="Carlito"/>
        <family val="2"/>
      </rPr>
      <t xml:space="preserve"> </t>
    </r>
    <r>
      <rPr>
        <sz val="10"/>
        <rFont val="Carlito"/>
      </rPr>
      <t>끝내다</t>
    </r>
    <r>
      <rPr>
        <sz val="10"/>
        <rFont val="Carlito"/>
        <family val="2"/>
      </rPr>
      <t xml:space="preserve">, </t>
    </r>
    <r>
      <rPr>
        <sz val="10"/>
        <rFont val="Carlito"/>
      </rPr>
      <t>단축하다</t>
    </r>
  </si>
  <si>
    <r>
      <rPr>
        <sz val="10"/>
        <rFont val="Carlito"/>
      </rPr>
      <t>최첨단의</t>
    </r>
    <r>
      <rPr>
        <sz val="10"/>
        <rFont val="Carlito"/>
        <family val="2"/>
      </rPr>
      <t xml:space="preserve">, </t>
    </r>
    <r>
      <rPr>
        <sz val="10"/>
        <rFont val="Carlito"/>
      </rPr>
      <t>혁신적인</t>
    </r>
    <r>
      <rPr>
        <sz val="10"/>
        <rFont val="Carlito"/>
        <family val="2"/>
      </rPr>
      <t xml:space="preserve"> / </t>
    </r>
    <r>
      <rPr>
        <sz val="10"/>
        <rFont val="Carlito"/>
      </rPr>
      <t>최첨단의</t>
    </r>
  </si>
  <si>
    <r>
      <rPr>
        <sz val="10"/>
        <rFont val="Carlito"/>
      </rPr>
      <t>결정적인</t>
    </r>
    <r>
      <rPr>
        <sz val="10"/>
        <rFont val="Carlito"/>
        <family val="2"/>
      </rPr>
      <t xml:space="preserve"> </t>
    </r>
    <r>
      <rPr>
        <sz val="10"/>
        <rFont val="Carlito"/>
      </rPr>
      <t>방식</t>
    </r>
  </si>
  <si>
    <r>
      <rPr>
        <sz val="10"/>
        <rFont val="Carlito"/>
      </rPr>
      <t>전용의</t>
    </r>
    <r>
      <rPr>
        <sz val="10"/>
        <rFont val="Carlito"/>
        <family val="2"/>
      </rPr>
      <t xml:space="preserve">; </t>
    </r>
    <r>
      <rPr>
        <sz val="10"/>
        <rFont val="Carlito"/>
      </rPr>
      <t>헌신적인</t>
    </r>
  </si>
  <si>
    <r>
      <t>~</t>
    </r>
    <r>
      <rPr>
        <sz val="10"/>
        <rFont val="Carlito"/>
      </rPr>
      <t>에게</t>
    </r>
    <r>
      <rPr>
        <sz val="10"/>
        <rFont val="Carlito"/>
        <family val="2"/>
      </rPr>
      <t xml:space="preserve"> </t>
    </r>
    <r>
      <rPr>
        <sz val="10"/>
        <rFont val="Carlito"/>
      </rPr>
      <t>판단을</t>
    </r>
    <r>
      <rPr>
        <sz val="10"/>
        <rFont val="Carlito"/>
        <family val="2"/>
      </rPr>
      <t xml:space="preserve"> </t>
    </r>
    <r>
      <rPr>
        <sz val="10"/>
        <rFont val="Carlito"/>
      </rPr>
      <t>맡기다</t>
    </r>
    <r>
      <rPr>
        <sz val="10"/>
        <rFont val="Carlito"/>
        <family val="2"/>
      </rPr>
      <t xml:space="preserve">, </t>
    </r>
    <r>
      <rPr>
        <sz val="10"/>
        <rFont val="Carlito"/>
      </rPr>
      <t>따르다</t>
    </r>
  </si>
  <si>
    <r>
      <rPr>
        <sz val="10"/>
        <rFont val="Carlito"/>
      </rPr>
      <t>치매</t>
    </r>
  </si>
  <si>
    <r>
      <rPr>
        <sz val="10"/>
        <rFont val="Carlito"/>
      </rPr>
      <t>굴</t>
    </r>
    <r>
      <rPr>
        <sz val="10"/>
        <rFont val="Carlito"/>
        <family val="2"/>
      </rPr>
      <t xml:space="preserve">, </t>
    </r>
    <r>
      <rPr>
        <sz val="10"/>
        <rFont val="Carlito"/>
      </rPr>
      <t>보금자리</t>
    </r>
  </si>
  <si>
    <r>
      <rPr>
        <sz val="10"/>
        <rFont val="Carlito"/>
      </rPr>
      <t>진통제</t>
    </r>
    <r>
      <rPr>
        <sz val="10"/>
        <rFont val="Carlito"/>
        <family val="2"/>
      </rPr>
      <t xml:space="preserve"> </t>
    </r>
    <r>
      <rPr>
        <sz val="10"/>
        <rFont val="Carlito"/>
      </rPr>
      <t>의존</t>
    </r>
  </si>
  <si>
    <r>
      <t>~</t>
    </r>
    <r>
      <rPr>
        <sz val="10"/>
        <rFont val="Carlito"/>
      </rPr>
      <t>에서</t>
    </r>
    <r>
      <rPr>
        <sz val="10"/>
        <rFont val="Carlito"/>
        <family val="2"/>
      </rPr>
      <t xml:space="preserve"> </t>
    </r>
    <r>
      <rPr>
        <sz val="10"/>
        <rFont val="Carlito"/>
      </rPr>
      <t>즐거움을</t>
    </r>
    <r>
      <rPr>
        <sz val="10"/>
        <rFont val="Carlito"/>
        <family val="2"/>
      </rPr>
      <t xml:space="preserve"> </t>
    </r>
    <r>
      <rPr>
        <sz val="10"/>
        <rFont val="Carlito"/>
      </rPr>
      <t>얻다</t>
    </r>
  </si>
  <si>
    <r>
      <rPr>
        <sz val="10"/>
        <rFont val="Carlito"/>
      </rPr>
      <t>지정</t>
    </r>
    <r>
      <rPr>
        <sz val="10"/>
        <rFont val="Carlito"/>
        <family val="2"/>
      </rPr>
      <t xml:space="preserve"> </t>
    </r>
    <r>
      <rPr>
        <sz val="10"/>
        <rFont val="Carlito"/>
      </rPr>
      <t>승하차</t>
    </r>
    <r>
      <rPr>
        <sz val="10"/>
        <rFont val="Carlito"/>
        <family val="2"/>
      </rPr>
      <t xml:space="preserve"> </t>
    </r>
    <r>
      <rPr>
        <sz val="10"/>
        <rFont val="Carlito"/>
      </rPr>
      <t>지점</t>
    </r>
  </si>
  <si>
    <r>
      <rPr>
        <sz val="10"/>
        <rFont val="Carlito"/>
      </rPr>
      <t>절망</t>
    </r>
  </si>
  <si>
    <r>
      <rPr>
        <sz val="10"/>
        <rFont val="Carlito"/>
      </rPr>
      <t>악화되다</t>
    </r>
  </si>
  <si>
    <r>
      <rPr>
        <sz val="10"/>
        <rFont val="Carlito"/>
      </rPr>
      <t>몹시</t>
    </r>
    <r>
      <rPr>
        <sz val="10"/>
        <rFont val="Carlito"/>
        <family val="2"/>
      </rPr>
      <t xml:space="preserve"> </t>
    </r>
    <r>
      <rPr>
        <sz val="10"/>
        <rFont val="Carlito"/>
      </rPr>
      <t>싫어하다</t>
    </r>
  </si>
  <si>
    <r>
      <rPr>
        <sz val="10"/>
        <rFont val="Carlito"/>
      </rPr>
      <t>해독하다</t>
    </r>
  </si>
  <si>
    <r>
      <rPr>
        <sz val="10"/>
        <rFont val="Carlito"/>
      </rPr>
      <t>자원을</t>
    </r>
    <r>
      <rPr>
        <sz val="10"/>
        <rFont val="Carlito"/>
        <family val="2"/>
      </rPr>
      <t xml:space="preserve"> ~</t>
    </r>
    <r>
      <rPr>
        <sz val="10"/>
        <rFont val="Carlito"/>
      </rPr>
      <t>에</t>
    </r>
    <r>
      <rPr>
        <sz val="10"/>
        <rFont val="Carlito"/>
        <family val="2"/>
      </rPr>
      <t xml:space="preserve"> </t>
    </r>
    <r>
      <rPr>
        <sz val="10"/>
        <rFont val="Carlito"/>
      </rPr>
      <t>투입하다</t>
    </r>
  </si>
  <si>
    <r>
      <rPr>
        <sz val="10"/>
        <rFont val="Carlito"/>
      </rPr>
      <t>판매량</t>
    </r>
    <r>
      <rPr>
        <sz val="10"/>
        <rFont val="Carlito"/>
        <family val="2"/>
      </rPr>
      <t xml:space="preserve"> </t>
    </r>
    <r>
      <rPr>
        <sz val="10"/>
        <rFont val="Carlito"/>
      </rPr>
      <t>하락</t>
    </r>
  </si>
  <si>
    <r>
      <rPr>
        <sz val="10"/>
        <rFont val="Carlito"/>
      </rPr>
      <t>불리한</t>
    </r>
    <r>
      <rPr>
        <sz val="10"/>
        <rFont val="Carlito"/>
        <family val="2"/>
      </rPr>
      <t xml:space="preserve"> </t>
    </r>
    <r>
      <rPr>
        <sz val="10"/>
        <rFont val="Carlito"/>
      </rPr>
      <t>처지의</t>
    </r>
  </si>
  <si>
    <r>
      <rPr>
        <sz val="10"/>
        <rFont val="Carlito"/>
      </rPr>
      <t>경멸하다</t>
    </r>
    <r>
      <rPr>
        <sz val="10"/>
        <rFont val="Carlito"/>
        <family val="2"/>
      </rPr>
      <t xml:space="preserve">, </t>
    </r>
    <r>
      <rPr>
        <sz val="10"/>
        <rFont val="Carlito"/>
      </rPr>
      <t>업신여김</t>
    </r>
  </si>
  <si>
    <r>
      <rPr>
        <sz val="10"/>
        <rFont val="Carlito"/>
      </rPr>
      <t>질병을</t>
    </r>
    <r>
      <rPr>
        <sz val="10"/>
        <rFont val="Carlito"/>
        <family val="2"/>
      </rPr>
      <t xml:space="preserve"> </t>
    </r>
    <r>
      <rPr>
        <sz val="10"/>
        <rFont val="Carlito"/>
      </rPr>
      <t>유발하는</t>
    </r>
  </si>
  <si>
    <r>
      <rPr>
        <sz val="10"/>
        <rFont val="Carlito"/>
      </rPr>
      <t>방향</t>
    </r>
    <r>
      <rPr>
        <sz val="10"/>
        <rFont val="Carlito"/>
        <family val="2"/>
      </rPr>
      <t xml:space="preserve"> </t>
    </r>
    <r>
      <rPr>
        <sz val="10"/>
        <rFont val="Carlito"/>
      </rPr>
      <t>감각을</t>
    </r>
    <r>
      <rPr>
        <sz val="10"/>
        <rFont val="Carlito"/>
        <family val="2"/>
      </rPr>
      <t xml:space="preserve"> </t>
    </r>
    <r>
      <rPr>
        <sz val="10"/>
        <rFont val="Carlito"/>
      </rPr>
      <t>잃은</t>
    </r>
  </si>
  <si>
    <r>
      <rPr>
        <sz val="10"/>
        <rFont val="Carlito"/>
      </rPr>
      <t>방해가</t>
    </r>
    <r>
      <rPr>
        <sz val="10"/>
        <rFont val="Carlito"/>
        <family val="2"/>
      </rPr>
      <t xml:space="preserve"> </t>
    </r>
    <r>
      <rPr>
        <sz val="10"/>
        <rFont val="Carlito"/>
      </rPr>
      <t>되는</t>
    </r>
    <r>
      <rPr>
        <sz val="10"/>
        <rFont val="Carlito"/>
        <family val="2"/>
      </rPr>
      <t xml:space="preserve">, </t>
    </r>
    <r>
      <rPr>
        <sz val="10"/>
        <rFont val="Carlito"/>
      </rPr>
      <t>문제</t>
    </r>
    <r>
      <rPr>
        <sz val="10"/>
        <rFont val="Carlito"/>
        <family val="2"/>
      </rPr>
      <t xml:space="preserve"> </t>
    </r>
    <r>
      <rPr>
        <sz val="10"/>
        <rFont val="Carlito"/>
      </rPr>
      <t>행동의</t>
    </r>
  </si>
  <si>
    <r>
      <rPr>
        <sz val="10"/>
        <rFont val="Carlito"/>
      </rPr>
      <t>뚜렷이</t>
    </r>
    <r>
      <rPr>
        <sz val="10"/>
        <rFont val="Carlito"/>
        <family val="2"/>
      </rPr>
      <t xml:space="preserve"> </t>
    </r>
    <r>
      <rPr>
        <sz val="10"/>
        <rFont val="Carlito"/>
      </rPr>
      <t>구별되는</t>
    </r>
  </si>
  <si>
    <r>
      <rPr>
        <sz val="10"/>
        <rFont val="Carlito"/>
      </rPr>
      <t>부의</t>
    </r>
    <r>
      <rPr>
        <sz val="10"/>
        <rFont val="Carlito"/>
        <family val="2"/>
      </rPr>
      <t xml:space="preserve"> </t>
    </r>
    <r>
      <rPr>
        <sz val="10"/>
        <rFont val="Carlito"/>
      </rPr>
      <t>분배</t>
    </r>
  </si>
  <si>
    <r>
      <rPr>
        <sz val="10"/>
        <rFont val="Carlito"/>
      </rPr>
      <t>자기</t>
    </r>
    <r>
      <rPr>
        <sz val="10"/>
        <rFont val="Carlito"/>
        <family val="2"/>
      </rPr>
      <t xml:space="preserve"> </t>
    </r>
    <r>
      <rPr>
        <sz val="10"/>
        <rFont val="Carlito"/>
      </rPr>
      <t>몫을</t>
    </r>
    <r>
      <rPr>
        <sz val="10"/>
        <rFont val="Carlito"/>
        <family val="2"/>
      </rPr>
      <t xml:space="preserve"> </t>
    </r>
    <r>
      <rPr>
        <sz val="10"/>
        <rFont val="Carlito"/>
      </rPr>
      <t>하다</t>
    </r>
  </si>
  <si>
    <r>
      <t xml:space="preserve">DIY </t>
    </r>
    <r>
      <rPr>
        <sz val="10"/>
        <rFont val="Carlito"/>
      </rPr>
      <t>애호가</t>
    </r>
  </si>
  <si>
    <r>
      <rPr>
        <sz val="10"/>
        <rFont val="Carlito"/>
      </rPr>
      <t>정박하다</t>
    </r>
    <r>
      <rPr>
        <sz val="10"/>
        <rFont val="Carlito"/>
        <family val="2"/>
      </rPr>
      <t xml:space="preserve">, </t>
    </r>
    <r>
      <rPr>
        <sz val="10"/>
        <rFont val="Carlito"/>
      </rPr>
      <t>부두에</t>
    </r>
    <r>
      <rPr>
        <sz val="10"/>
        <rFont val="Carlito"/>
        <family val="2"/>
      </rPr>
      <t xml:space="preserve"> </t>
    </r>
    <r>
      <rPr>
        <sz val="10"/>
        <rFont val="Carlito"/>
      </rPr>
      <t>대다</t>
    </r>
  </si>
  <si>
    <r>
      <rPr>
        <sz val="10"/>
        <rFont val="Carlito"/>
      </rPr>
      <t>서류</t>
    </r>
    <r>
      <rPr>
        <sz val="10"/>
        <rFont val="Carlito"/>
        <family val="2"/>
      </rPr>
      <t xml:space="preserve">, </t>
    </r>
    <r>
      <rPr>
        <sz val="10"/>
        <rFont val="Carlito"/>
      </rPr>
      <t>증빙</t>
    </r>
  </si>
  <si>
    <r>
      <rPr>
        <sz val="10"/>
        <rFont val="Carlito"/>
      </rPr>
      <t>가축화하다</t>
    </r>
  </si>
  <si>
    <r>
      <rPr>
        <sz val="10"/>
        <rFont val="Carlito"/>
      </rPr>
      <t>극작가</t>
    </r>
  </si>
  <si>
    <r>
      <rPr>
        <sz val="10"/>
        <rFont val="Carlito"/>
      </rPr>
      <t>급격하게</t>
    </r>
    <r>
      <rPr>
        <sz val="10"/>
        <rFont val="Carlito"/>
        <family val="2"/>
      </rPr>
      <t xml:space="preserve">, </t>
    </r>
    <r>
      <rPr>
        <sz val="10"/>
        <rFont val="Carlito"/>
      </rPr>
      <t>과감하게</t>
    </r>
  </si>
  <si>
    <r>
      <rPr>
        <sz val="10"/>
        <rFont val="Carlito"/>
      </rPr>
      <t>시추</t>
    </r>
    <r>
      <rPr>
        <sz val="10"/>
        <rFont val="Carlito"/>
        <family val="2"/>
      </rPr>
      <t xml:space="preserve"> </t>
    </r>
    <r>
      <rPr>
        <sz val="10"/>
        <rFont val="Carlito"/>
      </rPr>
      <t>작업</t>
    </r>
  </si>
  <si>
    <r>
      <rPr>
        <sz val="10"/>
        <rFont val="Carlito"/>
      </rPr>
      <t>내구성</t>
    </r>
  </si>
  <si>
    <r>
      <rPr>
        <sz val="10"/>
        <rFont val="Carlito"/>
      </rPr>
      <t>등장하다</t>
    </r>
    <r>
      <rPr>
        <sz val="10"/>
        <rFont val="Carlito"/>
        <family val="2"/>
      </rPr>
      <t xml:space="preserve">, </t>
    </r>
    <r>
      <rPr>
        <sz val="10"/>
        <rFont val="Carlito"/>
      </rPr>
      <t>나타나다</t>
    </r>
  </si>
  <si>
    <r>
      <rPr>
        <sz val="10"/>
        <rFont val="Carlito"/>
      </rPr>
      <t>지지</t>
    </r>
    <r>
      <rPr>
        <sz val="10"/>
        <rFont val="Carlito"/>
        <family val="2"/>
      </rPr>
      <t xml:space="preserve">, </t>
    </r>
    <r>
      <rPr>
        <sz val="10"/>
        <rFont val="Carlito"/>
      </rPr>
      <t>보증</t>
    </r>
  </si>
  <si>
    <r>
      <rPr>
        <sz val="10"/>
        <rFont val="Carlito"/>
      </rPr>
      <t>에너지</t>
    </r>
    <r>
      <rPr>
        <sz val="10"/>
        <rFont val="Carlito"/>
        <family val="2"/>
      </rPr>
      <t xml:space="preserve"> </t>
    </r>
    <r>
      <rPr>
        <sz val="10"/>
        <rFont val="Carlito"/>
      </rPr>
      <t>소비</t>
    </r>
  </si>
  <si>
    <r>
      <rPr>
        <sz val="10"/>
        <rFont val="Carlito"/>
      </rPr>
      <t>에너지</t>
    </r>
    <r>
      <rPr>
        <sz val="10"/>
        <rFont val="Carlito"/>
        <family val="2"/>
      </rPr>
      <t xml:space="preserve"> </t>
    </r>
    <r>
      <rPr>
        <sz val="10"/>
        <rFont val="Carlito"/>
      </rPr>
      <t>효율이</t>
    </r>
    <r>
      <rPr>
        <sz val="10"/>
        <rFont val="Carlito"/>
        <family val="2"/>
      </rPr>
      <t xml:space="preserve"> </t>
    </r>
    <r>
      <rPr>
        <sz val="10"/>
        <rFont val="Carlito"/>
      </rPr>
      <t>높은</t>
    </r>
  </si>
  <si>
    <r>
      <rPr>
        <sz val="10"/>
        <rFont val="Carlito"/>
      </rPr>
      <t>뒤이은</t>
    </r>
  </si>
  <si>
    <r>
      <rPr>
        <sz val="10"/>
        <rFont val="Carlito"/>
      </rPr>
      <t>진취적인</t>
    </r>
  </si>
  <si>
    <r>
      <rPr>
        <sz val="10"/>
        <rFont val="Carlito"/>
      </rPr>
      <t>몹시</t>
    </r>
    <r>
      <rPr>
        <sz val="10"/>
        <rFont val="Carlito"/>
        <family val="2"/>
      </rPr>
      <t xml:space="preserve"> </t>
    </r>
    <r>
      <rPr>
        <sz val="10"/>
        <rFont val="Carlito"/>
      </rPr>
      <t>짜증난</t>
    </r>
  </si>
  <si>
    <r>
      <rPr>
        <sz val="10"/>
        <rFont val="Carlito"/>
      </rPr>
      <t>망명</t>
    </r>
    <r>
      <rPr>
        <sz val="10"/>
        <rFont val="Carlito"/>
        <family val="2"/>
      </rPr>
      <t xml:space="preserve">, </t>
    </r>
    <r>
      <rPr>
        <sz val="10"/>
        <rFont val="Carlito"/>
      </rPr>
      <t>추방</t>
    </r>
  </si>
  <si>
    <r>
      <rPr>
        <sz val="10"/>
        <rFont val="Carlito"/>
      </rPr>
      <t>지출</t>
    </r>
    <r>
      <rPr>
        <sz val="10"/>
        <rFont val="Carlito"/>
        <family val="2"/>
      </rPr>
      <t xml:space="preserve">, </t>
    </r>
    <r>
      <rPr>
        <sz val="10"/>
        <rFont val="Carlito"/>
      </rPr>
      <t>비용</t>
    </r>
  </si>
  <si>
    <r>
      <rPr>
        <sz val="10"/>
        <rFont val="Carlito"/>
      </rPr>
      <t>비용</t>
    </r>
    <r>
      <rPr>
        <sz val="10"/>
        <rFont val="Carlito"/>
        <family val="2"/>
      </rPr>
      <t xml:space="preserve"> </t>
    </r>
    <r>
      <rPr>
        <sz val="10"/>
        <rFont val="Carlito"/>
      </rPr>
      <t>승인</t>
    </r>
  </si>
  <si>
    <r>
      <rPr>
        <sz val="10"/>
        <rFont val="Carlito"/>
      </rPr>
      <t>드러내다</t>
    </r>
    <r>
      <rPr>
        <sz val="10"/>
        <rFont val="Carlito"/>
        <family val="2"/>
      </rPr>
      <t xml:space="preserve">, </t>
    </r>
    <r>
      <rPr>
        <sz val="10"/>
        <rFont val="Carlito"/>
      </rPr>
      <t>폭로하다</t>
    </r>
  </si>
  <si>
    <r>
      <t>~</t>
    </r>
    <r>
      <rPr>
        <sz val="10"/>
        <rFont val="Carlito"/>
      </rPr>
      <t>에</t>
    </r>
    <r>
      <rPr>
        <sz val="10"/>
        <rFont val="Carlito"/>
        <family val="2"/>
      </rPr>
      <t xml:space="preserve"> </t>
    </r>
    <r>
      <rPr>
        <sz val="10"/>
        <rFont val="Carlito"/>
      </rPr>
      <t>의지하다</t>
    </r>
  </si>
  <si>
    <r>
      <rPr>
        <sz val="10"/>
        <rFont val="Carlito"/>
      </rPr>
      <t>납부가</t>
    </r>
    <r>
      <rPr>
        <sz val="10"/>
        <rFont val="Carlito"/>
        <family val="2"/>
      </rPr>
      <t xml:space="preserve"> </t>
    </r>
    <r>
      <rPr>
        <sz val="10"/>
        <rFont val="Carlito"/>
      </rPr>
      <t>밀리다</t>
    </r>
  </si>
  <si>
    <r>
      <rPr>
        <sz val="10"/>
        <rFont val="Carlito"/>
      </rPr>
      <t>기대에</t>
    </r>
    <r>
      <rPr>
        <sz val="10"/>
        <rFont val="Carlito"/>
        <family val="2"/>
      </rPr>
      <t xml:space="preserve"> </t>
    </r>
    <r>
      <rPr>
        <sz val="10"/>
        <rFont val="Carlito"/>
      </rPr>
      <t>못</t>
    </r>
    <r>
      <rPr>
        <sz val="10"/>
        <rFont val="Carlito"/>
        <family val="2"/>
      </rPr>
      <t xml:space="preserve"> </t>
    </r>
    <r>
      <rPr>
        <sz val="10"/>
        <rFont val="Carlito"/>
      </rPr>
      <t>미치다</t>
    </r>
  </si>
  <si>
    <r>
      <rPr>
        <sz val="10"/>
        <rFont val="Carlito"/>
      </rPr>
      <t>믿기</t>
    </r>
    <r>
      <rPr>
        <sz val="10"/>
        <rFont val="Carlito"/>
        <family val="2"/>
      </rPr>
      <t xml:space="preserve"> </t>
    </r>
    <r>
      <rPr>
        <sz val="10"/>
        <rFont val="Carlito"/>
      </rPr>
      <t>어려운</t>
    </r>
    <r>
      <rPr>
        <sz val="10"/>
        <rFont val="Carlito"/>
        <family val="2"/>
      </rPr>
      <t xml:space="preserve">, </t>
    </r>
    <r>
      <rPr>
        <sz val="10"/>
        <rFont val="Carlito"/>
      </rPr>
      <t>억지스러운</t>
    </r>
  </si>
  <si>
    <r>
      <t>~</t>
    </r>
    <r>
      <rPr>
        <sz val="10"/>
        <rFont val="Carlito"/>
      </rPr>
      <t>에</t>
    </r>
    <r>
      <rPr>
        <sz val="10"/>
        <rFont val="Carlito"/>
        <family val="2"/>
      </rPr>
      <t xml:space="preserve"> </t>
    </r>
    <r>
      <rPr>
        <sz val="10"/>
        <rFont val="Carlito"/>
      </rPr>
      <t>유리한</t>
    </r>
    <r>
      <rPr>
        <sz val="10"/>
        <rFont val="Carlito"/>
        <family val="2"/>
      </rPr>
      <t xml:space="preserve">, </t>
    </r>
    <r>
      <rPr>
        <sz val="10"/>
        <rFont val="Carlito"/>
      </rPr>
      <t>적합한</t>
    </r>
  </si>
  <si>
    <r>
      <rPr>
        <sz val="10"/>
        <rFont val="Carlito"/>
      </rPr>
      <t>요금</t>
    </r>
    <r>
      <rPr>
        <sz val="10"/>
        <rFont val="Carlito"/>
        <family val="2"/>
      </rPr>
      <t xml:space="preserve"> </t>
    </r>
    <r>
      <rPr>
        <sz val="10"/>
        <rFont val="Carlito"/>
      </rPr>
      <t>인상</t>
    </r>
  </si>
  <si>
    <r>
      <rPr>
        <sz val="10"/>
        <rFont val="Carlito"/>
      </rPr>
      <t>차량</t>
    </r>
    <r>
      <rPr>
        <sz val="10"/>
        <rFont val="Carlito"/>
        <family val="2"/>
      </rPr>
      <t xml:space="preserve"> </t>
    </r>
    <r>
      <rPr>
        <sz val="10"/>
        <rFont val="Carlito"/>
      </rPr>
      <t>펜더</t>
    </r>
    <r>
      <rPr>
        <sz val="10"/>
        <rFont val="Carlito"/>
        <family val="2"/>
      </rPr>
      <t xml:space="preserve">, </t>
    </r>
    <r>
      <rPr>
        <sz val="10"/>
        <rFont val="Carlito"/>
      </rPr>
      <t>흙받기</t>
    </r>
  </si>
  <si>
    <r>
      <rPr>
        <sz val="10"/>
        <rFont val="Carlito"/>
      </rPr>
      <t>상당한</t>
    </r>
    <r>
      <rPr>
        <sz val="10"/>
        <rFont val="Carlito"/>
        <family val="2"/>
      </rPr>
      <t xml:space="preserve"> </t>
    </r>
    <r>
      <rPr>
        <sz val="10"/>
        <rFont val="Carlito"/>
      </rPr>
      <t>금액에</t>
    </r>
    <r>
      <rPr>
        <sz val="10"/>
        <rFont val="Carlito"/>
        <family val="2"/>
      </rPr>
      <t xml:space="preserve"> </t>
    </r>
    <r>
      <rPr>
        <sz val="10"/>
        <rFont val="Carlito"/>
      </rPr>
      <t>팔리다</t>
    </r>
  </si>
  <si>
    <r>
      <rPr>
        <sz val="10"/>
        <rFont val="Carlito"/>
      </rPr>
      <t>불만을</t>
    </r>
    <r>
      <rPr>
        <sz val="10"/>
        <rFont val="Carlito"/>
        <family val="2"/>
      </rPr>
      <t xml:space="preserve"> </t>
    </r>
    <r>
      <rPr>
        <sz val="10"/>
        <rFont val="Carlito"/>
      </rPr>
      <t>제기하다</t>
    </r>
  </si>
  <si>
    <r>
      <rPr>
        <sz val="10"/>
        <rFont val="Carlito"/>
      </rPr>
      <t>부족한</t>
    </r>
    <r>
      <rPr>
        <sz val="10"/>
        <rFont val="Carlito"/>
        <family val="2"/>
      </rPr>
      <t xml:space="preserve"> </t>
    </r>
    <r>
      <rPr>
        <sz val="10"/>
        <rFont val="Carlito"/>
      </rPr>
      <t>부분을</t>
    </r>
    <r>
      <rPr>
        <sz val="10"/>
        <rFont val="Carlito"/>
        <family val="2"/>
      </rPr>
      <t xml:space="preserve"> </t>
    </r>
    <r>
      <rPr>
        <sz val="10"/>
        <rFont val="Carlito"/>
      </rPr>
      <t>메우다</t>
    </r>
  </si>
  <si>
    <r>
      <rPr>
        <sz val="10"/>
        <rFont val="Carlito"/>
      </rPr>
      <t>걸러내다</t>
    </r>
    <r>
      <rPr>
        <sz val="10"/>
        <rFont val="Carlito"/>
        <family val="2"/>
      </rPr>
      <t xml:space="preserve">, </t>
    </r>
    <r>
      <rPr>
        <sz val="10"/>
        <rFont val="Carlito"/>
      </rPr>
      <t>제거하다</t>
    </r>
  </si>
  <si>
    <r>
      <rPr>
        <sz val="10"/>
        <rFont val="Carlito"/>
      </rPr>
      <t>재정적으로</t>
    </r>
    <r>
      <rPr>
        <sz val="10"/>
        <rFont val="Carlito"/>
        <family val="2"/>
      </rPr>
      <t xml:space="preserve"> </t>
    </r>
    <r>
      <rPr>
        <sz val="10"/>
        <rFont val="Carlito"/>
      </rPr>
      <t>가능한</t>
    </r>
  </si>
  <si>
    <r>
      <rPr>
        <sz val="10"/>
        <rFont val="Carlito"/>
      </rPr>
      <t>고정</t>
    </r>
    <r>
      <rPr>
        <sz val="10"/>
        <rFont val="Carlito"/>
        <family val="2"/>
      </rPr>
      <t xml:space="preserve"> </t>
    </r>
    <r>
      <rPr>
        <sz val="10"/>
        <rFont val="Carlito"/>
      </rPr>
      <t>수입</t>
    </r>
  </si>
  <si>
    <r>
      <rPr>
        <sz val="10"/>
        <rFont val="Carlito"/>
      </rPr>
      <t>식품</t>
    </r>
    <r>
      <rPr>
        <sz val="10"/>
        <rFont val="Carlito"/>
        <family val="2"/>
      </rPr>
      <t xml:space="preserve"> </t>
    </r>
    <r>
      <rPr>
        <sz val="10"/>
        <rFont val="Carlito"/>
      </rPr>
      <t>보존제</t>
    </r>
  </si>
  <si>
    <r>
      <rPr>
        <sz val="10"/>
        <rFont val="Carlito"/>
      </rPr>
      <t>훨씬</t>
    </r>
    <r>
      <rPr>
        <sz val="10"/>
        <rFont val="Carlito"/>
        <family val="2"/>
      </rPr>
      <t xml:space="preserve"> </t>
    </r>
    <r>
      <rPr>
        <sz val="10"/>
        <rFont val="Carlito"/>
      </rPr>
      <t>싼</t>
    </r>
    <r>
      <rPr>
        <sz val="10"/>
        <rFont val="Carlito"/>
        <family val="2"/>
      </rPr>
      <t xml:space="preserve"> </t>
    </r>
    <r>
      <rPr>
        <sz val="10"/>
        <rFont val="Carlito"/>
      </rPr>
      <t>가격에</t>
    </r>
  </si>
  <si>
    <r>
      <rPr>
        <sz val="10"/>
        <rFont val="Carlito"/>
      </rPr>
      <t>티켓</t>
    </r>
    <r>
      <rPr>
        <sz val="10"/>
        <rFont val="Carlito"/>
        <family val="2"/>
      </rPr>
      <t xml:space="preserve"> </t>
    </r>
    <r>
      <rPr>
        <sz val="10"/>
        <rFont val="Carlito"/>
      </rPr>
      <t>판매를</t>
    </r>
    <r>
      <rPr>
        <sz val="10"/>
        <rFont val="Carlito"/>
        <family val="2"/>
      </rPr>
      <t xml:space="preserve"> </t>
    </r>
    <r>
      <rPr>
        <sz val="10"/>
        <rFont val="Carlito"/>
      </rPr>
      <t>포기하다</t>
    </r>
  </si>
  <si>
    <r>
      <rPr>
        <sz val="10"/>
        <rFont val="Carlito"/>
      </rPr>
      <t>강화된</t>
    </r>
    <r>
      <rPr>
        <sz val="10"/>
        <rFont val="Carlito"/>
        <family val="2"/>
      </rPr>
      <t xml:space="preserve">, </t>
    </r>
    <r>
      <rPr>
        <sz val="10"/>
        <rFont val="Carlito"/>
      </rPr>
      <t>영양분을</t>
    </r>
    <r>
      <rPr>
        <sz val="10"/>
        <rFont val="Carlito"/>
        <family val="2"/>
      </rPr>
      <t xml:space="preserve"> </t>
    </r>
    <r>
      <rPr>
        <sz val="10"/>
        <rFont val="Carlito"/>
      </rPr>
      <t>첨가한</t>
    </r>
  </si>
  <si>
    <r>
      <rPr>
        <sz val="10"/>
        <rFont val="Carlito"/>
      </rPr>
      <t>조성하다</t>
    </r>
    <r>
      <rPr>
        <sz val="10"/>
        <rFont val="Carlito"/>
        <family val="2"/>
      </rPr>
      <t xml:space="preserve">, </t>
    </r>
    <r>
      <rPr>
        <sz val="10"/>
        <rFont val="Carlito"/>
      </rPr>
      <t>촉진하다</t>
    </r>
  </si>
  <si>
    <r>
      <rPr>
        <sz val="10"/>
        <rFont val="Carlito"/>
      </rPr>
      <t>논쟁을</t>
    </r>
    <r>
      <rPr>
        <sz val="10"/>
        <rFont val="Carlito"/>
        <family val="2"/>
      </rPr>
      <t xml:space="preserve"> </t>
    </r>
    <r>
      <rPr>
        <sz val="10"/>
        <rFont val="Carlito"/>
      </rPr>
      <t>촉진하다</t>
    </r>
  </si>
  <si>
    <r>
      <rPr>
        <sz val="10"/>
        <rFont val="Carlito"/>
      </rPr>
      <t>시리즈물</t>
    </r>
    <r>
      <rPr>
        <sz val="10"/>
        <rFont val="Carlito"/>
        <family val="2"/>
      </rPr>
      <t xml:space="preserve">, </t>
    </r>
    <r>
      <rPr>
        <sz val="10"/>
        <rFont val="Carlito"/>
      </rPr>
      <t>프랜차이즈</t>
    </r>
  </si>
  <si>
    <r>
      <t>~</t>
    </r>
    <r>
      <rPr>
        <sz val="10"/>
        <rFont val="Carlito"/>
      </rPr>
      <t>에</t>
    </r>
    <r>
      <rPr>
        <sz val="10"/>
        <rFont val="Carlito"/>
        <family val="2"/>
      </rPr>
      <t xml:space="preserve"> </t>
    </r>
    <r>
      <rPr>
        <sz val="10"/>
        <rFont val="Carlito"/>
      </rPr>
      <t>대한</t>
    </r>
    <r>
      <rPr>
        <sz val="10"/>
        <rFont val="Carlito"/>
        <family val="2"/>
      </rPr>
      <t xml:space="preserve"> </t>
    </r>
    <r>
      <rPr>
        <sz val="10"/>
        <rFont val="Carlito"/>
      </rPr>
      <t>통찰을</t>
    </r>
    <r>
      <rPr>
        <sz val="10"/>
        <rFont val="Carlito"/>
        <family val="2"/>
      </rPr>
      <t xml:space="preserve"> </t>
    </r>
    <r>
      <rPr>
        <sz val="10"/>
        <rFont val="Carlito"/>
      </rPr>
      <t>얻다</t>
    </r>
  </si>
  <si>
    <r>
      <rPr>
        <sz val="10"/>
        <rFont val="Carlito"/>
      </rPr>
      <t>측정하다</t>
    </r>
    <r>
      <rPr>
        <sz val="10"/>
        <rFont val="Carlito"/>
        <family val="2"/>
      </rPr>
      <t xml:space="preserve">, </t>
    </r>
    <r>
      <rPr>
        <sz val="10"/>
        <rFont val="Carlito"/>
      </rPr>
      <t>판단하다</t>
    </r>
  </si>
  <si>
    <r>
      <rPr>
        <sz val="10"/>
        <rFont val="Carlito"/>
      </rPr>
      <t>유전적</t>
    </r>
    <r>
      <rPr>
        <sz val="10"/>
        <rFont val="Carlito"/>
        <family val="2"/>
      </rPr>
      <t xml:space="preserve"> </t>
    </r>
    <r>
      <rPr>
        <sz val="10"/>
        <rFont val="Carlito"/>
      </rPr>
      <t>요소</t>
    </r>
  </si>
  <si>
    <r>
      <rPr>
        <sz val="10"/>
        <rFont val="Carlito"/>
      </rPr>
      <t>지질</t>
    </r>
    <r>
      <rPr>
        <sz val="10"/>
        <rFont val="Carlito"/>
        <family val="2"/>
      </rPr>
      <t xml:space="preserve"> </t>
    </r>
    <r>
      <rPr>
        <sz val="10"/>
        <rFont val="Carlito"/>
      </rPr>
      <t>활동이</t>
    </r>
    <r>
      <rPr>
        <sz val="10"/>
        <rFont val="Carlito"/>
        <family val="2"/>
      </rPr>
      <t xml:space="preserve"> </t>
    </r>
    <r>
      <rPr>
        <sz val="10"/>
        <rFont val="Carlito"/>
      </rPr>
      <t>없는</t>
    </r>
  </si>
  <si>
    <r>
      <rPr>
        <sz val="10"/>
        <rFont val="Carlito"/>
      </rPr>
      <t>일이</t>
    </r>
    <r>
      <rPr>
        <sz val="10"/>
        <rFont val="Carlito"/>
        <family val="2"/>
      </rPr>
      <t xml:space="preserve"> </t>
    </r>
    <r>
      <rPr>
        <sz val="10"/>
        <rFont val="Carlito"/>
      </rPr>
      <t>시작되어</t>
    </r>
    <r>
      <rPr>
        <sz val="10"/>
        <rFont val="Carlito"/>
        <family val="2"/>
      </rPr>
      <t xml:space="preserve"> </t>
    </r>
    <r>
      <rPr>
        <sz val="10"/>
        <rFont val="Carlito"/>
      </rPr>
      <t>궤도에</t>
    </r>
    <r>
      <rPr>
        <sz val="10"/>
        <rFont val="Carlito"/>
        <family val="2"/>
      </rPr>
      <t xml:space="preserve"> </t>
    </r>
    <r>
      <rPr>
        <sz val="10"/>
        <rFont val="Carlito"/>
      </rPr>
      <t>오르다</t>
    </r>
  </si>
  <si>
    <r>
      <t>~</t>
    </r>
    <r>
      <rPr>
        <sz val="10"/>
        <rFont val="Carlito"/>
      </rPr>
      <t>으로</t>
    </r>
    <r>
      <rPr>
        <sz val="10"/>
        <rFont val="Carlito"/>
        <family val="2"/>
      </rPr>
      <t xml:space="preserve"> </t>
    </r>
    <r>
      <rPr>
        <sz val="10"/>
        <rFont val="Carlito"/>
      </rPr>
      <t>바뀌다</t>
    </r>
    <r>
      <rPr>
        <sz val="10"/>
        <rFont val="Carlito"/>
        <family val="2"/>
      </rPr>
      <t xml:space="preserve">, </t>
    </r>
    <r>
      <rPr>
        <sz val="10"/>
        <rFont val="Carlito"/>
      </rPr>
      <t>대체되다</t>
    </r>
  </si>
  <si>
    <r>
      <rPr>
        <sz val="10"/>
        <rFont val="Carlito"/>
      </rPr>
      <t>예정대로</t>
    </r>
    <r>
      <rPr>
        <sz val="10"/>
        <rFont val="Carlito"/>
        <family val="2"/>
      </rPr>
      <t xml:space="preserve"> </t>
    </r>
    <r>
      <rPr>
        <sz val="10"/>
        <rFont val="Carlito"/>
      </rPr>
      <t>진행되다</t>
    </r>
  </si>
  <si>
    <r>
      <rPr>
        <sz val="10"/>
        <rFont val="Carlito"/>
      </rPr>
      <t>일부러</t>
    </r>
    <r>
      <rPr>
        <sz val="10"/>
        <rFont val="Carlito"/>
        <family val="2"/>
      </rPr>
      <t xml:space="preserve"> </t>
    </r>
    <r>
      <rPr>
        <sz val="10"/>
        <rFont val="Carlito"/>
      </rPr>
      <t>애쓰다</t>
    </r>
  </si>
  <si>
    <r>
      <rPr>
        <sz val="10"/>
        <rFont val="Carlito"/>
      </rPr>
      <t>고급</t>
    </r>
    <r>
      <rPr>
        <sz val="10"/>
        <rFont val="Carlito"/>
        <family val="2"/>
      </rPr>
      <t xml:space="preserve"> </t>
    </r>
    <r>
      <rPr>
        <sz val="10"/>
        <rFont val="Carlito"/>
      </rPr>
      <t>요리의</t>
    </r>
    <r>
      <rPr>
        <sz val="10"/>
        <rFont val="Carlito"/>
        <family val="2"/>
      </rPr>
      <t xml:space="preserve">; </t>
    </r>
    <r>
      <rPr>
        <sz val="10"/>
        <rFont val="Carlito"/>
      </rPr>
      <t>미식가</t>
    </r>
  </si>
  <si>
    <r>
      <rPr>
        <sz val="10"/>
        <rFont val="Carlito"/>
      </rPr>
      <t>승인하다</t>
    </r>
    <r>
      <rPr>
        <sz val="10"/>
        <rFont val="Carlito"/>
        <family val="2"/>
      </rPr>
      <t xml:space="preserve">, </t>
    </r>
    <r>
      <rPr>
        <sz val="10"/>
        <rFont val="Carlito"/>
      </rPr>
      <t>부여하다</t>
    </r>
  </si>
  <si>
    <r>
      <rPr>
        <sz val="10"/>
        <rFont val="Carlito"/>
      </rPr>
      <t>노골적인</t>
    </r>
    <r>
      <rPr>
        <sz val="10"/>
        <rFont val="Carlito"/>
        <family val="2"/>
      </rPr>
      <t xml:space="preserve"> </t>
    </r>
    <r>
      <rPr>
        <sz val="10"/>
        <rFont val="Carlito"/>
      </rPr>
      <t>묘사</t>
    </r>
  </si>
  <si>
    <r>
      <rPr>
        <sz val="10"/>
        <rFont val="Carlito"/>
      </rPr>
      <t>힘겹게</t>
    </r>
    <r>
      <rPr>
        <sz val="10"/>
        <rFont val="Carlito"/>
        <family val="2"/>
      </rPr>
      <t xml:space="preserve"> </t>
    </r>
    <r>
      <rPr>
        <sz val="10"/>
        <rFont val="Carlito"/>
      </rPr>
      <t>다루다</t>
    </r>
  </si>
  <si>
    <r>
      <rPr>
        <sz val="10"/>
        <rFont val="Carlito"/>
      </rPr>
      <t>수입품</t>
    </r>
    <r>
      <rPr>
        <sz val="10"/>
        <rFont val="Carlito"/>
        <family val="2"/>
      </rPr>
      <t xml:space="preserve"> </t>
    </r>
    <r>
      <rPr>
        <sz val="10"/>
        <rFont val="Carlito"/>
      </rPr>
      <t>문제를</t>
    </r>
    <r>
      <rPr>
        <sz val="10"/>
        <rFont val="Carlito"/>
        <family val="2"/>
      </rPr>
      <t xml:space="preserve"> </t>
    </r>
    <r>
      <rPr>
        <sz val="10"/>
        <rFont val="Carlito"/>
      </rPr>
      <t>다루다</t>
    </r>
  </si>
  <si>
    <r>
      <rPr>
        <sz val="10"/>
        <rFont val="Carlito"/>
      </rPr>
      <t>초원</t>
    </r>
  </si>
  <si>
    <r>
      <rPr>
        <sz val="10"/>
        <rFont val="Carlito"/>
      </rPr>
      <t>중력</t>
    </r>
  </si>
  <si>
    <r>
      <rPr>
        <sz val="10"/>
        <rFont val="Carlito"/>
      </rPr>
      <t>성장</t>
    </r>
    <r>
      <rPr>
        <sz val="10"/>
        <rFont val="Carlito"/>
        <family val="2"/>
      </rPr>
      <t xml:space="preserve"> </t>
    </r>
    <r>
      <rPr>
        <sz val="10"/>
        <rFont val="Carlito"/>
      </rPr>
      <t>잠재력</t>
    </r>
  </si>
  <si>
    <r>
      <rPr>
        <sz val="10"/>
        <rFont val="Carlito"/>
      </rPr>
      <t>장내</t>
    </r>
    <r>
      <rPr>
        <sz val="10"/>
        <rFont val="Carlito"/>
        <family val="2"/>
      </rPr>
      <t xml:space="preserve"> </t>
    </r>
    <r>
      <rPr>
        <sz val="10"/>
        <rFont val="Carlito"/>
      </rPr>
      <t>세균</t>
    </r>
  </si>
  <si>
    <r>
      <rPr>
        <sz val="10"/>
        <rFont val="Carlito"/>
      </rPr>
      <t>서식지</t>
    </r>
  </si>
  <si>
    <r>
      <rPr>
        <sz val="10"/>
        <rFont val="Carlito"/>
      </rPr>
      <t>후광</t>
    </r>
    <r>
      <rPr>
        <sz val="10"/>
        <rFont val="Carlito"/>
        <family val="2"/>
      </rPr>
      <t xml:space="preserve">, </t>
    </r>
    <r>
      <rPr>
        <sz val="10"/>
        <rFont val="Carlito"/>
      </rPr>
      <t>빛무리</t>
    </r>
  </si>
  <si>
    <r>
      <rPr>
        <sz val="10"/>
        <rFont val="Carlito"/>
      </rPr>
      <t>강인한</t>
    </r>
    <r>
      <rPr>
        <sz val="10"/>
        <rFont val="Carlito"/>
        <family val="2"/>
      </rPr>
      <t xml:space="preserve">, </t>
    </r>
    <r>
      <rPr>
        <sz val="10"/>
        <rFont val="Carlito"/>
      </rPr>
      <t>잘</t>
    </r>
    <r>
      <rPr>
        <sz val="10"/>
        <rFont val="Carlito"/>
        <family val="2"/>
      </rPr>
      <t xml:space="preserve"> </t>
    </r>
    <r>
      <rPr>
        <sz val="10"/>
        <rFont val="Carlito"/>
      </rPr>
      <t>견디는</t>
    </r>
  </si>
  <si>
    <r>
      <t>~</t>
    </r>
    <r>
      <rPr>
        <sz val="10"/>
        <rFont val="Carlito"/>
      </rPr>
      <t>와</t>
    </r>
    <r>
      <rPr>
        <sz val="10"/>
        <rFont val="Carlito"/>
        <family val="2"/>
      </rPr>
      <t xml:space="preserve"> </t>
    </r>
    <r>
      <rPr>
        <sz val="10"/>
        <rFont val="Carlito"/>
      </rPr>
      <t>조화를</t>
    </r>
    <r>
      <rPr>
        <sz val="10"/>
        <rFont val="Carlito"/>
        <family val="2"/>
      </rPr>
      <t xml:space="preserve"> </t>
    </r>
    <r>
      <rPr>
        <sz val="10"/>
        <rFont val="Carlito"/>
      </rPr>
      <t>이루는</t>
    </r>
  </si>
  <si>
    <r>
      <rPr>
        <sz val="10"/>
        <rFont val="Carlito"/>
      </rPr>
      <t>위험한</t>
    </r>
    <r>
      <rPr>
        <sz val="10"/>
        <rFont val="Carlito"/>
        <family val="2"/>
      </rPr>
      <t xml:space="preserve">, </t>
    </r>
    <r>
      <rPr>
        <sz val="10"/>
        <rFont val="Carlito"/>
      </rPr>
      <t>유해한</t>
    </r>
  </si>
  <si>
    <r>
      <rPr>
        <sz val="10"/>
        <rFont val="Carlito"/>
      </rPr>
      <t>경쟁</t>
    </r>
    <r>
      <rPr>
        <sz val="10"/>
        <rFont val="Carlito"/>
        <family val="2"/>
      </rPr>
      <t>·</t>
    </r>
    <r>
      <rPr>
        <sz val="10"/>
        <rFont val="Carlito"/>
      </rPr>
      <t>논쟁이</t>
    </r>
    <r>
      <rPr>
        <sz val="10"/>
        <rFont val="Carlito"/>
        <family val="2"/>
      </rPr>
      <t xml:space="preserve"> </t>
    </r>
    <r>
      <rPr>
        <sz val="10"/>
        <rFont val="Carlito"/>
      </rPr>
      <t>격해지다</t>
    </r>
  </si>
  <si>
    <r>
      <rPr>
        <sz val="10"/>
        <rFont val="Carlito"/>
      </rPr>
      <t>세간의</t>
    </r>
    <r>
      <rPr>
        <sz val="10"/>
        <rFont val="Carlito"/>
        <family val="2"/>
      </rPr>
      <t xml:space="preserve"> </t>
    </r>
    <r>
      <rPr>
        <sz val="10"/>
        <rFont val="Carlito"/>
      </rPr>
      <t>이목을</t>
    </r>
    <r>
      <rPr>
        <sz val="10"/>
        <rFont val="Carlito"/>
        <family val="2"/>
      </rPr>
      <t xml:space="preserve"> </t>
    </r>
    <r>
      <rPr>
        <sz val="10"/>
        <rFont val="Carlito"/>
      </rPr>
      <t>끄는</t>
    </r>
  </si>
  <si>
    <r>
      <rPr>
        <sz val="10"/>
        <rFont val="Carlito"/>
      </rPr>
      <t>최고</t>
    </r>
    <r>
      <rPr>
        <sz val="10"/>
        <rFont val="Carlito"/>
        <family val="2"/>
      </rPr>
      <t xml:space="preserve"> </t>
    </r>
    <r>
      <rPr>
        <sz val="10"/>
        <rFont val="Carlito"/>
      </rPr>
      <t>흥행</t>
    </r>
    <r>
      <rPr>
        <sz val="10"/>
        <rFont val="Carlito"/>
        <family val="2"/>
      </rPr>
      <t xml:space="preserve"> </t>
    </r>
    <r>
      <rPr>
        <sz val="10"/>
        <rFont val="Carlito"/>
      </rPr>
      <t>수익의</t>
    </r>
  </si>
  <si>
    <r>
      <rPr>
        <sz val="10"/>
        <rFont val="Carlito"/>
      </rPr>
      <t>끌어올리다</t>
    </r>
  </si>
  <si>
    <r>
      <rPr>
        <sz val="10"/>
        <rFont val="Carlito"/>
      </rPr>
      <t>노숙</t>
    </r>
    <r>
      <rPr>
        <sz val="10"/>
        <rFont val="Carlito"/>
        <family val="2"/>
      </rPr>
      <t xml:space="preserve"> </t>
    </r>
    <r>
      <rPr>
        <sz val="10"/>
        <rFont val="Carlito"/>
      </rPr>
      <t>문제</t>
    </r>
  </si>
  <si>
    <r>
      <rPr>
        <sz val="10"/>
        <rFont val="Carlito"/>
      </rPr>
      <t>현생</t>
    </r>
    <r>
      <rPr>
        <sz val="10"/>
        <rFont val="Carlito"/>
        <family val="2"/>
      </rPr>
      <t xml:space="preserve"> </t>
    </r>
    <r>
      <rPr>
        <sz val="10"/>
        <rFont val="Carlito"/>
      </rPr>
      <t>인류</t>
    </r>
  </si>
  <si>
    <r>
      <t>~</t>
    </r>
    <r>
      <rPr>
        <sz val="10"/>
        <rFont val="Carlito"/>
      </rPr>
      <t>에</t>
    </r>
    <r>
      <rPr>
        <sz val="10"/>
        <rFont val="Carlito"/>
        <family val="2"/>
      </rPr>
      <t xml:space="preserve"> </t>
    </r>
    <r>
      <rPr>
        <sz val="10"/>
        <rFont val="Carlito"/>
      </rPr>
      <t>적합한</t>
    </r>
    <r>
      <rPr>
        <sz val="10"/>
        <rFont val="Carlito"/>
        <family val="2"/>
      </rPr>
      <t xml:space="preserve">, </t>
    </r>
    <r>
      <rPr>
        <sz val="10"/>
        <rFont val="Carlito"/>
      </rPr>
      <t>살기</t>
    </r>
    <r>
      <rPr>
        <sz val="10"/>
        <rFont val="Carlito"/>
        <family val="2"/>
      </rPr>
      <t xml:space="preserve"> </t>
    </r>
    <r>
      <rPr>
        <sz val="10"/>
        <rFont val="Carlito"/>
      </rPr>
      <t>좋은</t>
    </r>
  </si>
  <si>
    <r>
      <rPr>
        <sz val="10"/>
        <rFont val="Carlito"/>
      </rPr>
      <t>인간</t>
    </r>
    <r>
      <rPr>
        <sz val="10"/>
        <rFont val="Carlito"/>
        <family val="2"/>
      </rPr>
      <t xml:space="preserve"> </t>
    </r>
    <r>
      <rPr>
        <sz val="10"/>
        <rFont val="Carlito"/>
      </rPr>
      <t>대상자</t>
    </r>
  </si>
  <si>
    <r>
      <rPr>
        <sz val="10"/>
        <rFont val="Carlito"/>
      </rPr>
      <t>겸손한</t>
    </r>
    <r>
      <rPr>
        <sz val="10"/>
        <rFont val="Carlito"/>
        <family val="2"/>
      </rPr>
      <t xml:space="preserve"> </t>
    </r>
    <r>
      <rPr>
        <sz val="10"/>
        <rFont val="Carlito"/>
      </rPr>
      <t>척하는</t>
    </r>
    <r>
      <rPr>
        <sz val="10"/>
        <rFont val="Carlito"/>
        <family val="2"/>
      </rPr>
      <t xml:space="preserve"> </t>
    </r>
    <r>
      <rPr>
        <sz val="10"/>
        <rFont val="Carlito"/>
      </rPr>
      <t>자랑</t>
    </r>
  </si>
  <si>
    <r>
      <rPr>
        <sz val="10"/>
        <rFont val="Carlito"/>
      </rPr>
      <t>거대한</t>
    </r>
  </si>
  <si>
    <r>
      <rPr>
        <sz val="10"/>
        <rFont val="Carlito"/>
      </rPr>
      <t>불멸의</t>
    </r>
    <r>
      <rPr>
        <sz val="10"/>
        <rFont val="Carlito"/>
        <family val="2"/>
      </rPr>
      <t xml:space="preserve"> </t>
    </r>
    <r>
      <rPr>
        <sz val="10"/>
        <rFont val="Carlito"/>
      </rPr>
      <t>영혼</t>
    </r>
  </si>
  <si>
    <r>
      <rPr>
        <sz val="10"/>
        <rFont val="Carlito"/>
      </rPr>
      <t>면역</t>
    </r>
  </si>
  <si>
    <r>
      <rPr>
        <sz val="10"/>
        <rFont val="Carlito"/>
      </rPr>
      <t>공정한</t>
    </r>
    <r>
      <rPr>
        <sz val="10"/>
        <rFont val="Carlito"/>
        <family val="2"/>
      </rPr>
      <t xml:space="preserve"> </t>
    </r>
    <r>
      <rPr>
        <sz val="10"/>
        <rFont val="Carlito"/>
      </rPr>
      <t>배심원단</t>
    </r>
  </si>
  <si>
    <r>
      <rPr>
        <sz val="10"/>
        <rFont val="Carlito"/>
      </rPr>
      <t>영향</t>
    </r>
    <r>
      <rPr>
        <sz val="10"/>
        <rFont val="Carlito"/>
        <family val="2"/>
      </rPr>
      <t xml:space="preserve">, </t>
    </r>
    <r>
      <rPr>
        <sz val="10"/>
        <rFont val="Carlito"/>
      </rPr>
      <t>함의</t>
    </r>
  </si>
  <si>
    <r>
      <rPr>
        <sz val="10"/>
        <rFont val="Carlito"/>
      </rPr>
      <t>접근할</t>
    </r>
    <r>
      <rPr>
        <sz val="10"/>
        <rFont val="Carlito"/>
        <family val="2"/>
      </rPr>
      <t xml:space="preserve"> </t>
    </r>
    <r>
      <rPr>
        <sz val="10"/>
        <rFont val="Carlito"/>
      </rPr>
      <t>수</t>
    </r>
    <r>
      <rPr>
        <sz val="10"/>
        <rFont val="Carlito"/>
        <family val="2"/>
      </rPr>
      <t xml:space="preserve"> </t>
    </r>
    <r>
      <rPr>
        <sz val="10"/>
        <rFont val="Carlito"/>
      </rPr>
      <t>없는</t>
    </r>
  </si>
  <si>
    <r>
      <rPr>
        <sz val="10"/>
        <rFont val="Carlito"/>
      </rPr>
      <t>첫</t>
    </r>
    <r>
      <rPr>
        <sz val="10"/>
        <rFont val="Carlito"/>
        <family val="2"/>
      </rPr>
      <t xml:space="preserve"> </t>
    </r>
    <r>
      <rPr>
        <sz val="10"/>
        <rFont val="Carlito"/>
      </rPr>
      <t>번째의</t>
    </r>
    <r>
      <rPr>
        <sz val="10"/>
        <rFont val="Carlito"/>
        <family val="2"/>
      </rPr>
      <t xml:space="preserve">, </t>
    </r>
    <r>
      <rPr>
        <sz val="10"/>
        <rFont val="Carlito"/>
      </rPr>
      <t>창립의</t>
    </r>
  </si>
  <si>
    <r>
      <rPr>
        <sz val="10"/>
        <rFont val="Carlito"/>
      </rPr>
      <t>동기</t>
    </r>
    <r>
      <rPr>
        <sz val="10"/>
        <rFont val="Carlito"/>
        <family val="2"/>
      </rPr>
      <t xml:space="preserve">, </t>
    </r>
    <r>
      <rPr>
        <sz val="10"/>
        <rFont val="Carlito"/>
      </rPr>
      <t>유인</t>
    </r>
  </si>
  <si>
    <r>
      <rPr>
        <sz val="10"/>
        <rFont val="Carlito"/>
      </rPr>
      <t>경사</t>
    </r>
  </si>
  <si>
    <r>
      <t>~</t>
    </r>
    <r>
      <rPr>
        <sz val="10"/>
        <rFont val="Carlito"/>
      </rPr>
      <t>하는</t>
    </r>
    <r>
      <rPr>
        <sz val="10"/>
        <rFont val="Carlito"/>
        <family val="2"/>
      </rPr>
      <t xml:space="preserve"> </t>
    </r>
    <r>
      <rPr>
        <sz val="10"/>
        <rFont val="Carlito"/>
      </rPr>
      <t>경향이</t>
    </r>
    <r>
      <rPr>
        <sz val="10"/>
        <rFont val="Carlito"/>
        <family val="2"/>
      </rPr>
      <t xml:space="preserve"> </t>
    </r>
    <r>
      <rPr>
        <sz val="10"/>
        <rFont val="Carlito"/>
      </rPr>
      <t>있는</t>
    </r>
  </si>
  <si>
    <r>
      <rPr>
        <sz val="10"/>
        <rFont val="Carlito"/>
      </rPr>
      <t>포함된</t>
    </r>
    <r>
      <rPr>
        <sz val="10"/>
        <rFont val="Carlito"/>
        <family val="2"/>
      </rPr>
      <t xml:space="preserve">, </t>
    </r>
    <r>
      <rPr>
        <sz val="10"/>
        <rFont val="Carlito"/>
      </rPr>
      <t>통합된</t>
    </r>
  </si>
  <si>
    <r>
      <rPr>
        <sz val="10"/>
        <rFont val="Carlito"/>
      </rPr>
      <t>산업계가</t>
    </r>
    <r>
      <rPr>
        <sz val="10"/>
        <rFont val="Carlito"/>
        <family val="2"/>
      </rPr>
      <t xml:space="preserve"> </t>
    </r>
    <r>
      <rPr>
        <sz val="10"/>
        <rFont val="Carlito"/>
      </rPr>
      <t>자금을</t>
    </r>
    <r>
      <rPr>
        <sz val="10"/>
        <rFont val="Carlito"/>
        <family val="2"/>
      </rPr>
      <t xml:space="preserve"> </t>
    </r>
    <r>
      <rPr>
        <sz val="10"/>
        <rFont val="Carlito"/>
      </rPr>
      <t>댄</t>
    </r>
  </si>
  <si>
    <r>
      <rPr>
        <sz val="10"/>
        <rFont val="Carlito"/>
      </rPr>
      <t>추론하다</t>
    </r>
  </si>
  <si>
    <r>
      <rPr>
        <sz val="10"/>
        <rFont val="Carlito"/>
      </rPr>
      <t>열등한</t>
    </r>
    <r>
      <rPr>
        <sz val="10"/>
        <rFont val="Carlito"/>
        <family val="2"/>
      </rPr>
      <t xml:space="preserve">, </t>
    </r>
    <r>
      <rPr>
        <sz val="10"/>
        <rFont val="Carlito"/>
      </rPr>
      <t>낮은</t>
    </r>
    <r>
      <rPr>
        <sz val="10"/>
        <rFont val="Carlito"/>
        <family val="2"/>
      </rPr>
      <t xml:space="preserve"> </t>
    </r>
    <r>
      <rPr>
        <sz val="10"/>
        <rFont val="Carlito"/>
      </rPr>
      <t>품질의</t>
    </r>
  </si>
  <si>
    <r>
      <rPr>
        <sz val="10"/>
        <rFont val="Carlito"/>
      </rPr>
      <t>기반</t>
    </r>
    <r>
      <rPr>
        <sz val="10"/>
        <rFont val="Carlito"/>
        <family val="2"/>
      </rPr>
      <t xml:space="preserve"> </t>
    </r>
    <r>
      <rPr>
        <sz val="10"/>
        <rFont val="Carlito"/>
      </rPr>
      <t>시설</t>
    </r>
  </si>
  <si>
    <r>
      <t>~</t>
    </r>
    <r>
      <rPr>
        <sz val="10"/>
        <rFont val="Carlito"/>
      </rPr>
      <t>이</t>
    </r>
    <r>
      <rPr>
        <sz val="10"/>
        <rFont val="Carlito"/>
        <family val="2"/>
      </rPr>
      <t xml:space="preserve"> </t>
    </r>
    <r>
      <rPr>
        <sz val="10"/>
        <rFont val="Carlito"/>
      </rPr>
      <t>주입된</t>
    </r>
    <r>
      <rPr>
        <sz val="10"/>
        <rFont val="Carlito"/>
        <family val="2"/>
      </rPr>
      <t xml:space="preserve">, </t>
    </r>
    <r>
      <rPr>
        <sz val="10"/>
        <rFont val="Carlito"/>
      </rPr>
      <t>첨가된</t>
    </r>
  </si>
  <si>
    <r>
      <rPr>
        <sz val="10"/>
        <rFont val="Carlito"/>
      </rPr>
      <t>사람이</t>
    </r>
    <r>
      <rPr>
        <sz val="10"/>
        <rFont val="Carlito"/>
        <family val="2"/>
      </rPr>
      <t xml:space="preserve"> </t>
    </r>
    <r>
      <rPr>
        <sz val="10"/>
        <rFont val="Carlito"/>
      </rPr>
      <t>사는</t>
    </r>
  </si>
  <si>
    <r>
      <rPr>
        <sz val="10"/>
        <rFont val="Carlito"/>
      </rPr>
      <t>계획</t>
    </r>
    <r>
      <rPr>
        <sz val="10"/>
        <rFont val="Carlito"/>
        <family val="2"/>
      </rPr>
      <t xml:space="preserve">, </t>
    </r>
    <r>
      <rPr>
        <sz val="10"/>
        <rFont val="Carlito"/>
      </rPr>
      <t>주도적</t>
    </r>
    <r>
      <rPr>
        <sz val="10"/>
        <rFont val="Carlito"/>
        <family val="2"/>
      </rPr>
      <t xml:space="preserve"> </t>
    </r>
    <r>
      <rPr>
        <sz val="10"/>
        <rFont val="Carlito"/>
      </rPr>
      <t>조치</t>
    </r>
  </si>
  <si>
    <r>
      <rPr>
        <sz val="10"/>
        <rFont val="Carlito"/>
      </rPr>
      <t>내륙</t>
    </r>
    <r>
      <rPr>
        <sz val="10"/>
        <rFont val="Carlito"/>
        <family val="2"/>
      </rPr>
      <t xml:space="preserve"> </t>
    </r>
    <r>
      <rPr>
        <sz val="10"/>
        <rFont val="Carlito"/>
      </rPr>
      <t>삼각주</t>
    </r>
  </si>
  <si>
    <r>
      <rPr>
        <sz val="10"/>
        <rFont val="Carlito"/>
      </rPr>
      <t>조사</t>
    </r>
  </si>
  <si>
    <r>
      <rPr>
        <sz val="10"/>
        <rFont val="Carlito"/>
      </rPr>
      <t>부족한</t>
    </r>
    <r>
      <rPr>
        <sz val="10"/>
        <rFont val="Carlito"/>
        <family val="2"/>
      </rPr>
      <t xml:space="preserve"> </t>
    </r>
    <r>
      <rPr>
        <sz val="10"/>
        <rFont val="Carlito"/>
      </rPr>
      <t>경험</t>
    </r>
  </si>
  <si>
    <r>
      <rPr>
        <sz val="10"/>
        <rFont val="Carlito"/>
      </rPr>
      <t>절연체</t>
    </r>
  </si>
  <si>
    <r>
      <rPr>
        <sz val="10"/>
        <rFont val="Carlito"/>
      </rPr>
      <t>지적인</t>
    </r>
    <r>
      <rPr>
        <sz val="10"/>
        <rFont val="Carlito"/>
        <family val="2"/>
      </rPr>
      <t xml:space="preserve">; </t>
    </r>
    <r>
      <rPr>
        <sz val="10"/>
        <rFont val="Carlito"/>
      </rPr>
      <t>지식인</t>
    </r>
  </si>
  <si>
    <r>
      <rPr>
        <sz val="10"/>
        <rFont val="Carlito"/>
      </rPr>
      <t>방해하다</t>
    </r>
  </si>
  <si>
    <r>
      <rPr>
        <sz val="10"/>
        <rFont val="Carlito"/>
      </rPr>
      <t>간섭</t>
    </r>
    <r>
      <rPr>
        <sz val="10"/>
        <rFont val="Carlito"/>
        <family val="2"/>
      </rPr>
      <t xml:space="preserve">, </t>
    </r>
    <r>
      <rPr>
        <sz val="10"/>
        <rFont val="Carlito"/>
      </rPr>
      <t>방해</t>
    </r>
  </si>
  <si>
    <r>
      <rPr>
        <sz val="10"/>
        <rFont val="Carlito"/>
      </rPr>
      <t>뛰어난</t>
    </r>
    <r>
      <rPr>
        <sz val="10"/>
        <rFont val="Carlito"/>
        <family val="2"/>
      </rPr>
      <t xml:space="preserve"> </t>
    </r>
    <r>
      <rPr>
        <sz val="10"/>
        <rFont val="Carlito"/>
      </rPr>
      <t>공감</t>
    </r>
    <r>
      <rPr>
        <sz val="10"/>
        <rFont val="Carlito"/>
        <family val="2"/>
      </rPr>
      <t xml:space="preserve"> </t>
    </r>
    <r>
      <rPr>
        <sz val="10"/>
        <rFont val="Carlito"/>
      </rPr>
      <t>능력</t>
    </r>
  </si>
  <si>
    <r>
      <rPr>
        <sz val="10"/>
        <rFont val="Carlito"/>
      </rPr>
      <t>신뢰성이</t>
    </r>
    <r>
      <rPr>
        <sz val="10"/>
        <rFont val="Carlito"/>
        <family val="2"/>
      </rPr>
      <t xml:space="preserve"> </t>
    </r>
    <r>
      <rPr>
        <sz val="10"/>
        <rFont val="Carlito"/>
      </rPr>
      <t>부족하다</t>
    </r>
  </si>
  <si>
    <r>
      <rPr>
        <sz val="10"/>
        <rFont val="Carlito"/>
      </rPr>
      <t>매립지</t>
    </r>
  </si>
  <si>
    <r>
      <rPr>
        <sz val="10"/>
        <rFont val="Carlito"/>
      </rPr>
      <t>대륙</t>
    </r>
    <r>
      <rPr>
        <sz val="10"/>
        <rFont val="Carlito"/>
        <family val="2"/>
      </rPr>
      <t xml:space="preserve"> </t>
    </r>
    <r>
      <rPr>
        <sz val="10"/>
        <rFont val="Carlito"/>
      </rPr>
      <t>덩어리</t>
    </r>
    <r>
      <rPr>
        <sz val="10"/>
        <rFont val="Carlito"/>
        <family val="2"/>
      </rPr>
      <t xml:space="preserve">, </t>
    </r>
    <r>
      <rPr>
        <sz val="10"/>
        <rFont val="Carlito"/>
      </rPr>
      <t>광대한</t>
    </r>
    <r>
      <rPr>
        <sz val="10"/>
        <rFont val="Carlito"/>
        <family val="2"/>
      </rPr>
      <t xml:space="preserve"> </t>
    </r>
    <r>
      <rPr>
        <sz val="10"/>
        <rFont val="Carlito"/>
      </rPr>
      <t>육지</t>
    </r>
  </si>
  <si>
    <r>
      <rPr>
        <sz val="10"/>
        <rFont val="Carlito"/>
      </rPr>
      <t>대용량의</t>
    </r>
  </si>
  <si>
    <r>
      <rPr>
        <sz val="10"/>
        <rFont val="Carlito"/>
      </rPr>
      <t>치명적인</t>
    </r>
  </si>
  <si>
    <r>
      <rPr>
        <sz val="10"/>
        <rFont val="Carlito"/>
      </rPr>
      <t>생명을</t>
    </r>
    <r>
      <rPr>
        <sz val="10"/>
        <rFont val="Carlito"/>
        <family val="2"/>
      </rPr>
      <t xml:space="preserve"> </t>
    </r>
    <r>
      <rPr>
        <sz val="10"/>
        <rFont val="Carlito"/>
      </rPr>
      <t>위협하는</t>
    </r>
  </si>
  <si>
    <r>
      <rPr>
        <sz val="10"/>
        <rFont val="Carlito"/>
      </rPr>
      <t>빛</t>
    </r>
    <r>
      <rPr>
        <sz val="10"/>
        <rFont val="Carlito"/>
        <family val="2"/>
      </rPr>
      <t xml:space="preserve"> </t>
    </r>
    <r>
      <rPr>
        <sz val="10"/>
        <rFont val="Carlito"/>
      </rPr>
      <t>공해</t>
    </r>
  </si>
  <si>
    <r>
      <rPr>
        <sz val="10"/>
        <rFont val="Carlito"/>
      </rPr>
      <t>문해력</t>
    </r>
    <r>
      <rPr>
        <sz val="10"/>
        <rFont val="Carlito"/>
        <family val="2"/>
      </rPr>
      <t xml:space="preserve">, </t>
    </r>
    <r>
      <rPr>
        <sz val="10"/>
        <rFont val="Carlito"/>
      </rPr>
      <t>이해력</t>
    </r>
  </si>
  <si>
    <r>
      <rPr>
        <sz val="10"/>
        <rFont val="Carlito"/>
      </rPr>
      <t>한배</t>
    </r>
    <r>
      <rPr>
        <sz val="10"/>
        <rFont val="Carlito"/>
        <family val="2"/>
      </rPr>
      <t xml:space="preserve"> </t>
    </r>
    <r>
      <rPr>
        <sz val="10"/>
        <rFont val="Carlito"/>
      </rPr>
      <t>새끼</t>
    </r>
  </si>
  <si>
    <r>
      <rPr>
        <sz val="10"/>
        <rFont val="Carlito"/>
      </rPr>
      <t>수입</t>
    </r>
    <r>
      <rPr>
        <sz val="10"/>
        <rFont val="Carlito"/>
        <family val="2"/>
      </rPr>
      <t xml:space="preserve"> </t>
    </r>
    <r>
      <rPr>
        <sz val="10"/>
        <rFont val="Carlito"/>
      </rPr>
      <t>범위</t>
    </r>
    <r>
      <rPr>
        <sz val="10"/>
        <rFont val="Carlito"/>
        <family val="2"/>
      </rPr>
      <t xml:space="preserve"> </t>
    </r>
    <r>
      <rPr>
        <sz val="10"/>
        <rFont val="Carlito"/>
      </rPr>
      <t>내에서</t>
    </r>
    <r>
      <rPr>
        <sz val="10"/>
        <rFont val="Carlito"/>
        <family val="2"/>
      </rPr>
      <t xml:space="preserve"> </t>
    </r>
    <r>
      <rPr>
        <sz val="10"/>
        <rFont val="Carlito"/>
      </rPr>
      <t>살다</t>
    </r>
  </si>
  <si>
    <r>
      <rPr>
        <sz val="10"/>
        <rFont val="Carlito"/>
      </rPr>
      <t>규율을</t>
    </r>
    <r>
      <rPr>
        <sz val="10"/>
        <rFont val="Carlito"/>
        <family val="2"/>
      </rPr>
      <t xml:space="preserve"> </t>
    </r>
    <r>
      <rPr>
        <sz val="10"/>
        <rFont val="Carlito"/>
      </rPr>
      <t>유지하다</t>
    </r>
  </si>
  <si>
    <r>
      <rPr>
        <sz val="10"/>
        <rFont val="Carlito"/>
      </rPr>
      <t>근근이</t>
    </r>
    <r>
      <rPr>
        <sz val="10"/>
        <rFont val="Carlito"/>
        <family val="2"/>
      </rPr>
      <t xml:space="preserve"> </t>
    </r>
    <r>
      <rPr>
        <sz val="10"/>
        <rFont val="Carlito"/>
      </rPr>
      <t>먹고살다</t>
    </r>
  </si>
  <si>
    <r>
      <t>~</t>
    </r>
    <r>
      <rPr>
        <sz val="10"/>
        <rFont val="Carlito"/>
      </rPr>
      <t>을</t>
    </r>
    <r>
      <rPr>
        <sz val="10"/>
        <rFont val="Carlito"/>
        <family val="2"/>
      </rPr>
      <t xml:space="preserve"> </t>
    </r>
    <r>
      <rPr>
        <sz val="10"/>
        <rFont val="Carlito"/>
      </rPr>
      <t>위한</t>
    </r>
    <r>
      <rPr>
        <sz val="10"/>
        <rFont val="Carlito"/>
        <family val="2"/>
      </rPr>
      <t xml:space="preserve"> </t>
    </r>
    <r>
      <rPr>
        <sz val="10"/>
        <rFont val="Carlito"/>
      </rPr>
      <t>공간을</t>
    </r>
    <r>
      <rPr>
        <sz val="10"/>
        <rFont val="Carlito"/>
        <family val="2"/>
      </rPr>
      <t xml:space="preserve"> </t>
    </r>
    <r>
      <rPr>
        <sz val="10"/>
        <rFont val="Carlito"/>
      </rPr>
      <t>마련하다</t>
    </r>
  </si>
  <si>
    <r>
      <t>~</t>
    </r>
    <r>
      <rPr>
        <sz val="10"/>
        <rFont val="Carlito"/>
      </rPr>
      <t>을</t>
    </r>
    <r>
      <rPr>
        <sz val="10"/>
        <rFont val="Carlito"/>
        <family val="2"/>
      </rPr>
      <t xml:space="preserve"> </t>
    </r>
    <r>
      <rPr>
        <sz val="10"/>
        <rFont val="Carlito"/>
      </rPr>
      <t>위해</t>
    </r>
    <r>
      <rPr>
        <sz val="10"/>
        <rFont val="Carlito"/>
        <family val="2"/>
      </rPr>
      <t xml:space="preserve"> </t>
    </r>
    <r>
      <rPr>
        <sz val="10"/>
        <rFont val="Carlito"/>
      </rPr>
      <t>자리를</t>
    </r>
    <r>
      <rPr>
        <sz val="10"/>
        <rFont val="Carlito"/>
        <family val="2"/>
      </rPr>
      <t xml:space="preserve"> </t>
    </r>
    <r>
      <rPr>
        <sz val="10"/>
        <rFont val="Carlito"/>
      </rPr>
      <t>내주다</t>
    </r>
  </si>
  <si>
    <r>
      <rPr>
        <sz val="10"/>
        <rFont val="Carlito"/>
      </rPr>
      <t>남성이</t>
    </r>
    <r>
      <rPr>
        <sz val="10"/>
        <rFont val="Carlito"/>
        <family val="2"/>
      </rPr>
      <t xml:space="preserve"> </t>
    </r>
    <r>
      <rPr>
        <sz val="10"/>
        <rFont val="Carlito"/>
      </rPr>
      <t>지배적인</t>
    </r>
    <r>
      <rPr>
        <sz val="10"/>
        <rFont val="Carlito"/>
        <family val="2"/>
      </rPr>
      <t xml:space="preserve"> </t>
    </r>
    <r>
      <rPr>
        <sz val="10"/>
        <rFont val="Carlito"/>
      </rPr>
      <t>분야</t>
    </r>
  </si>
  <si>
    <r>
      <rPr>
        <sz val="10"/>
        <rFont val="Carlito"/>
      </rPr>
      <t>오작동하다</t>
    </r>
    <r>
      <rPr>
        <sz val="10"/>
        <rFont val="Carlito"/>
        <family val="2"/>
      </rPr>
      <t xml:space="preserve">; </t>
    </r>
    <r>
      <rPr>
        <sz val="10"/>
        <rFont val="Carlito"/>
      </rPr>
      <t>오작동</t>
    </r>
  </si>
  <si>
    <r>
      <rPr>
        <sz val="10"/>
        <rFont val="Carlito"/>
      </rPr>
      <t>악성</t>
    </r>
    <r>
      <rPr>
        <sz val="10"/>
        <rFont val="Carlito"/>
        <family val="2"/>
      </rPr>
      <t xml:space="preserve"> </t>
    </r>
    <r>
      <rPr>
        <sz val="10"/>
        <rFont val="Carlito"/>
      </rPr>
      <t>소프트웨어</t>
    </r>
  </si>
  <si>
    <r>
      <rPr>
        <sz val="10"/>
        <rFont val="Carlito"/>
      </rPr>
      <t>의무화하다</t>
    </r>
  </si>
  <si>
    <r>
      <rPr>
        <sz val="10"/>
        <rFont val="Carlito"/>
      </rPr>
      <t>생산</t>
    </r>
    <r>
      <rPr>
        <sz val="10"/>
        <rFont val="Carlito"/>
        <family val="2"/>
      </rPr>
      <t xml:space="preserve"> </t>
    </r>
    <r>
      <rPr>
        <sz val="10"/>
        <rFont val="Carlito"/>
      </rPr>
      <t>시설</t>
    </r>
  </si>
  <si>
    <r>
      <rPr>
        <sz val="10"/>
        <rFont val="Carlito"/>
      </rPr>
      <t>혼인</t>
    </r>
    <r>
      <rPr>
        <sz val="10"/>
        <rFont val="Carlito"/>
        <family val="2"/>
      </rPr>
      <t xml:space="preserve"> </t>
    </r>
    <r>
      <rPr>
        <sz val="10"/>
        <rFont val="Carlito"/>
      </rPr>
      <t>상태</t>
    </r>
  </si>
  <si>
    <r>
      <rPr>
        <sz val="10"/>
        <rFont val="Carlito"/>
      </rPr>
      <t>출산</t>
    </r>
    <r>
      <rPr>
        <sz val="10"/>
        <rFont val="Carlito"/>
        <family val="2"/>
      </rPr>
      <t xml:space="preserve"> </t>
    </r>
    <r>
      <rPr>
        <sz val="10"/>
        <rFont val="Carlito"/>
      </rPr>
      <t>휴가</t>
    </r>
  </si>
  <si>
    <r>
      <rPr>
        <sz val="10"/>
        <rFont val="Carlito"/>
      </rPr>
      <t>극대화하다</t>
    </r>
  </si>
  <si>
    <r>
      <rPr>
        <sz val="10"/>
        <rFont val="Carlito"/>
      </rPr>
      <t>상인</t>
    </r>
    <r>
      <rPr>
        <sz val="10"/>
        <rFont val="Carlito"/>
        <family val="2"/>
      </rPr>
      <t xml:space="preserve"> </t>
    </r>
    <r>
      <rPr>
        <sz val="10"/>
        <rFont val="Carlito"/>
      </rPr>
      <t>계급</t>
    </r>
  </si>
  <si>
    <r>
      <rPr>
        <sz val="10"/>
        <rFont val="Carlito"/>
      </rPr>
      <t>상선</t>
    </r>
  </si>
  <si>
    <r>
      <rPr>
        <sz val="10"/>
        <rFont val="Carlito"/>
      </rPr>
      <t>대사율</t>
    </r>
  </si>
  <si>
    <r>
      <rPr>
        <sz val="10"/>
        <rFont val="Carlito"/>
      </rPr>
      <t>주조하다</t>
    </r>
    <r>
      <rPr>
        <sz val="10"/>
        <rFont val="Carlito"/>
        <family val="2"/>
      </rPr>
      <t xml:space="preserve">; </t>
    </r>
    <r>
      <rPr>
        <sz val="10"/>
        <rFont val="Carlito"/>
      </rPr>
      <t>조폐국</t>
    </r>
  </si>
  <si>
    <r>
      <rPr>
        <sz val="10"/>
        <rFont val="Carlito"/>
      </rPr>
      <t>최상급</t>
    </r>
    <r>
      <rPr>
        <sz val="10"/>
        <rFont val="Carlito"/>
        <family val="2"/>
      </rPr>
      <t xml:space="preserve"> </t>
    </r>
    <r>
      <rPr>
        <sz val="10"/>
        <rFont val="Carlito"/>
      </rPr>
      <t>상태</t>
    </r>
  </si>
  <si>
    <r>
      <rPr>
        <sz val="10"/>
        <rFont val="Carlito"/>
      </rPr>
      <t>분자요리</t>
    </r>
  </si>
  <si>
    <r>
      <rPr>
        <sz val="10"/>
        <rFont val="Carlito"/>
      </rPr>
      <t>사망률</t>
    </r>
  </si>
  <si>
    <r>
      <rPr>
        <sz val="10"/>
        <rFont val="Carlito"/>
      </rPr>
      <t>등산</t>
    </r>
    <r>
      <rPr>
        <sz val="10"/>
        <rFont val="Carlito"/>
        <family val="2"/>
      </rPr>
      <t xml:space="preserve">, </t>
    </r>
    <r>
      <rPr>
        <sz val="10"/>
        <rFont val="Carlito"/>
      </rPr>
      <t>산악</t>
    </r>
    <r>
      <rPr>
        <sz val="10"/>
        <rFont val="Carlito"/>
        <family val="2"/>
      </rPr>
      <t xml:space="preserve"> </t>
    </r>
    <r>
      <rPr>
        <sz val="10"/>
        <rFont val="Carlito"/>
      </rPr>
      <t>활동</t>
    </r>
  </si>
  <si>
    <r>
      <rPr>
        <sz val="10"/>
        <rFont val="Carlito"/>
      </rPr>
      <t>편협한</t>
    </r>
  </si>
  <si>
    <r>
      <rPr>
        <sz val="10"/>
        <rFont val="Carlito"/>
      </rPr>
      <t>네안데르탈인</t>
    </r>
  </si>
  <si>
    <r>
      <rPr>
        <sz val="10"/>
        <rFont val="Carlito"/>
      </rPr>
      <t>번식지</t>
    </r>
    <r>
      <rPr>
        <sz val="10"/>
        <rFont val="Carlito"/>
        <family val="2"/>
      </rPr>
      <t xml:space="preserve"> </t>
    </r>
    <r>
      <rPr>
        <sz val="10"/>
        <rFont val="Carlito"/>
      </rPr>
      <t>이동</t>
    </r>
  </si>
  <si>
    <r>
      <rPr>
        <sz val="10"/>
        <rFont val="Carlito"/>
      </rPr>
      <t>날렵한</t>
    </r>
    <r>
      <rPr>
        <sz val="10"/>
        <rFont val="Carlito"/>
        <family val="2"/>
      </rPr>
      <t xml:space="preserve">, </t>
    </r>
    <r>
      <rPr>
        <sz val="10"/>
        <rFont val="Carlito"/>
      </rPr>
      <t>민첩한</t>
    </r>
  </si>
  <si>
    <r>
      <rPr>
        <sz val="10"/>
        <rFont val="Carlito"/>
      </rPr>
      <t>이길</t>
    </r>
    <r>
      <rPr>
        <sz val="10"/>
        <rFont val="Carlito"/>
        <family val="2"/>
      </rPr>
      <t xml:space="preserve"> </t>
    </r>
    <r>
      <rPr>
        <sz val="10"/>
        <rFont val="Carlito"/>
      </rPr>
      <t>수</t>
    </r>
    <r>
      <rPr>
        <sz val="10"/>
        <rFont val="Carlito"/>
        <family val="2"/>
      </rPr>
      <t xml:space="preserve"> </t>
    </r>
    <r>
      <rPr>
        <sz val="10"/>
        <rFont val="Carlito"/>
      </rPr>
      <t>없는</t>
    </r>
    <r>
      <rPr>
        <sz val="10"/>
        <rFont val="Carlito"/>
        <family val="2"/>
      </rPr>
      <t xml:space="preserve"> </t>
    </r>
    <r>
      <rPr>
        <sz val="10"/>
        <rFont val="Carlito"/>
      </rPr>
      <t>상황</t>
    </r>
  </si>
  <si>
    <r>
      <rPr>
        <sz val="10"/>
        <rFont val="Carlito"/>
      </rPr>
      <t>불필요한</t>
    </r>
    <r>
      <rPr>
        <sz val="10"/>
        <rFont val="Carlito"/>
        <family val="2"/>
      </rPr>
      <t xml:space="preserve"> </t>
    </r>
    <r>
      <rPr>
        <sz val="10"/>
        <rFont val="Carlito"/>
      </rPr>
      <t>이동</t>
    </r>
  </si>
  <si>
    <r>
      <rPr>
        <sz val="10"/>
        <rFont val="Carlito"/>
      </rPr>
      <t>비침습적인</t>
    </r>
  </si>
  <si>
    <r>
      <rPr>
        <sz val="10"/>
        <rFont val="Carlito"/>
      </rPr>
      <t>비영리</t>
    </r>
    <r>
      <rPr>
        <sz val="10"/>
        <rFont val="Carlito"/>
        <family val="2"/>
      </rPr>
      <t xml:space="preserve"> </t>
    </r>
    <r>
      <rPr>
        <sz val="10"/>
        <rFont val="Carlito"/>
      </rPr>
      <t>단체</t>
    </r>
    <r>
      <rPr>
        <sz val="10"/>
        <rFont val="Carlito"/>
        <family val="2"/>
      </rPr>
      <t xml:space="preserve">; </t>
    </r>
    <r>
      <rPr>
        <sz val="10"/>
        <rFont val="Carlito"/>
      </rPr>
      <t>비영리의</t>
    </r>
  </si>
  <si>
    <r>
      <rPr>
        <sz val="10"/>
        <rFont val="Carlito"/>
      </rPr>
      <t>신선함이</t>
    </r>
    <r>
      <rPr>
        <sz val="10"/>
        <rFont val="Carlito"/>
        <family val="2"/>
      </rPr>
      <t xml:space="preserve"> </t>
    </r>
    <r>
      <rPr>
        <sz val="10"/>
        <rFont val="Carlito"/>
      </rPr>
      <t>사라지다</t>
    </r>
  </si>
  <si>
    <r>
      <rPr>
        <sz val="10"/>
        <rFont val="Carlito"/>
      </rPr>
      <t>잘</t>
    </r>
    <r>
      <rPr>
        <sz val="10"/>
        <rFont val="Carlito"/>
        <family val="2"/>
      </rPr>
      <t xml:space="preserve"> </t>
    </r>
    <r>
      <rPr>
        <sz val="10"/>
        <rFont val="Carlito"/>
      </rPr>
      <t>알려지지</t>
    </r>
    <r>
      <rPr>
        <sz val="10"/>
        <rFont val="Carlito"/>
        <family val="2"/>
      </rPr>
      <t xml:space="preserve"> </t>
    </r>
    <r>
      <rPr>
        <sz val="10"/>
        <rFont val="Carlito"/>
      </rPr>
      <t>않은</t>
    </r>
    <r>
      <rPr>
        <sz val="10"/>
        <rFont val="Carlito"/>
        <family val="2"/>
      </rPr>
      <t xml:space="preserve">, </t>
    </r>
    <r>
      <rPr>
        <sz val="10"/>
        <rFont val="Carlito"/>
      </rPr>
      <t>난해한</t>
    </r>
  </si>
  <si>
    <r>
      <rPr>
        <sz val="10"/>
        <rFont val="Carlito"/>
      </rPr>
      <t>구식이</t>
    </r>
    <r>
      <rPr>
        <sz val="10"/>
        <rFont val="Carlito"/>
        <family val="2"/>
      </rPr>
      <t xml:space="preserve"> </t>
    </r>
    <r>
      <rPr>
        <sz val="10"/>
        <rFont val="Carlito"/>
      </rPr>
      <t>된</t>
    </r>
    <r>
      <rPr>
        <sz val="10"/>
        <rFont val="Carlito"/>
        <family val="2"/>
      </rPr>
      <t xml:space="preserve">, </t>
    </r>
    <r>
      <rPr>
        <sz val="10"/>
        <rFont val="Carlito"/>
      </rPr>
      <t>쓸모없어진</t>
    </r>
  </si>
  <si>
    <r>
      <rPr>
        <sz val="10"/>
        <rFont val="Carlito"/>
      </rPr>
      <t>점령지</t>
    </r>
  </si>
  <si>
    <r>
      <rPr>
        <sz val="10"/>
        <rFont val="Carlito"/>
      </rPr>
      <t>공식</t>
    </r>
    <r>
      <rPr>
        <sz val="10"/>
        <rFont val="Carlito"/>
        <family val="2"/>
      </rPr>
      <t xml:space="preserve"> </t>
    </r>
    <r>
      <rPr>
        <sz val="10"/>
        <rFont val="Carlito"/>
      </rPr>
      <t>기록에</t>
    </r>
    <r>
      <rPr>
        <sz val="10"/>
        <rFont val="Carlito"/>
        <family val="2"/>
      </rPr>
      <t xml:space="preserve"> </t>
    </r>
    <r>
      <rPr>
        <sz val="10"/>
        <rFont val="Carlito"/>
      </rPr>
      <t>남는</t>
    </r>
  </si>
  <si>
    <r>
      <rPr>
        <sz val="10"/>
        <rFont val="Carlito"/>
      </rPr>
      <t>마주</t>
    </r>
    <r>
      <rPr>
        <sz val="10"/>
        <rFont val="Carlito"/>
        <family val="2"/>
      </rPr>
      <t xml:space="preserve"> </t>
    </r>
    <r>
      <rPr>
        <sz val="10"/>
        <rFont val="Carlito"/>
      </rPr>
      <t>오는</t>
    </r>
    <r>
      <rPr>
        <sz val="10"/>
        <rFont val="Carlito"/>
        <family val="2"/>
      </rPr>
      <t xml:space="preserve"> </t>
    </r>
    <r>
      <rPr>
        <sz val="10"/>
        <rFont val="Carlito"/>
      </rPr>
      <t>차량</t>
    </r>
  </si>
  <si>
    <r>
      <rPr>
        <sz val="10"/>
        <rFont val="Carlito"/>
      </rPr>
      <t>착시</t>
    </r>
  </si>
  <si>
    <r>
      <rPr>
        <sz val="10"/>
        <rFont val="Carlito"/>
      </rPr>
      <t>최적화된</t>
    </r>
    <r>
      <rPr>
        <sz val="10"/>
        <rFont val="Carlito"/>
        <family val="2"/>
      </rPr>
      <t xml:space="preserve"> </t>
    </r>
    <r>
      <rPr>
        <sz val="10"/>
        <rFont val="Carlito"/>
      </rPr>
      <t>경로</t>
    </r>
  </si>
  <si>
    <r>
      <rPr>
        <sz val="10"/>
        <rFont val="Carlito"/>
      </rPr>
      <t>윤곽선</t>
    </r>
  </si>
  <si>
    <r>
      <rPr>
        <sz val="10"/>
        <rFont val="Carlito"/>
      </rPr>
      <t>생산량</t>
    </r>
    <r>
      <rPr>
        <sz val="10"/>
        <rFont val="Carlito"/>
        <family val="2"/>
      </rPr>
      <t xml:space="preserve">, </t>
    </r>
    <r>
      <rPr>
        <sz val="10"/>
        <rFont val="Carlito"/>
      </rPr>
      <t>출력</t>
    </r>
  </si>
  <si>
    <r>
      <rPr>
        <sz val="10"/>
        <rFont val="Carlito"/>
      </rPr>
      <t>외곽</t>
    </r>
  </si>
  <si>
    <r>
      <rPr>
        <sz val="10"/>
        <rFont val="Carlito"/>
      </rPr>
      <t>외주화하다</t>
    </r>
  </si>
  <si>
    <r>
      <t>~</t>
    </r>
    <r>
      <rPr>
        <sz val="10"/>
        <rFont val="Carlito"/>
      </rPr>
      <t>보다</t>
    </r>
    <r>
      <rPr>
        <sz val="10"/>
        <rFont val="Carlito"/>
        <family val="2"/>
      </rPr>
      <t xml:space="preserve"> </t>
    </r>
    <r>
      <rPr>
        <sz val="10"/>
        <rFont val="Carlito"/>
      </rPr>
      <t>더</t>
    </r>
    <r>
      <rPr>
        <sz val="10"/>
        <rFont val="Carlito"/>
        <family val="2"/>
      </rPr>
      <t xml:space="preserve"> </t>
    </r>
    <r>
      <rPr>
        <sz val="10"/>
        <rFont val="Carlito"/>
      </rPr>
      <t>크다</t>
    </r>
    <r>
      <rPr>
        <sz val="10"/>
        <rFont val="Carlito"/>
        <family val="2"/>
      </rPr>
      <t>/</t>
    </r>
    <r>
      <rPr>
        <sz val="10"/>
        <rFont val="Carlito"/>
      </rPr>
      <t>중요하다</t>
    </r>
  </si>
  <si>
    <r>
      <rPr>
        <sz val="10"/>
        <rFont val="Carlito"/>
      </rPr>
      <t>과잉</t>
    </r>
    <r>
      <rPr>
        <sz val="10"/>
        <rFont val="Carlito"/>
        <family val="2"/>
      </rPr>
      <t xml:space="preserve"> </t>
    </r>
    <r>
      <rPr>
        <sz val="10"/>
        <rFont val="Carlito"/>
      </rPr>
      <t>소비</t>
    </r>
  </si>
  <si>
    <r>
      <rPr>
        <sz val="10"/>
        <rFont val="Carlito"/>
      </rPr>
      <t>전면</t>
    </r>
    <r>
      <rPr>
        <sz val="10"/>
        <rFont val="Carlito"/>
        <family val="2"/>
      </rPr>
      <t xml:space="preserve"> </t>
    </r>
    <r>
      <rPr>
        <sz val="10"/>
        <rFont val="Carlito"/>
      </rPr>
      <t>개보수</t>
    </r>
    <r>
      <rPr>
        <sz val="10"/>
        <rFont val="Carlito"/>
        <family val="2"/>
      </rPr>
      <t xml:space="preserve">, </t>
    </r>
    <r>
      <rPr>
        <sz val="10"/>
        <rFont val="Carlito"/>
      </rPr>
      <t>정비하다</t>
    </r>
  </si>
  <si>
    <r>
      <rPr>
        <sz val="10"/>
        <rFont val="Carlito"/>
      </rPr>
      <t>과열</t>
    </r>
  </si>
  <si>
    <r>
      <rPr>
        <sz val="10"/>
        <rFont val="Carlito"/>
      </rPr>
      <t>자격이</t>
    </r>
    <r>
      <rPr>
        <sz val="10"/>
        <rFont val="Carlito"/>
        <family val="2"/>
      </rPr>
      <t xml:space="preserve"> </t>
    </r>
    <r>
      <rPr>
        <sz val="10"/>
        <rFont val="Carlito"/>
      </rPr>
      <t>넘치는</t>
    </r>
  </si>
  <si>
    <r>
      <rPr>
        <sz val="10"/>
        <rFont val="Carlito"/>
      </rPr>
      <t>역설</t>
    </r>
  </si>
  <si>
    <r>
      <rPr>
        <sz val="10"/>
        <rFont val="Carlito"/>
      </rPr>
      <t>바싹</t>
    </r>
    <r>
      <rPr>
        <sz val="10"/>
        <rFont val="Carlito"/>
        <family val="2"/>
      </rPr>
      <t xml:space="preserve"> </t>
    </r>
    <r>
      <rPr>
        <sz val="10"/>
        <rFont val="Carlito"/>
      </rPr>
      <t>마른</t>
    </r>
  </si>
  <si>
    <r>
      <rPr>
        <sz val="10"/>
        <rFont val="Carlito"/>
      </rPr>
      <t>비용을</t>
    </r>
    <r>
      <rPr>
        <sz val="10"/>
        <rFont val="Carlito"/>
        <family val="2"/>
      </rPr>
      <t xml:space="preserve"> </t>
    </r>
    <r>
      <rPr>
        <sz val="10"/>
        <rFont val="Carlito"/>
      </rPr>
      <t>고객에게</t>
    </r>
    <r>
      <rPr>
        <sz val="10"/>
        <rFont val="Carlito"/>
        <family val="2"/>
      </rPr>
      <t xml:space="preserve"> </t>
    </r>
    <r>
      <rPr>
        <sz val="10"/>
        <rFont val="Carlito"/>
      </rPr>
      <t>전가하다</t>
    </r>
  </si>
  <si>
    <r>
      <rPr>
        <sz val="10"/>
        <rFont val="Carlito"/>
      </rPr>
      <t>특허를</t>
    </r>
    <r>
      <rPr>
        <sz val="10"/>
        <rFont val="Carlito"/>
        <family val="2"/>
      </rPr>
      <t xml:space="preserve"> </t>
    </r>
    <r>
      <rPr>
        <sz val="10"/>
        <rFont val="Carlito"/>
      </rPr>
      <t>내다</t>
    </r>
    <r>
      <rPr>
        <sz val="10"/>
        <rFont val="Carlito"/>
        <family val="2"/>
      </rPr>
      <t xml:space="preserve">; </t>
    </r>
    <r>
      <rPr>
        <sz val="10"/>
        <rFont val="Carlito"/>
      </rPr>
      <t>특허</t>
    </r>
  </si>
  <si>
    <r>
      <rPr>
        <sz val="10"/>
        <rFont val="Carlito"/>
      </rPr>
      <t>고객</t>
    </r>
    <r>
      <rPr>
        <sz val="10"/>
        <rFont val="Carlito"/>
        <family val="2"/>
      </rPr>
      <t xml:space="preserve">, </t>
    </r>
    <r>
      <rPr>
        <sz val="10"/>
        <rFont val="Carlito"/>
      </rPr>
      <t>단골</t>
    </r>
    <r>
      <rPr>
        <sz val="10"/>
        <rFont val="Carlito"/>
        <family val="2"/>
      </rPr>
      <t xml:space="preserve"> </t>
    </r>
    <r>
      <rPr>
        <sz val="10"/>
        <rFont val="Carlito"/>
      </rPr>
      <t>손님</t>
    </r>
  </si>
  <si>
    <r>
      <rPr>
        <sz val="10"/>
        <rFont val="Carlito"/>
      </rPr>
      <t>성과를</t>
    </r>
    <r>
      <rPr>
        <sz val="10"/>
        <rFont val="Carlito"/>
        <family val="2"/>
      </rPr>
      <t xml:space="preserve"> </t>
    </r>
    <r>
      <rPr>
        <sz val="10"/>
        <rFont val="Carlito"/>
      </rPr>
      <t>내다</t>
    </r>
    <r>
      <rPr>
        <sz val="10"/>
        <rFont val="Carlito"/>
        <family val="2"/>
      </rPr>
      <t xml:space="preserve">, </t>
    </r>
    <r>
      <rPr>
        <sz val="10"/>
        <rFont val="Carlito"/>
      </rPr>
      <t>보상받다</t>
    </r>
  </si>
  <si>
    <r>
      <rPr>
        <sz val="10"/>
        <rFont val="Carlito"/>
      </rPr>
      <t>죽다</t>
    </r>
  </si>
  <si>
    <r>
      <rPr>
        <sz val="10"/>
        <rFont val="Carlito"/>
      </rPr>
      <t>광합성하다</t>
    </r>
  </si>
  <si>
    <r>
      <rPr>
        <sz val="10"/>
        <rFont val="Carlito"/>
      </rPr>
      <t>시범</t>
    </r>
    <r>
      <rPr>
        <sz val="10"/>
        <rFont val="Carlito"/>
        <family val="2"/>
      </rPr>
      <t xml:space="preserve"> </t>
    </r>
    <r>
      <rPr>
        <sz val="10"/>
        <rFont val="Carlito"/>
      </rPr>
      <t>프로그램</t>
    </r>
  </si>
  <si>
    <r>
      <rPr>
        <sz val="10"/>
        <rFont val="Carlito"/>
      </rPr>
      <t>정확히</t>
    </r>
    <r>
      <rPr>
        <sz val="10"/>
        <rFont val="Carlito"/>
        <family val="2"/>
      </rPr>
      <t xml:space="preserve"> </t>
    </r>
    <r>
      <rPr>
        <sz val="10"/>
        <rFont val="Carlito"/>
      </rPr>
      <t>찾아내다</t>
    </r>
  </si>
  <si>
    <r>
      <rPr>
        <sz val="10"/>
        <rFont val="Carlito"/>
      </rPr>
      <t>천문관</t>
    </r>
  </si>
  <si>
    <r>
      <rPr>
        <sz val="10"/>
        <rFont val="Carlito"/>
      </rPr>
      <t>대규모</t>
    </r>
    <r>
      <rPr>
        <sz val="10"/>
        <rFont val="Carlito"/>
        <family val="2"/>
      </rPr>
      <t xml:space="preserve"> </t>
    </r>
    <r>
      <rPr>
        <sz val="10"/>
        <rFont val="Carlito"/>
      </rPr>
      <t>농장</t>
    </r>
  </si>
  <si>
    <r>
      <rPr>
        <sz val="10"/>
        <rFont val="Carlito"/>
      </rPr>
      <t>협력을</t>
    </r>
    <r>
      <rPr>
        <sz val="10"/>
        <rFont val="Carlito"/>
        <family val="2"/>
      </rPr>
      <t xml:space="preserve"> </t>
    </r>
    <r>
      <rPr>
        <sz val="10"/>
        <rFont val="Carlito"/>
      </rPr>
      <t>약속하다</t>
    </r>
  </si>
  <si>
    <r>
      <t>~</t>
    </r>
    <r>
      <rPr>
        <sz val="10"/>
        <rFont val="Carlito"/>
      </rPr>
      <t>할</t>
    </r>
    <r>
      <rPr>
        <sz val="10"/>
        <rFont val="Carlito"/>
        <family val="2"/>
      </rPr>
      <t xml:space="preserve"> </t>
    </r>
    <r>
      <rPr>
        <sz val="10"/>
        <rFont val="Carlito"/>
      </rPr>
      <t>준비가</t>
    </r>
    <r>
      <rPr>
        <sz val="10"/>
        <rFont val="Carlito"/>
        <family val="2"/>
      </rPr>
      <t xml:space="preserve"> </t>
    </r>
    <r>
      <rPr>
        <sz val="10"/>
        <rFont val="Carlito"/>
      </rPr>
      <t>된</t>
    </r>
  </si>
  <si>
    <r>
      <rPr>
        <sz val="10"/>
        <rFont val="Carlito"/>
      </rPr>
      <t>학생</t>
    </r>
    <r>
      <rPr>
        <sz val="10"/>
        <rFont val="Carlito"/>
        <family val="2"/>
      </rPr>
      <t xml:space="preserve"> </t>
    </r>
    <r>
      <rPr>
        <sz val="10"/>
        <rFont val="Carlito"/>
      </rPr>
      <t>복장</t>
    </r>
    <r>
      <rPr>
        <sz val="10"/>
        <rFont val="Carlito"/>
        <family val="2"/>
      </rPr>
      <t xml:space="preserve"> </t>
    </r>
    <r>
      <rPr>
        <sz val="10"/>
        <rFont val="Carlito"/>
      </rPr>
      <t>단속</t>
    </r>
  </si>
  <si>
    <r>
      <rPr>
        <sz val="10"/>
        <rFont val="Carlito"/>
      </rPr>
      <t>실용적인</t>
    </r>
    <r>
      <rPr>
        <sz val="10"/>
        <rFont val="Carlito"/>
        <family val="2"/>
      </rPr>
      <t xml:space="preserve">, </t>
    </r>
    <r>
      <rPr>
        <sz val="10"/>
        <rFont val="Carlito"/>
      </rPr>
      <t>현실적인</t>
    </r>
  </si>
  <si>
    <r>
      <rPr>
        <sz val="10"/>
        <rFont val="Carlito"/>
      </rPr>
      <t>강수량</t>
    </r>
    <r>
      <rPr>
        <sz val="10"/>
        <rFont val="Carlito"/>
        <family val="2"/>
      </rPr>
      <t xml:space="preserve">, </t>
    </r>
    <r>
      <rPr>
        <sz val="10"/>
        <rFont val="Carlito"/>
      </rPr>
      <t>강수</t>
    </r>
  </si>
  <si>
    <r>
      <rPr>
        <sz val="10"/>
        <rFont val="Carlito"/>
      </rPr>
      <t>위신</t>
    </r>
    <r>
      <rPr>
        <sz val="10"/>
        <rFont val="Carlito"/>
        <family val="2"/>
      </rPr>
      <t xml:space="preserve">, </t>
    </r>
    <r>
      <rPr>
        <sz val="10"/>
        <rFont val="Carlito"/>
      </rPr>
      <t>명성</t>
    </r>
  </si>
  <si>
    <r>
      <rPr>
        <sz val="10"/>
        <rFont val="Carlito"/>
      </rPr>
      <t>먹잇감</t>
    </r>
  </si>
  <si>
    <r>
      <rPr>
        <sz val="10"/>
        <rFont val="Carlito"/>
      </rPr>
      <t>원시적인</t>
    </r>
  </si>
  <si>
    <r>
      <rPr>
        <sz val="10"/>
        <rFont val="Carlito"/>
      </rPr>
      <t>수익금</t>
    </r>
  </si>
  <si>
    <r>
      <rPr>
        <sz val="10"/>
        <rFont val="Carlito"/>
      </rPr>
      <t>제품</t>
    </r>
    <r>
      <rPr>
        <sz val="10"/>
        <rFont val="Carlito"/>
        <family val="2"/>
      </rPr>
      <t xml:space="preserve"> </t>
    </r>
    <r>
      <rPr>
        <sz val="10"/>
        <rFont val="Carlito"/>
      </rPr>
      <t>리콜</t>
    </r>
  </si>
  <si>
    <r>
      <rPr>
        <sz val="10"/>
        <rFont val="Carlito"/>
      </rPr>
      <t>이익</t>
    </r>
    <r>
      <rPr>
        <sz val="10"/>
        <rFont val="Carlito"/>
        <family val="2"/>
      </rPr>
      <t xml:space="preserve"> </t>
    </r>
    <r>
      <rPr>
        <sz val="10"/>
        <rFont val="Carlito"/>
      </rPr>
      <t>공유의</t>
    </r>
  </si>
  <si>
    <r>
      <rPr>
        <sz val="10"/>
        <rFont val="Carlito"/>
      </rPr>
      <t>중대한</t>
    </r>
    <r>
      <rPr>
        <sz val="10"/>
        <rFont val="Carlito"/>
        <family val="2"/>
      </rPr>
      <t xml:space="preserve">, </t>
    </r>
    <r>
      <rPr>
        <sz val="10"/>
        <rFont val="Carlito"/>
      </rPr>
      <t>깊은</t>
    </r>
  </si>
  <si>
    <r>
      <rPr>
        <sz val="10"/>
        <rFont val="Carlito"/>
      </rPr>
      <t>점점</t>
    </r>
    <r>
      <rPr>
        <sz val="10"/>
        <rFont val="Carlito"/>
        <family val="2"/>
      </rPr>
      <t xml:space="preserve"> </t>
    </r>
    <r>
      <rPr>
        <sz val="10"/>
        <rFont val="Carlito"/>
      </rPr>
      <t>더</t>
    </r>
    <r>
      <rPr>
        <sz val="10"/>
        <rFont val="Carlito"/>
        <family val="2"/>
      </rPr>
      <t xml:space="preserve"> </t>
    </r>
    <r>
      <rPr>
        <sz val="10"/>
        <rFont val="Carlito"/>
      </rPr>
      <t>짧아지는</t>
    </r>
  </si>
  <si>
    <r>
      <rPr>
        <sz val="10"/>
        <rFont val="Carlito"/>
      </rPr>
      <t>장기화된</t>
    </r>
    <r>
      <rPr>
        <sz val="10"/>
        <rFont val="Carlito"/>
        <family val="2"/>
      </rPr>
      <t xml:space="preserve"> </t>
    </r>
    <r>
      <rPr>
        <sz val="10"/>
        <rFont val="Carlito"/>
      </rPr>
      <t>분쟁</t>
    </r>
  </si>
  <si>
    <r>
      <rPr>
        <sz val="10"/>
        <rFont val="Carlito"/>
      </rPr>
      <t>장기간의</t>
    </r>
    <r>
      <rPr>
        <sz val="10"/>
        <rFont val="Carlito"/>
        <family val="2"/>
      </rPr>
      <t xml:space="preserve"> </t>
    </r>
    <r>
      <rPr>
        <sz val="10"/>
        <rFont val="Carlito"/>
      </rPr>
      <t>건조기</t>
    </r>
  </si>
  <si>
    <r>
      <rPr>
        <sz val="10"/>
        <rFont val="Carlito"/>
      </rPr>
      <t>가능성</t>
    </r>
    <r>
      <rPr>
        <sz val="10"/>
        <rFont val="Carlito"/>
        <family val="2"/>
      </rPr>
      <t xml:space="preserve">, </t>
    </r>
    <r>
      <rPr>
        <sz val="10"/>
        <rFont val="Carlito"/>
      </rPr>
      <t>전망</t>
    </r>
  </si>
  <si>
    <r>
      <rPr>
        <sz val="10"/>
        <rFont val="Carlito"/>
      </rPr>
      <t>번영한</t>
    </r>
  </si>
  <si>
    <r>
      <rPr>
        <sz val="10"/>
        <rFont val="Carlito"/>
      </rPr>
      <t>가까움</t>
    </r>
    <r>
      <rPr>
        <sz val="10"/>
        <rFont val="Carlito"/>
        <family val="2"/>
      </rPr>
      <t xml:space="preserve">, </t>
    </r>
    <r>
      <rPr>
        <sz val="10"/>
        <rFont val="Carlito"/>
      </rPr>
      <t>근접성</t>
    </r>
  </si>
  <si>
    <r>
      <t>~</t>
    </r>
    <r>
      <rPr>
        <sz val="10"/>
        <rFont val="Carlito"/>
      </rPr>
      <t>의</t>
    </r>
    <r>
      <rPr>
        <sz val="10"/>
        <rFont val="Carlito"/>
        <family val="2"/>
      </rPr>
      <t xml:space="preserve"> </t>
    </r>
    <r>
      <rPr>
        <sz val="10"/>
        <rFont val="Carlito"/>
      </rPr>
      <t>자격을</t>
    </r>
    <r>
      <rPr>
        <sz val="10"/>
        <rFont val="Carlito"/>
        <family val="2"/>
      </rPr>
      <t xml:space="preserve"> </t>
    </r>
    <r>
      <rPr>
        <sz val="10"/>
        <rFont val="Carlito"/>
      </rPr>
      <t>갖추다</t>
    </r>
  </si>
  <si>
    <r>
      <rPr>
        <sz val="10"/>
        <rFont val="Carlito"/>
      </rPr>
      <t>추첨</t>
    </r>
    <r>
      <rPr>
        <sz val="10"/>
        <rFont val="Carlito"/>
        <family val="2"/>
      </rPr>
      <t xml:space="preserve"> </t>
    </r>
    <r>
      <rPr>
        <sz val="10"/>
        <rFont val="Carlito"/>
      </rPr>
      <t>행사</t>
    </r>
  </si>
  <si>
    <r>
      <rPr>
        <sz val="10"/>
        <rFont val="Carlito"/>
      </rPr>
      <t>반등하다</t>
    </r>
    <r>
      <rPr>
        <sz val="10"/>
        <rFont val="Carlito"/>
        <family val="2"/>
      </rPr>
      <t xml:space="preserve">; </t>
    </r>
    <r>
      <rPr>
        <sz val="10"/>
        <rFont val="Carlito"/>
      </rPr>
      <t>반등</t>
    </r>
  </si>
  <si>
    <r>
      <rPr>
        <sz val="10"/>
        <rFont val="Carlito"/>
      </rPr>
      <t>기성복의</t>
    </r>
  </si>
  <si>
    <r>
      <rPr>
        <sz val="10"/>
        <rFont val="Carlito"/>
      </rPr>
      <t>재건</t>
    </r>
    <r>
      <rPr>
        <sz val="10"/>
        <rFont val="Carlito"/>
        <family val="2"/>
      </rPr>
      <t xml:space="preserve"> </t>
    </r>
    <r>
      <rPr>
        <sz val="10"/>
        <rFont val="Carlito"/>
      </rPr>
      <t>노력</t>
    </r>
  </si>
  <si>
    <r>
      <rPr>
        <sz val="10"/>
        <rFont val="Carlito"/>
      </rPr>
      <t>상환하다</t>
    </r>
    <r>
      <rPr>
        <sz val="10"/>
        <rFont val="Carlito"/>
        <family val="2"/>
      </rPr>
      <t xml:space="preserve">, </t>
    </r>
    <r>
      <rPr>
        <sz val="10"/>
        <rFont val="Carlito"/>
      </rPr>
      <t>포인트를</t>
    </r>
    <r>
      <rPr>
        <sz val="10"/>
        <rFont val="Carlito"/>
        <family val="2"/>
      </rPr>
      <t xml:space="preserve"> </t>
    </r>
    <r>
      <rPr>
        <sz val="10"/>
        <rFont val="Carlito"/>
      </rPr>
      <t>쓰다</t>
    </r>
  </si>
  <si>
    <r>
      <rPr>
        <sz val="10"/>
        <rFont val="Carlito"/>
      </rPr>
      <t>명예</t>
    </r>
    <r>
      <rPr>
        <sz val="10"/>
        <rFont val="Carlito"/>
        <family val="2"/>
      </rPr>
      <t xml:space="preserve"> </t>
    </r>
    <r>
      <rPr>
        <sz val="10"/>
        <rFont val="Carlito"/>
      </rPr>
      <t>회복</t>
    </r>
    <r>
      <rPr>
        <sz val="10"/>
        <rFont val="Carlito"/>
        <family val="2"/>
      </rPr>
      <t xml:space="preserve">, </t>
    </r>
    <r>
      <rPr>
        <sz val="10"/>
        <rFont val="Carlito"/>
      </rPr>
      <t>구원</t>
    </r>
  </si>
  <si>
    <r>
      <rPr>
        <sz val="10"/>
        <rFont val="Carlito"/>
      </rPr>
      <t>숙고</t>
    </r>
    <r>
      <rPr>
        <sz val="10"/>
        <rFont val="Carlito"/>
        <family val="2"/>
      </rPr>
      <t xml:space="preserve">, </t>
    </r>
    <r>
      <rPr>
        <sz val="10"/>
        <rFont val="Carlito"/>
      </rPr>
      <t>성찰</t>
    </r>
  </si>
  <si>
    <r>
      <rPr>
        <sz val="10"/>
        <rFont val="Carlito"/>
      </rPr>
      <t>조절하는</t>
    </r>
  </si>
  <si>
    <r>
      <rPr>
        <sz val="10"/>
        <rFont val="Carlito"/>
      </rPr>
      <t>재활</t>
    </r>
    <r>
      <rPr>
        <sz val="10"/>
        <rFont val="Carlito"/>
        <family val="2"/>
      </rPr>
      <t xml:space="preserve">, </t>
    </r>
    <r>
      <rPr>
        <sz val="10"/>
        <rFont val="Carlito"/>
      </rPr>
      <t>복구</t>
    </r>
  </si>
  <si>
    <r>
      <rPr>
        <sz val="10"/>
        <rFont val="Carlito"/>
      </rPr>
      <t>통치</t>
    </r>
    <r>
      <rPr>
        <sz val="10"/>
        <rFont val="Carlito"/>
        <family val="2"/>
      </rPr>
      <t xml:space="preserve"> </t>
    </r>
    <r>
      <rPr>
        <sz val="10"/>
        <rFont val="Carlito"/>
      </rPr>
      <t>기간</t>
    </r>
  </si>
  <si>
    <r>
      <rPr>
        <sz val="10"/>
        <rFont val="Carlito"/>
      </rPr>
      <t>자신을</t>
    </r>
    <r>
      <rPr>
        <sz val="10"/>
        <rFont val="Carlito"/>
        <family val="2"/>
      </rPr>
      <t xml:space="preserve"> </t>
    </r>
    <r>
      <rPr>
        <sz val="10"/>
        <rFont val="Carlito"/>
      </rPr>
      <t>새롭게</t>
    </r>
    <r>
      <rPr>
        <sz val="10"/>
        <rFont val="Carlito"/>
        <family val="2"/>
      </rPr>
      <t xml:space="preserve"> </t>
    </r>
    <r>
      <rPr>
        <sz val="10"/>
        <rFont val="Carlito"/>
      </rPr>
      <t>바꾸다</t>
    </r>
  </si>
  <si>
    <r>
      <rPr>
        <sz val="10"/>
        <rFont val="Carlito"/>
      </rPr>
      <t>이주하다</t>
    </r>
    <r>
      <rPr>
        <sz val="10"/>
        <rFont val="Carlito"/>
        <family val="2"/>
      </rPr>
      <t xml:space="preserve">, </t>
    </r>
    <r>
      <rPr>
        <sz val="10"/>
        <rFont val="Carlito"/>
      </rPr>
      <t>이전하다</t>
    </r>
  </si>
  <si>
    <r>
      <rPr>
        <sz val="10"/>
        <rFont val="Carlito"/>
      </rPr>
      <t>잔재</t>
    </r>
    <r>
      <rPr>
        <sz val="10"/>
        <rFont val="Carlito"/>
        <family val="2"/>
      </rPr>
      <t xml:space="preserve">, </t>
    </r>
    <r>
      <rPr>
        <sz val="10"/>
        <rFont val="Carlito"/>
      </rPr>
      <t>남은</t>
    </r>
    <r>
      <rPr>
        <sz val="10"/>
        <rFont val="Carlito"/>
        <family val="2"/>
      </rPr>
      <t xml:space="preserve"> </t>
    </r>
    <r>
      <rPr>
        <sz val="10"/>
        <rFont val="Carlito"/>
      </rPr>
      <t>것</t>
    </r>
  </si>
  <si>
    <r>
      <rPr>
        <sz val="10"/>
        <rFont val="Carlito"/>
      </rPr>
      <t>명성</t>
    </r>
  </si>
  <si>
    <r>
      <rPr>
        <sz val="10"/>
        <rFont val="Carlito"/>
      </rPr>
      <t>유명한</t>
    </r>
  </si>
  <si>
    <r>
      <rPr>
        <sz val="10"/>
        <rFont val="Carlito"/>
      </rPr>
      <t>폐지하다</t>
    </r>
  </si>
  <si>
    <r>
      <rPr>
        <sz val="10"/>
        <rFont val="Carlito"/>
      </rPr>
      <t>평판</t>
    </r>
    <r>
      <rPr>
        <sz val="10"/>
        <rFont val="Carlito"/>
        <family val="2"/>
      </rPr>
      <t xml:space="preserve"> </t>
    </r>
    <r>
      <rPr>
        <sz val="10"/>
        <rFont val="Carlito"/>
      </rPr>
      <t>좋은</t>
    </r>
    <r>
      <rPr>
        <sz val="10"/>
        <rFont val="Carlito"/>
        <family val="2"/>
      </rPr>
      <t xml:space="preserve">, </t>
    </r>
    <r>
      <rPr>
        <sz val="10"/>
        <rFont val="Carlito"/>
      </rPr>
      <t>신뢰할</t>
    </r>
    <r>
      <rPr>
        <sz val="10"/>
        <rFont val="Carlito"/>
        <family val="2"/>
      </rPr>
      <t xml:space="preserve"> </t>
    </r>
    <r>
      <rPr>
        <sz val="10"/>
        <rFont val="Carlito"/>
      </rPr>
      <t>만한</t>
    </r>
  </si>
  <si>
    <r>
      <rPr>
        <sz val="10"/>
        <rFont val="Carlito"/>
      </rPr>
      <t>저수지</t>
    </r>
  </si>
  <si>
    <r>
      <rPr>
        <sz val="10"/>
        <rFont val="Carlito"/>
      </rPr>
      <t>퇴사</t>
    </r>
    <r>
      <rPr>
        <sz val="10"/>
        <rFont val="Carlito"/>
        <family val="2"/>
      </rPr>
      <t xml:space="preserve"> </t>
    </r>
    <r>
      <rPr>
        <sz val="10"/>
        <rFont val="Carlito"/>
      </rPr>
      <t>절차</t>
    </r>
  </si>
  <si>
    <r>
      <rPr>
        <sz val="10"/>
        <rFont val="Carlito"/>
      </rPr>
      <t>해결</t>
    </r>
    <r>
      <rPr>
        <sz val="10"/>
        <rFont val="Carlito"/>
        <family val="2"/>
      </rPr>
      <t xml:space="preserve">, </t>
    </r>
    <r>
      <rPr>
        <sz val="10"/>
        <rFont val="Carlito"/>
      </rPr>
      <t>결말</t>
    </r>
  </si>
  <si>
    <r>
      <rPr>
        <sz val="10"/>
        <rFont val="Carlito"/>
      </rPr>
      <t>호흡률</t>
    </r>
  </si>
  <si>
    <r>
      <rPr>
        <sz val="10"/>
        <rFont val="Carlito"/>
      </rPr>
      <t>혁명적인</t>
    </r>
    <r>
      <rPr>
        <sz val="10"/>
        <rFont val="Carlito"/>
        <family val="2"/>
      </rPr>
      <t xml:space="preserve">, </t>
    </r>
    <r>
      <rPr>
        <sz val="10"/>
        <rFont val="Carlito"/>
      </rPr>
      <t>획기적인</t>
    </r>
  </si>
  <si>
    <r>
      <rPr>
        <sz val="10"/>
        <rFont val="Carlito"/>
      </rPr>
      <t>험준한</t>
    </r>
    <r>
      <rPr>
        <sz val="10"/>
        <rFont val="Carlito"/>
        <family val="2"/>
      </rPr>
      <t xml:space="preserve"> </t>
    </r>
    <r>
      <rPr>
        <sz val="10"/>
        <rFont val="Carlito"/>
      </rPr>
      <t>산</t>
    </r>
  </si>
  <si>
    <r>
      <rPr>
        <sz val="10"/>
        <rFont val="Carlito"/>
      </rPr>
      <t>안전망</t>
    </r>
  </si>
  <si>
    <r>
      <rPr>
        <sz val="10"/>
        <rFont val="Carlito"/>
      </rPr>
      <t>세입자를</t>
    </r>
    <r>
      <rPr>
        <sz val="10"/>
        <rFont val="Carlito"/>
        <family val="2"/>
      </rPr>
      <t xml:space="preserve"> </t>
    </r>
    <r>
      <rPr>
        <sz val="10"/>
        <rFont val="Carlito"/>
      </rPr>
      <t>심사하다</t>
    </r>
  </si>
  <si>
    <r>
      <rPr>
        <sz val="10"/>
        <rFont val="Carlito"/>
      </rPr>
      <t>계절적</t>
    </r>
    <r>
      <rPr>
        <sz val="10"/>
        <rFont val="Carlito"/>
        <family val="2"/>
      </rPr>
      <t xml:space="preserve"> </t>
    </r>
    <r>
      <rPr>
        <sz val="10"/>
        <rFont val="Carlito"/>
      </rPr>
      <t>재생</t>
    </r>
  </si>
  <si>
    <r>
      <rPr>
        <sz val="10"/>
        <rFont val="Carlito"/>
      </rPr>
      <t>스며들다</t>
    </r>
  </si>
  <si>
    <r>
      <rPr>
        <sz val="10"/>
        <rFont val="Carlito"/>
      </rPr>
      <t>압수하다</t>
    </r>
    <r>
      <rPr>
        <sz val="10"/>
        <rFont val="Carlito"/>
        <family val="2"/>
      </rPr>
      <t xml:space="preserve">, </t>
    </r>
    <r>
      <rPr>
        <sz val="10"/>
        <rFont val="Carlito"/>
      </rPr>
      <t>장악하다</t>
    </r>
  </si>
  <si>
    <r>
      <rPr>
        <sz val="10"/>
        <rFont val="Carlito"/>
      </rPr>
      <t>자기</t>
    </r>
    <r>
      <rPr>
        <sz val="10"/>
        <rFont val="Carlito"/>
        <family val="2"/>
      </rPr>
      <t xml:space="preserve"> </t>
    </r>
    <r>
      <rPr>
        <sz val="10"/>
        <rFont val="Carlito"/>
      </rPr>
      <t>주도적인</t>
    </r>
  </si>
  <si>
    <r>
      <rPr>
        <sz val="10"/>
        <rFont val="Carlito"/>
      </rPr>
      <t>자기</t>
    </r>
    <r>
      <rPr>
        <sz val="10"/>
        <rFont val="Carlito"/>
        <family val="2"/>
      </rPr>
      <t xml:space="preserve"> </t>
    </r>
    <r>
      <rPr>
        <sz val="10"/>
        <rFont val="Carlito"/>
      </rPr>
      <t>의심</t>
    </r>
  </si>
  <si>
    <r>
      <rPr>
        <sz val="10"/>
        <rFont val="Carlito"/>
      </rPr>
      <t>송별회</t>
    </r>
    <r>
      <rPr>
        <sz val="10"/>
        <rFont val="Carlito"/>
        <family val="2"/>
      </rPr>
      <t xml:space="preserve">, </t>
    </r>
    <r>
      <rPr>
        <sz val="10"/>
        <rFont val="Carlito"/>
      </rPr>
      <t>작별</t>
    </r>
    <r>
      <rPr>
        <sz val="10"/>
        <rFont val="Carlito"/>
        <family val="2"/>
      </rPr>
      <t xml:space="preserve"> </t>
    </r>
    <r>
      <rPr>
        <sz val="10"/>
        <rFont val="Carlito"/>
      </rPr>
      <t>행사</t>
    </r>
  </si>
  <si>
    <r>
      <rPr>
        <sz val="10"/>
        <rFont val="Carlito"/>
      </rPr>
      <t>형량</t>
    </r>
    <r>
      <rPr>
        <sz val="10"/>
        <rFont val="Carlito"/>
        <family val="2"/>
      </rPr>
      <t xml:space="preserve"> </t>
    </r>
    <r>
      <rPr>
        <sz val="10"/>
        <rFont val="Carlito"/>
      </rPr>
      <t>선고</t>
    </r>
  </si>
  <si>
    <r>
      <rPr>
        <sz val="10"/>
        <rFont val="Carlito"/>
      </rPr>
      <t>퇴사</t>
    </r>
    <r>
      <rPr>
        <sz val="10"/>
        <rFont val="Carlito"/>
        <family val="2"/>
      </rPr>
      <t xml:space="preserve"> </t>
    </r>
    <r>
      <rPr>
        <sz val="10"/>
        <rFont val="Carlito"/>
      </rPr>
      <t>통지서</t>
    </r>
  </si>
  <si>
    <r>
      <rPr>
        <sz val="10"/>
        <rFont val="Carlito"/>
      </rPr>
      <t>차질</t>
    </r>
    <r>
      <rPr>
        <sz val="10"/>
        <rFont val="Carlito"/>
        <family val="2"/>
      </rPr>
      <t xml:space="preserve">, </t>
    </r>
    <r>
      <rPr>
        <sz val="10"/>
        <rFont val="Carlito"/>
      </rPr>
      <t>좌절</t>
    </r>
  </si>
  <si>
    <r>
      <rPr>
        <sz val="10"/>
        <rFont val="Carlito"/>
      </rPr>
      <t>주주</t>
    </r>
  </si>
  <si>
    <r>
      <rPr>
        <sz val="10"/>
        <rFont val="Carlito"/>
      </rPr>
      <t>책임을</t>
    </r>
    <r>
      <rPr>
        <sz val="10"/>
        <rFont val="Carlito"/>
        <family val="2"/>
      </rPr>
      <t xml:space="preserve"> </t>
    </r>
    <r>
      <rPr>
        <sz val="10"/>
        <rFont val="Carlito"/>
      </rPr>
      <t>다른</t>
    </r>
    <r>
      <rPr>
        <sz val="10"/>
        <rFont val="Carlito"/>
        <family val="2"/>
      </rPr>
      <t xml:space="preserve"> </t>
    </r>
    <r>
      <rPr>
        <sz val="10"/>
        <rFont val="Carlito"/>
      </rPr>
      <t>데로</t>
    </r>
    <r>
      <rPr>
        <sz val="10"/>
        <rFont val="Carlito"/>
        <family val="2"/>
      </rPr>
      <t xml:space="preserve"> </t>
    </r>
    <r>
      <rPr>
        <sz val="10"/>
        <rFont val="Carlito"/>
      </rPr>
      <t>돌리다</t>
    </r>
  </si>
  <si>
    <r>
      <rPr>
        <sz val="10"/>
        <rFont val="Carlito"/>
      </rPr>
      <t>부족분</t>
    </r>
  </si>
  <si>
    <r>
      <rPr>
        <sz val="10"/>
        <rFont val="Carlito"/>
      </rPr>
      <t>출전하지</t>
    </r>
    <r>
      <rPr>
        <sz val="10"/>
        <rFont val="Carlito"/>
        <family val="2"/>
      </rPr>
      <t xml:space="preserve"> </t>
    </r>
    <r>
      <rPr>
        <sz val="10"/>
        <rFont val="Carlito"/>
      </rPr>
      <t>못하게</t>
    </r>
    <r>
      <rPr>
        <sz val="10"/>
        <rFont val="Carlito"/>
        <family val="2"/>
      </rPr>
      <t xml:space="preserve"> </t>
    </r>
    <r>
      <rPr>
        <sz val="10"/>
        <rFont val="Carlito"/>
      </rPr>
      <t>된</t>
    </r>
  </si>
  <si>
    <r>
      <rPr>
        <sz val="10"/>
        <rFont val="Carlito"/>
      </rPr>
      <t>동시에</t>
    </r>
  </si>
  <si>
    <r>
      <rPr>
        <sz val="10"/>
        <rFont val="Carlito"/>
      </rPr>
      <t>진정성</t>
    </r>
  </si>
  <si>
    <r>
      <rPr>
        <sz val="10"/>
        <rFont val="Carlito"/>
      </rPr>
      <t>사회적</t>
    </r>
    <r>
      <rPr>
        <sz val="10"/>
        <rFont val="Carlito"/>
        <family val="2"/>
      </rPr>
      <t xml:space="preserve"> </t>
    </r>
    <r>
      <rPr>
        <sz val="10"/>
        <rFont val="Carlito"/>
      </rPr>
      <t>폐쇄권</t>
    </r>
    <r>
      <rPr>
        <sz val="10"/>
        <rFont val="Carlito"/>
        <family val="2"/>
      </rPr>
      <t xml:space="preserve">, </t>
    </r>
    <r>
      <rPr>
        <sz val="10"/>
        <rFont val="Carlito"/>
      </rPr>
      <t>비슷한</t>
    </r>
    <r>
      <rPr>
        <sz val="10"/>
        <rFont val="Carlito"/>
        <family val="2"/>
      </rPr>
      <t xml:space="preserve"> </t>
    </r>
    <r>
      <rPr>
        <sz val="10"/>
        <rFont val="Carlito"/>
      </rPr>
      <t>사람들의</t>
    </r>
    <r>
      <rPr>
        <sz val="10"/>
        <rFont val="Carlito"/>
        <family val="2"/>
      </rPr>
      <t xml:space="preserve"> </t>
    </r>
    <r>
      <rPr>
        <sz val="10"/>
        <rFont val="Carlito"/>
      </rPr>
      <t>울타리</t>
    </r>
  </si>
  <si>
    <r>
      <rPr>
        <sz val="10"/>
        <rFont val="Carlito"/>
      </rPr>
      <t>사회</t>
    </r>
    <r>
      <rPr>
        <sz val="10"/>
        <rFont val="Carlito"/>
        <family val="2"/>
      </rPr>
      <t xml:space="preserve"> </t>
    </r>
    <r>
      <rPr>
        <sz val="10"/>
        <rFont val="Carlito"/>
      </rPr>
      <t>규범</t>
    </r>
  </si>
  <si>
    <r>
      <rPr>
        <sz val="10"/>
        <rFont val="Carlito"/>
      </rPr>
      <t>태양</t>
    </r>
    <r>
      <rPr>
        <sz val="10"/>
        <rFont val="Carlito"/>
        <family val="2"/>
      </rPr>
      <t xml:space="preserve"> </t>
    </r>
    <r>
      <rPr>
        <sz val="10"/>
        <rFont val="Carlito"/>
      </rPr>
      <t>플레어</t>
    </r>
  </si>
  <si>
    <r>
      <rPr>
        <sz val="10"/>
        <rFont val="Carlito"/>
      </rPr>
      <t>정교한</t>
    </r>
    <r>
      <rPr>
        <sz val="10"/>
        <rFont val="Carlito"/>
        <family val="2"/>
      </rPr>
      <t xml:space="preserve">, </t>
    </r>
    <r>
      <rPr>
        <sz val="10"/>
        <rFont val="Carlito"/>
      </rPr>
      <t>고도화된</t>
    </r>
  </si>
  <si>
    <r>
      <t>~</t>
    </r>
    <r>
      <rPr>
        <sz val="10"/>
        <rFont val="Carlito"/>
      </rPr>
      <t>에</t>
    </r>
    <r>
      <rPr>
        <sz val="10"/>
        <rFont val="Carlito"/>
        <family val="2"/>
      </rPr>
      <t xml:space="preserve"> </t>
    </r>
    <r>
      <rPr>
        <sz val="10"/>
        <rFont val="Carlito"/>
      </rPr>
      <t>대해</t>
    </r>
    <r>
      <rPr>
        <sz val="10"/>
        <rFont val="Carlito"/>
        <family val="2"/>
      </rPr>
      <t xml:space="preserve"> </t>
    </r>
    <r>
      <rPr>
        <sz val="10"/>
        <rFont val="Carlito"/>
      </rPr>
      <t>경고하다</t>
    </r>
  </si>
  <si>
    <r>
      <rPr>
        <sz val="10"/>
        <rFont val="Carlito"/>
      </rPr>
      <t>산란하다</t>
    </r>
  </si>
  <si>
    <r>
      <rPr>
        <sz val="10"/>
        <rFont val="Carlito"/>
      </rPr>
      <t>의견을</t>
    </r>
    <r>
      <rPr>
        <sz val="10"/>
        <rFont val="Carlito"/>
        <family val="2"/>
      </rPr>
      <t xml:space="preserve"> </t>
    </r>
    <r>
      <rPr>
        <sz val="10"/>
        <rFont val="Carlito"/>
      </rPr>
      <t>내다</t>
    </r>
    <r>
      <rPr>
        <sz val="10"/>
        <rFont val="Carlito"/>
        <family val="2"/>
      </rPr>
      <t xml:space="preserve">, </t>
    </r>
    <r>
      <rPr>
        <sz val="10"/>
        <rFont val="Carlito"/>
      </rPr>
      <t>말하고</t>
    </r>
    <r>
      <rPr>
        <sz val="10"/>
        <rFont val="Carlito"/>
        <family val="2"/>
      </rPr>
      <t xml:space="preserve"> </t>
    </r>
    <r>
      <rPr>
        <sz val="10"/>
        <rFont val="Carlito"/>
      </rPr>
      <t>나서다</t>
    </r>
  </si>
  <si>
    <r>
      <rPr>
        <sz val="10"/>
        <rFont val="Carlito"/>
      </rPr>
      <t>비전을</t>
    </r>
    <r>
      <rPr>
        <sz val="10"/>
        <rFont val="Carlito"/>
        <family val="2"/>
      </rPr>
      <t xml:space="preserve"> </t>
    </r>
    <r>
      <rPr>
        <sz val="10"/>
        <rFont val="Carlito"/>
      </rPr>
      <t>명확히</t>
    </r>
    <r>
      <rPr>
        <sz val="10"/>
        <rFont val="Carlito"/>
        <family val="2"/>
      </rPr>
      <t xml:space="preserve"> </t>
    </r>
    <r>
      <rPr>
        <sz val="10"/>
        <rFont val="Carlito"/>
      </rPr>
      <t>설명하다</t>
    </r>
  </si>
  <si>
    <r>
      <rPr>
        <sz val="10"/>
        <rFont val="Carlito"/>
      </rPr>
      <t>떨어져</t>
    </r>
    <r>
      <rPr>
        <sz val="10"/>
        <rFont val="Carlito"/>
        <family val="2"/>
      </rPr>
      <t xml:space="preserve"> </t>
    </r>
    <r>
      <rPr>
        <sz val="10"/>
        <rFont val="Carlito"/>
      </rPr>
      <t>시간을</t>
    </r>
    <r>
      <rPr>
        <sz val="10"/>
        <rFont val="Carlito"/>
        <family val="2"/>
      </rPr>
      <t xml:space="preserve"> </t>
    </r>
    <r>
      <rPr>
        <sz val="10"/>
        <rFont val="Carlito"/>
      </rPr>
      <t>보내다</t>
    </r>
  </si>
  <si>
    <r>
      <rPr>
        <sz val="10"/>
        <rFont val="Carlito"/>
      </rPr>
      <t>변화를</t>
    </r>
    <r>
      <rPr>
        <sz val="10"/>
        <rFont val="Carlito"/>
        <family val="2"/>
      </rPr>
      <t xml:space="preserve"> </t>
    </r>
    <r>
      <rPr>
        <sz val="10"/>
        <rFont val="Carlito"/>
      </rPr>
      <t>촉진하다</t>
    </r>
  </si>
  <si>
    <r>
      <rPr>
        <sz val="10"/>
        <rFont val="Carlito"/>
      </rPr>
      <t>결정을</t>
    </r>
    <r>
      <rPr>
        <sz val="10"/>
        <rFont val="Carlito"/>
        <family val="2"/>
      </rPr>
      <t xml:space="preserve"> </t>
    </r>
    <r>
      <rPr>
        <sz val="10"/>
        <rFont val="Carlito"/>
      </rPr>
      <t>고수하다</t>
    </r>
  </si>
  <si>
    <r>
      <rPr>
        <sz val="10"/>
        <rFont val="Carlito"/>
      </rPr>
      <t>남들보다</t>
    </r>
    <r>
      <rPr>
        <sz val="10"/>
        <rFont val="Carlito"/>
        <family val="2"/>
      </rPr>
      <t xml:space="preserve"> </t>
    </r>
    <r>
      <rPr>
        <sz val="10"/>
        <rFont val="Carlito"/>
      </rPr>
      <t>돋보이다</t>
    </r>
  </si>
  <si>
    <r>
      <rPr>
        <sz val="10"/>
        <rFont val="Carlito"/>
      </rPr>
      <t>일반적인</t>
    </r>
    <r>
      <rPr>
        <sz val="10"/>
        <rFont val="Carlito"/>
        <family val="2"/>
      </rPr>
      <t xml:space="preserve"> </t>
    </r>
    <r>
      <rPr>
        <sz val="10"/>
        <rFont val="Carlito"/>
      </rPr>
      <t>것</t>
    </r>
    <r>
      <rPr>
        <sz val="10"/>
        <rFont val="Carlito"/>
        <family val="2"/>
      </rPr>
      <t xml:space="preserve">, </t>
    </r>
    <r>
      <rPr>
        <sz val="10"/>
        <rFont val="Carlito"/>
      </rPr>
      <t>흔한</t>
    </r>
    <r>
      <rPr>
        <sz val="10"/>
        <rFont val="Carlito"/>
        <family val="2"/>
      </rPr>
      <t xml:space="preserve"> </t>
    </r>
    <r>
      <rPr>
        <sz val="10"/>
        <rFont val="Carlito"/>
      </rPr>
      <t>유형</t>
    </r>
  </si>
  <si>
    <r>
      <rPr>
        <sz val="10"/>
        <rFont val="Carlito"/>
      </rPr>
      <t>강경한</t>
    </r>
    <r>
      <rPr>
        <sz val="10"/>
        <rFont val="Carlito"/>
        <family val="2"/>
      </rPr>
      <t xml:space="preserve"> </t>
    </r>
    <r>
      <rPr>
        <sz val="10"/>
        <rFont val="Carlito"/>
      </rPr>
      <t>반대</t>
    </r>
  </si>
  <si>
    <r>
      <rPr>
        <sz val="10"/>
        <rFont val="Carlito"/>
      </rPr>
      <t>간신히</t>
    </r>
    <r>
      <rPr>
        <sz val="10"/>
        <rFont val="Carlito"/>
        <family val="2"/>
      </rPr>
      <t xml:space="preserve"> </t>
    </r>
    <r>
      <rPr>
        <sz val="10"/>
        <rFont val="Carlito"/>
      </rPr>
      <t>버티다</t>
    </r>
    <r>
      <rPr>
        <sz val="10"/>
        <rFont val="Carlito"/>
        <family val="2"/>
      </rPr>
      <t xml:space="preserve">, </t>
    </r>
    <r>
      <rPr>
        <sz val="10"/>
        <rFont val="Carlito"/>
      </rPr>
      <t>파산을</t>
    </r>
    <r>
      <rPr>
        <sz val="10"/>
        <rFont val="Carlito"/>
        <family val="2"/>
      </rPr>
      <t xml:space="preserve"> </t>
    </r>
    <r>
      <rPr>
        <sz val="10"/>
        <rFont val="Carlito"/>
      </rPr>
      <t>면하다</t>
    </r>
  </si>
  <si>
    <r>
      <rPr>
        <sz val="10"/>
        <rFont val="Carlito"/>
      </rPr>
      <t>간단한</t>
    </r>
    <r>
      <rPr>
        <sz val="10"/>
        <rFont val="Carlito"/>
        <family val="2"/>
      </rPr>
      <t xml:space="preserve">, </t>
    </r>
    <r>
      <rPr>
        <sz val="10"/>
        <rFont val="Carlito"/>
      </rPr>
      <t>솔직한</t>
    </r>
  </si>
  <si>
    <r>
      <rPr>
        <sz val="10"/>
        <rFont val="Carlito"/>
      </rPr>
      <t>하청업체</t>
    </r>
    <r>
      <rPr>
        <sz val="10"/>
        <rFont val="Carlito"/>
        <family val="2"/>
      </rPr>
      <t xml:space="preserve">, </t>
    </r>
    <r>
      <rPr>
        <sz val="10"/>
        <rFont val="Carlito"/>
      </rPr>
      <t>하도급업자</t>
    </r>
  </si>
  <si>
    <r>
      <rPr>
        <sz val="10"/>
        <rFont val="Carlito"/>
      </rPr>
      <t>그</t>
    </r>
    <r>
      <rPr>
        <sz val="10"/>
        <rFont val="Carlito"/>
        <family val="2"/>
      </rPr>
      <t xml:space="preserve"> </t>
    </r>
    <r>
      <rPr>
        <sz val="10"/>
        <rFont val="Carlito"/>
      </rPr>
      <t>후의</t>
    </r>
    <r>
      <rPr>
        <sz val="10"/>
        <rFont val="Carlito"/>
        <family val="2"/>
      </rPr>
      <t xml:space="preserve">, </t>
    </r>
    <r>
      <rPr>
        <sz val="10"/>
        <rFont val="Carlito"/>
      </rPr>
      <t>이후의</t>
    </r>
  </si>
  <si>
    <r>
      <rPr>
        <sz val="10"/>
        <rFont val="Carlito"/>
      </rPr>
      <t>보조금</t>
    </r>
    <r>
      <rPr>
        <sz val="10"/>
        <rFont val="Carlito"/>
        <family val="2"/>
      </rPr>
      <t xml:space="preserve"> </t>
    </r>
    <r>
      <rPr>
        <sz val="10"/>
        <rFont val="Carlito"/>
      </rPr>
      <t>협약</t>
    </r>
  </si>
  <si>
    <r>
      <rPr>
        <sz val="10"/>
        <rFont val="Carlito"/>
      </rPr>
      <t>흡입식의</t>
    </r>
  </si>
  <si>
    <r>
      <rPr>
        <sz val="10"/>
        <rFont val="Carlito"/>
      </rPr>
      <t>초대형의</t>
    </r>
  </si>
  <si>
    <r>
      <rPr>
        <sz val="10"/>
        <rFont val="Carlito"/>
      </rPr>
      <t>추가</t>
    </r>
    <r>
      <rPr>
        <sz val="10"/>
        <rFont val="Carlito"/>
        <family val="2"/>
      </rPr>
      <t xml:space="preserve"> </t>
    </r>
    <r>
      <rPr>
        <sz val="10"/>
        <rFont val="Carlito"/>
      </rPr>
      <t>요금</t>
    </r>
  </si>
  <si>
    <r>
      <rPr>
        <sz val="10"/>
        <rFont val="Carlito"/>
      </rPr>
      <t>확실한</t>
    </r>
    <r>
      <rPr>
        <sz val="10"/>
        <rFont val="Carlito"/>
        <family val="2"/>
      </rPr>
      <t xml:space="preserve"> </t>
    </r>
    <r>
      <rPr>
        <sz val="10"/>
        <rFont val="Carlito"/>
      </rPr>
      <t>성공</t>
    </r>
  </si>
  <si>
    <r>
      <rPr>
        <sz val="10"/>
        <rFont val="Carlito"/>
      </rPr>
      <t>흑자</t>
    </r>
    <r>
      <rPr>
        <sz val="10"/>
        <rFont val="Carlito"/>
        <family val="2"/>
      </rPr>
      <t xml:space="preserve">, </t>
    </r>
    <r>
      <rPr>
        <sz val="10"/>
        <rFont val="Carlito"/>
      </rPr>
      <t>잉여</t>
    </r>
  </si>
  <si>
    <r>
      <t>~</t>
    </r>
    <r>
      <rPr>
        <sz val="10"/>
        <rFont val="Carlito"/>
      </rPr>
      <t>에</t>
    </r>
    <r>
      <rPr>
        <sz val="10"/>
        <rFont val="Carlito"/>
        <family val="2"/>
      </rPr>
      <t xml:space="preserve"> </t>
    </r>
    <r>
      <rPr>
        <sz val="10"/>
        <rFont val="Carlito"/>
      </rPr>
      <t>취약한</t>
    </r>
  </si>
  <si>
    <r>
      <t>A</t>
    </r>
    <r>
      <rPr>
        <sz val="10"/>
        <rFont val="Carlito"/>
      </rPr>
      <t>를</t>
    </r>
    <r>
      <rPr>
        <sz val="10"/>
        <rFont val="Carlito"/>
        <family val="2"/>
      </rPr>
      <t xml:space="preserve"> </t>
    </r>
    <r>
      <rPr>
        <sz val="10"/>
        <rFont val="Carlito"/>
      </rPr>
      <t>당연하게</t>
    </r>
    <r>
      <rPr>
        <sz val="10"/>
        <rFont val="Carlito"/>
        <family val="2"/>
      </rPr>
      <t xml:space="preserve"> </t>
    </r>
    <r>
      <rPr>
        <sz val="10"/>
        <rFont val="Carlito"/>
      </rPr>
      <t>여기다</t>
    </r>
  </si>
  <si>
    <r>
      <rPr>
        <sz val="10"/>
        <rFont val="Carlito"/>
      </rPr>
      <t>도전에</t>
    </r>
    <r>
      <rPr>
        <sz val="10"/>
        <rFont val="Carlito"/>
        <family val="2"/>
      </rPr>
      <t xml:space="preserve"> </t>
    </r>
    <r>
      <rPr>
        <sz val="10"/>
        <rFont val="Carlito"/>
      </rPr>
      <t>착수하다</t>
    </r>
  </si>
  <si>
    <r>
      <rPr>
        <sz val="10"/>
        <rFont val="Carlito"/>
      </rPr>
      <t>제안을</t>
    </r>
    <r>
      <rPr>
        <sz val="10"/>
        <rFont val="Carlito"/>
        <family val="2"/>
      </rPr>
      <t xml:space="preserve"> </t>
    </r>
    <r>
      <rPr>
        <sz val="10"/>
        <rFont val="Carlito"/>
      </rPr>
      <t>받아들이다</t>
    </r>
  </si>
  <si>
    <r>
      <rPr>
        <sz val="10"/>
        <rFont val="Carlito"/>
      </rPr>
      <t>지루한</t>
    </r>
    <r>
      <rPr>
        <sz val="10"/>
        <rFont val="Carlito"/>
        <family val="2"/>
      </rPr>
      <t xml:space="preserve">, </t>
    </r>
    <r>
      <rPr>
        <sz val="10"/>
        <rFont val="Carlito"/>
      </rPr>
      <t>싫증나는</t>
    </r>
  </si>
  <si>
    <r>
      <rPr>
        <sz val="10"/>
        <rFont val="Carlito"/>
      </rPr>
      <t>해지</t>
    </r>
    <r>
      <rPr>
        <sz val="10"/>
        <rFont val="Carlito"/>
        <family val="2"/>
      </rPr>
      <t xml:space="preserve"> </t>
    </r>
    <r>
      <rPr>
        <sz val="10"/>
        <rFont val="Carlito"/>
      </rPr>
      <t>수수료</t>
    </r>
  </si>
  <si>
    <r>
      <t>~</t>
    </r>
    <r>
      <rPr>
        <sz val="10"/>
        <rFont val="Carlito"/>
      </rPr>
      <t>의</t>
    </r>
    <r>
      <rPr>
        <sz val="10"/>
        <rFont val="Carlito"/>
        <family val="2"/>
      </rPr>
      <t xml:space="preserve"> </t>
    </r>
    <r>
      <rPr>
        <sz val="10"/>
        <rFont val="Carlito"/>
      </rPr>
      <t>증거</t>
    </r>
    <r>
      <rPr>
        <sz val="10"/>
        <rFont val="Carlito"/>
        <family val="2"/>
      </rPr>
      <t xml:space="preserve">, </t>
    </r>
    <r>
      <rPr>
        <sz val="10"/>
        <rFont val="Carlito"/>
      </rPr>
      <t>증명</t>
    </r>
  </si>
  <si>
    <r>
      <rPr>
        <sz val="10"/>
        <rFont val="Carlito"/>
      </rPr>
      <t>큰</t>
    </r>
    <r>
      <rPr>
        <sz val="10"/>
        <rFont val="Carlito"/>
        <family val="2"/>
      </rPr>
      <t xml:space="preserve"> </t>
    </r>
    <r>
      <rPr>
        <sz val="10"/>
        <rFont val="Carlito"/>
      </rPr>
      <t>그림</t>
    </r>
    <r>
      <rPr>
        <sz val="10"/>
        <rFont val="Carlito"/>
        <family val="2"/>
      </rPr>
      <t xml:space="preserve">, </t>
    </r>
    <r>
      <rPr>
        <sz val="10"/>
        <rFont val="Carlito"/>
      </rPr>
      <t>전체</t>
    </r>
    <r>
      <rPr>
        <sz val="10"/>
        <rFont val="Carlito"/>
        <family val="2"/>
      </rPr>
      <t xml:space="preserve"> </t>
    </r>
    <r>
      <rPr>
        <sz val="10"/>
        <rFont val="Carlito"/>
      </rPr>
      <t>상황</t>
    </r>
  </si>
  <si>
    <r>
      <rPr>
        <sz val="10"/>
        <rFont val="Carlito"/>
      </rPr>
      <t>기성</t>
    </r>
    <r>
      <rPr>
        <sz val="10"/>
        <rFont val="Carlito"/>
        <family val="2"/>
      </rPr>
      <t xml:space="preserve"> </t>
    </r>
    <r>
      <rPr>
        <sz val="10"/>
        <rFont val="Carlito"/>
      </rPr>
      <t>권력층</t>
    </r>
    <r>
      <rPr>
        <sz val="10"/>
        <rFont val="Carlito"/>
        <family val="2"/>
      </rPr>
      <t xml:space="preserve">, </t>
    </r>
    <r>
      <rPr>
        <sz val="10"/>
        <rFont val="Carlito"/>
      </rPr>
      <t>제도권</t>
    </r>
  </si>
  <si>
    <r>
      <rPr>
        <sz val="10"/>
        <rFont val="Carlito"/>
      </rPr>
      <t>논문</t>
    </r>
    <r>
      <rPr>
        <sz val="10"/>
        <rFont val="Carlito"/>
        <family val="2"/>
      </rPr>
      <t xml:space="preserve"> </t>
    </r>
    <r>
      <rPr>
        <sz val="10"/>
        <rFont val="Carlito"/>
      </rPr>
      <t>심사</t>
    </r>
    <r>
      <rPr>
        <sz val="10"/>
        <rFont val="Carlito"/>
        <family val="2"/>
      </rPr>
      <t xml:space="preserve">, </t>
    </r>
    <r>
      <rPr>
        <sz val="10"/>
        <rFont val="Carlito"/>
      </rPr>
      <t>논문</t>
    </r>
    <r>
      <rPr>
        <sz val="10"/>
        <rFont val="Carlito"/>
        <family val="2"/>
      </rPr>
      <t xml:space="preserve"> </t>
    </r>
    <r>
      <rPr>
        <sz val="10"/>
        <rFont val="Carlito"/>
      </rPr>
      <t>방어</t>
    </r>
  </si>
  <si>
    <r>
      <rPr>
        <sz val="10"/>
        <rFont val="Carlito"/>
      </rPr>
      <t>사려</t>
    </r>
    <r>
      <rPr>
        <sz val="10"/>
        <rFont val="Carlito"/>
        <family val="2"/>
      </rPr>
      <t xml:space="preserve"> </t>
    </r>
    <r>
      <rPr>
        <sz val="10"/>
        <rFont val="Carlito"/>
      </rPr>
      <t>깊게</t>
    </r>
  </si>
  <si>
    <r>
      <rPr>
        <sz val="10"/>
        <rFont val="Carlito"/>
      </rPr>
      <t>제보하다</t>
    </r>
    <r>
      <rPr>
        <sz val="10"/>
        <rFont val="Carlito"/>
        <family val="2"/>
      </rPr>
      <t xml:space="preserve">, </t>
    </r>
    <r>
      <rPr>
        <sz val="10"/>
        <rFont val="Carlito"/>
      </rPr>
      <t>귀띔하다</t>
    </r>
  </si>
  <si>
    <r>
      <rPr>
        <sz val="10"/>
        <rFont val="Carlito"/>
      </rPr>
      <t>최고급의</t>
    </r>
  </si>
  <si>
    <r>
      <rPr>
        <sz val="10"/>
        <rFont val="Carlito"/>
      </rPr>
      <t>유독</t>
    </r>
    <r>
      <rPr>
        <sz val="10"/>
        <rFont val="Carlito"/>
        <family val="2"/>
      </rPr>
      <t xml:space="preserve"> </t>
    </r>
    <r>
      <rPr>
        <sz val="10"/>
        <rFont val="Carlito"/>
      </rPr>
      <t>가스</t>
    </r>
  </si>
  <si>
    <r>
      <rPr>
        <sz val="10"/>
        <rFont val="Carlito"/>
      </rPr>
      <t>무역</t>
    </r>
    <r>
      <rPr>
        <sz val="10"/>
        <rFont val="Carlito"/>
        <family val="2"/>
      </rPr>
      <t xml:space="preserve"> </t>
    </r>
    <r>
      <rPr>
        <sz val="10"/>
        <rFont val="Carlito"/>
      </rPr>
      <t>적자</t>
    </r>
  </si>
  <si>
    <r>
      <rPr>
        <sz val="10"/>
        <rFont val="Carlito"/>
      </rPr>
      <t>무역</t>
    </r>
    <r>
      <rPr>
        <sz val="10"/>
        <rFont val="Carlito"/>
        <family val="2"/>
      </rPr>
      <t xml:space="preserve"> </t>
    </r>
    <r>
      <rPr>
        <sz val="10"/>
        <rFont val="Carlito"/>
      </rPr>
      <t>불균형</t>
    </r>
  </si>
  <si>
    <r>
      <rPr>
        <sz val="10"/>
        <rFont val="Carlito"/>
      </rPr>
      <t>상표</t>
    </r>
    <r>
      <rPr>
        <sz val="10"/>
        <rFont val="Carlito"/>
        <family val="2"/>
      </rPr>
      <t xml:space="preserve"> </t>
    </r>
    <r>
      <rPr>
        <sz val="10"/>
        <rFont val="Carlito"/>
      </rPr>
      <t>등록하다</t>
    </r>
    <r>
      <rPr>
        <sz val="10"/>
        <rFont val="Carlito"/>
        <family val="2"/>
      </rPr>
      <t xml:space="preserve">; </t>
    </r>
    <r>
      <rPr>
        <sz val="10"/>
        <rFont val="Carlito"/>
      </rPr>
      <t>상표</t>
    </r>
  </si>
  <si>
    <r>
      <rPr>
        <sz val="10"/>
        <rFont val="Carlito"/>
      </rPr>
      <t>비극적</t>
    </r>
    <r>
      <rPr>
        <sz val="10"/>
        <rFont val="Carlito"/>
        <family val="2"/>
      </rPr>
      <t xml:space="preserve"> </t>
    </r>
    <r>
      <rPr>
        <sz val="10"/>
        <rFont val="Carlito"/>
      </rPr>
      <t>결말</t>
    </r>
  </si>
  <si>
    <r>
      <rPr>
        <sz val="10"/>
        <rFont val="Carlito"/>
      </rPr>
      <t>투명성</t>
    </r>
  </si>
  <si>
    <r>
      <rPr>
        <sz val="10"/>
        <rFont val="Carlito"/>
      </rPr>
      <t>이식</t>
    </r>
  </si>
  <si>
    <r>
      <rPr>
        <sz val="10"/>
        <rFont val="Carlito"/>
      </rPr>
      <t>결국</t>
    </r>
    <r>
      <rPr>
        <sz val="10"/>
        <rFont val="Carlito"/>
        <family val="2"/>
      </rPr>
      <t xml:space="preserve">, </t>
    </r>
    <r>
      <rPr>
        <sz val="10"/>
        <rFont val="Carlito"/>
      </rPr>
      <t>최종적으로</t>
    </r>
  </si>
  <si>
    <r>
      <rPr>
        <sz val="10"/>
        <rFont val="Carlito"/>
      </rPr>
      <t>반박되지</t>
    </r>
    <r>
      <rPr>
        <sz val="10"/>
        <rFont val="Carlito"/>
        <family val="2"/>
      </rPr>
      <t xml:space="preserve"> </t>
    </r>
    <r>
      <rPr>
        <sz val="10"/>
        <rFont val="Carlito"/>
      </rPr>
      <t>않은</t>
    </r>
  </si>
  <si>
    <r>
      <rPr>
        <sz val="10"/>
        <rFont val="Carlito"/>
      </rPr>
      <t>실적이</t>
    </r>
    <r>
      <rPr>
        <sz val="10"/>
        <rFont val="Carlito"/>
        <family val="2"/>
      </rPr>
      <t xml:space="preserve"> </t>
    </r>
    <r>
      <rPr>
        <sz val="10"/>
        <rFont val="Carlito"/>
      </rPr>
      <t>저조한</t>
    </r>
  </si>
  <si>
    <r>
      <rPr>
        <sz val="10"/>
        <rFont val="Carlito"/>
      </rPr>
      <t>의도치</t>
    </r>
    <r>
      <rPr>
        <sz val="10"/>
        <rFont val="Carlito"/>
        <family val="2"/>
      </rPr>
      <t xml:space="preserve"> </t>
    </r>
    <r>
      <rPr>
        <sz val="10"/>
        <rFont val="Carlito"/>
      </rPr>
      <t>않은</t>
    </r>
    <r>
      <rPr>
        <sz val="10"/>
        <rFont val="Carlito"/>
        <family val="2"/>
      </rPr>
      <t xml:space="preserve"> </t>
    </r>
    <r>
      <rPr>
        <sz val="10"/>
        <rFont val="Carlito"/>
      </rPr>
      <t>결과</t>
    </r>
  </si>
  <si>
    <r>
      <rPr>
        <sz val="10"/>
        <rFont val="Carlito"/>
      </rPr>
      <t>구할</t>
    </r>
    <r>
      <rPr>
        <sz val="10"/>
        <rFont val="Carlito"/>
        <family val="2"/>
      </rPr>
      <t xml:space="preserve"> </t>
    </r>
    <r>
      <rPr>
        <sz val="10"/>
        <rFont val="Carlito"/>
      </rPr>
      <t>수</t>
    </r>
    <r>
      <rPr>
        <sz val="10"/>
        <rFont val="Carlito"/>
        <family val="2"/>
      </rPr>
      <t xml:space="preserve"> </t>
    </r>
    <r>
      <rPr>
        <sz val="10"/>
        <rFont val="Carlito"/>
      </rPr>
      <t>없는</t>
    </r>
  </si>
  <si>
    <r>
      <rPr>
        <sz val="10"/>
        <rFont val="Carlito"/>
      </rPr>
      <t>전례</t>
    </r>
    <r>
      <rPr>
        <sz val="10"/>
        <rFont val="Carlito"/>
        <family val="2"/>
      </rPr>
      <t xml:space="preserve"> </t>
    </r>
    <r>
      <rPr>
        <sz val="10"/>
        <rFont val="Carlito"/>
      </rPr>
      <t>없는</t>
    </r>
  </si>
  <si>
    <r>
      <rPr>
        <sz val="10"/>
        <rFont val="Carlito"/>
      </rPr>
      <t>제한</t>
    </r>
    <r>
      <rPr>
        <sz val="10"/>
        <rFont val="Carlito"/>
        <family val="2"/>
      </rPr>
      <t xml:space="preserve"> </t>
    </r>
    <r>
      <rPr>
        <sz val="10"/>
        <rFont val="Carlito"/>
      </rPr>
      <t>없는</t>
    </r>
  </si>
  <si>
    <r>
      <rPr>
        <sz val="10"/>
        <rFont val="Carlito"/>
      </rPr>
      <t>구조화되지</t>
    </r>
    <r>
      <rPr>
        <sz val="10"/>
        <rFont val="Carlito"/>
        <family val="2"/>
      </rPr>
      <t xml:space="preserve"> </t>
    </r>
    <r>
      <rPr>
        <sz val="10"/>
        <rFont val="Carlito"/>
      </rPr>
      <t>않은</t>
    </r>
  </si>
  <si>
    <r>
      <rPr>
        <sz val="10"/>
        <rFont val="Carlito"/>
      </rPr>
      <t>지속</t>
    </r>
    <r>
      <rPr>
        <sz val="10"/>
        <rFont val="Carlito"/>
        <family val="2"/>
      </rPr>
      <t xml:space="preserve"> </t>
    </r>
    <r>
      <rPr>
        <sz val="10"/>
        <rFont val="Carlito"/>
      </rPr>
      <t>불가능한</t>
    </r>
  </si>
  <si>
    <r>
      <rPr>
        <sz val="10"/>
        <rFont val="Carlito"/>
      </rPr>
      <t>정상</t>
    </r>
    <r>
      <rPr>
        <sz val="10"/>
        <rFont val="Carlito"/>
        <family val="2"/>
      </rPr>
      <t xml:space="preserve"> </t>
    </r>
    <r>
      <rPr>
        <sz val="10"/>
        <rFont val="Carlito"/>
      </rPr>
      <t>운영</t>
    </r>
    <r>
      <rPr>
        <sz val="10"/>
        <rFont val="Carlito"/>
        <family val="2"/>
      </rPr>
      <t xml:space="preserve"> </t>
    </r>
    <r>
      <rPr>
        <sz val="10"/>
        <rFont val="Carlito"/>
      </rPr>
      <t>중인</t>
    </r>
  </si>
  <si>
    <r>
      <rPr>
        <sz val="10"/>
        <rFont val="Carlito"/>
      </rPr>
      <t>양육</t>
    </r>
    <r>
      <rPr>
        <sz val="10"/>
        <rFont val="Carlito"/>
        <family val="2"/>
      </rPr>
      <t xml:space="preserve"> </t>
    </r>
    <r>
      <rPr>
        <sz val="10"/>
        <rFont val="Carlito"/>
      </rPr>
      <t>환경</t>
    </r>
    <r>
      <rPr>
        <sz val="10"/>
        <rFont val="Carlito"/>
        <family val="2"/>
      </rPr>
      <t xml:space="preserve">, </t>
    </r>
    <r>
      <rPr>
        <sz val="10"/>
        <rFont val="Carlito"/>
      </rPr>
      <t>성장</t>
    </r>
    <r>
      <rPr>
        <sz val="10"/>
        <rFont val="Carlito"/>
        <family val="2"/>
      </rPr>
      <t xml:space="preserve"> </t>
    </r>
    <r>
      <rPr>
        <sz val="10"/>
        <rFont val="Carlito"/>
      </rPr>
      <t>배경</t>
    </r>
  </si>
  <si>
    <r>
      <rPr>
        <sz val="10"/>
        <rFont val="Carlito"/>
      </rPr>
      <t>기준을</t>
    </r>
    <r>
      <rPr>
        <sz val="10"/>
        <rFont val="Carlito"/>
        <family val="2"/>
      </rPr>
      <t xml:space="preserve"> </t>
    </r>
    <r>
      <rPr>
        <sz val="10"/>
        <rFont val="Carlito"/>
      </rPr>
      <t>지키다</t>
    </r>
  </si>
  <si>
    <r>
      <rPr>
        <sz val="10"/>
        <rFont val="Carlito"/>
      </rPr>
      <t>독이</t>
    </r>
    <r>
      <rPr>
        <sz val="10"/>
        <rFont val="Carlito"/>
        <family val="2"/>
      </rPr>
      <t xml:space="preserve"> </t>
    </r>
    <r>
      <rPr>
        <sz val="10"/>
        <rFont val="Carlito"/>
      </rPr>
      <t>있는</t>
    </r>
  </si>
  <si>
    <r>
      <rPr>
        <sz val="10"/>
        <rFont val="Carlito"/>
      </rPr>
      <t>취약한</t>
    </r>
  </si>
  <si>
    <r>
      <rPr>
        <sz val="10"/>
        <rFont val="Carlito"/>
      </rPr>
      <t>폐기물</t>
    </r>
    <r>
      <rPr>
        <sz val="10"/>
        <rFont val="Carlito"/>
        <family val="2"/>
      </rPr>
      <t xml:space="preserve"> </t>
    </r>
    <r>
      <rPr>
        <sz val="10"/>
        <rFont val="Carlito"/>
      </rPr>
      <t>처리</t>
    </r>
  </si>
  <si>
    <r>
      <rPr>
        <sz val="10"/>
        <rFont val="Carlito"/>
      </rPr>
      <t>마모</t>
    </r>
    <r>
      <rPr>
        <sz val="10"/>
        <rFont val="Carlito"/>
        <family val="2"/>
      </rPr>
      <t xml:space="preserve">, </t>
    </r>
    <r>
      <rPr>
        <sz val="10"/>
        <rFont val="Carlito"/>
      </rPr>
      <t>손상</t>
    </r>
  </si>
  <si>
    <r>
      <rPr>
        <sz val="10"/>
        <rFont val="Carlito"/>
      </rPr>
      <t>닳다</t>
    </r>
    <r>
      <rPr>
        <sz val="10"/>
        <rFont val="Carlito"/>
        <family val="2"/>
      </rPr>
      <t xml:space="preserve">, </t>
    </r>
    <r>
      <rPr>
        <sz val="10"/>
        <rFont val="Carlito"/>
      </rPr>
      <t>마모되다</t>
    </r>
  </si>
  <si>
    <r>
      <rPr>
        <sz val="10"/>
        <rFont val="Carlito"/>
      </rPr>
      <t>뚝딱</t>
    </r>
    <r>
      <rPr>
        <sz val="10"/>
        <rFont val="Carlito"/>
        <family val="2"/>
      </rPr>
      <t xml:space="preserve"> </t>
    </r>
    <r>
      <rPr>
        <sz val="10"/>
        <rFont val="Carlito"/>
      </rPr>
      <t>만들어내다</t>
    </r>
  </si>
  <si>
    <r>
      <rPr>
        <sz val="10"/>
        <rFont val="Carlito"/>
      </rPr>
      <t>혹독한</t>
    </r>
    <r>
      <rPr>
        <sz val="10"/>
        <rFont val="Carlito"/>
        <family val="2"/>
      </rPr>
      <t xml:space="preserve"> </t>
    </r>
    <r>
      <rPr>
        <sz val="10"/>
        <rFont val="Carlito"/>
      </rPr>
      <t>조건을</t>
    </r>
    <r>
      <rPr>
        <sz val="10"/>
        <rFont val="Carlito"/>
        <family val="2"/>
      </rPr>
      <t xml:space="preserve"> </t>
    </r>
    <r>
      <rPr>
        <sz val="10"/>
        <rFont val="Carlito"/>
      </rPr>
      <t>견디다</t>
    </r>
  </si>
  <si>
    <r>
      <rPr>
        <sz val="10"/>
        <rFont val="Carlito"/>
      </rPr>
      <t>먹잇감이</t>
    </r>
    <r>
      <rPr>
        <sz val="10"/>
        <rFont val="Carlito"/>
        <family val="2"/>
      </rPr>
      <t xml:space="preserve"> </t>
    </r>
    <r>
      <rPr>
        <sz val="10"/>
        <rFont val="Carlito"/>
      </rPr>
      <t>될</t>
    </r>
    <r>
      <rPr>
        <sz val="10"/>
        <rFont val="Carlito"/>
        <family val="2"/>
      </rPr>
      <t xml:space="preserve"> </t>
    </r>
    <r>
      <rPr>
        <sz val="10"/>
        <rFont val="Carlito"/>
      </rPr>
      <t>대상</t>
    </r>
  </si>
  <si>
    <r>
      <rPr>
        <sz val="10"/>
        <rFont val="Carlito"/>
      </rPr>
      <t>잔해</t>
    </r>
  </si>
  <si>
    <r>
      <rPr>
        <sz val="10"/>
        <rFont val="Carlito"/>
      </rPr>
      <t>고심하다</t>
    </r>
    <r>
      <rPr>
        <sz val="10"/>
        <rFont val="Carlito"/>
        <family val="2"/>
      </rPr>
      <t xml:space="preserve">, </t>
    </r>
    <r>
      <rPr>
        <sz val="10"/>
        <rFont val="Carlito"/>
      </rPr>
      <t>씨름하다</t>
    </r>
  </si>
  <si>
    <r>
      <rPr>
        <sz val="10"/>
        <rFont val="Carlito"/>
      </rPr>
      <t>낳다</t>
    </r>
    <r>
      <rPr>
        <sz val="10"/>
        <rFont val="Carlito"/>
        <family val="2"/>
      </rPr>
      <t xml:space="preserve">, </t>
    </r>
    <r>
      <rPr>
        <sz val="10"/>
        <rFont val="Carlito"/>
      </rPr>
      <t>산출하다</t>
    </r>
  </si>
  <si>
    <r>
      <rPr>
        <sz val="10"/>
        <rFont val="Carlito"/>
      </rPr>
      <t>식은</t>
    </r>
    <r>
      <rPr>
        <sz val="10"/>
        <rFont val="Carlito"/>
        <family val="2"/>
      </rPr>
      <t xml:space="preserve"> </t>
    </r>
    <r>
      <rPr>
        <sz val="10"/>
        <rFont val="Carlito"/>
      </rPr>
      <t>죽</t>
    </r>
    <r>
      <rPr>
        <sz val="10"/>
        <rFont val="Carlito"/>
        <family val="2"/>
      </rPr>
      <t xml:space="preserve"> </t>
    </r>
    <r>
      <rPr>
        <sz val="10"/>
        <rFont val="Carlito"/>
      </rPr>
      <t>먹기</t>
    </r>
    <r>
      <rPr>
        <sz val="10"/>
        <rFont val="Carlito"/>
        <family val="2"/>
      </rPr>
      <t xml:space="preserve">, </t>
    </r>
    <r>
      <rPr>
        <sz val="10"/>
        <rFont val="Carlito"/>
      </rPr>
      <t>아주</t>
    </r>
    <r>
      <rPr>
        <sz val="10"/>
        <rFont val="Carlito"/>
        <family val="2"/>
      </rPr>
      <t xml:space="preserve"> </t>
    </r>
    <r>
      <rPr>
        <sz val="10"/>
        <rFont val="Carlito"/>
      </rPr>
      <t>쉬운</t>
    </r>
    <r>
      <rPr>
        <sz val="10"/>
        <rFont val="Carlito"/>
        <family val="2"/>
      </rPr>
      <t xml:space="preserve"> </t>
    </r>
    <r>
      <rPr>
        <sz val="10"/>
        <rFont val="Carlito"/>
      </rPr>
      <t>일</t>
    </r>
  </si>
  <si>
    <r>
      <rPr>
        <sz val="10"/>
        <rFont val="Carlito"/>
      </rPr>
      <t>계좌</t>
    </r>
    <r>
      <rPr>
        <sz val="10"/>
        <rFont val="Carlito"/>
        <family val="2"/>
      </rPr>
      <t xml:space="preserve"> </t>
    </r>
    <r>
      <rPr>
        <sz val="10"/>
        <rFont val="Carlito"/>
      </rPr>
      <t>잔고</t>
    </r>
  </si>
  <si>
    <r>
      <rPr>
        <sz val="10"/>
        <rFont val="Carlito"/>
      </rPr>
      <t>획득하다</t>
    </r>
    <r>
      <rPr>
        <sz val="10"/>
        <rFont val="Carlito"/>
        <family val="2"/>
      </rPr>
      <t xml:space="preserve">, </t>
    </r>
    <r>
      <rPr>
        <sz val="10"/>
        <rFont val="Carlito"/>
      </rPr>
      <t>매입하다</t>
    </r>
  </si>
  <si>
    <r>
      <rPr>
        <sz val="10"/>
        <rFont val="Carlito"/>
      </rPr>
      <t>추가</t>
    </r>
    <r>
      <rPr>
        <sz val="10"/>
        <rFont val="Carlito"/>
        <family val="2"/>
      </rPr>
      <t xml:space="preserve"> </t>
    </r>
    <r>
      <rPr>
        <sz val="10"/>
        <rFont val="Carlito"/>
      </rPr>
      <t>요건</t>
    </r>
  </si>
  <si>
    <r>
      <rPr>
        <sz val="10"/>
        <rFont val="Carlito"/>
      </rPr>
      <t>농업의</t>
    </r>
  </si>
  <si>
    <r>
      <rPr>
        <sz val="10"/>
        <rFont val="Carlito"/>
      </rPr>
      <t>수선하다</t>
    </r>
    <r>
      <rPr>
        <sz val="10"/>
        <rFont val="Carlito"/>
        <family val="2"/>
      </rPr>
      <t xml:space="preserve">, </t>
    </r>
    <r>
      <rPr>
        <sz val="10"/>
        <rFont val="Carlito"/>
      </rPr>
      <t>변경하다</t>
    </r>
  </si>
  <si>
    <r>
      <rPr>
        <sz val="10"/>
        <rFont val="Carlito"/>
      </rPr>
      <t>대안</t>
    </r>
    <r>
      <rPr>
        <sz val="10"/>
        <rFont val="Carlito"/>
        <family val="2"/>
      </rPr>
      <t xml:space="preserve">; </t>
    </r>
    <r>
      <rPr>
        <sz val="10"/>
        <rFont val="Carlito"/>
      </rPr>
      <t>대체의</t>
    </r>
  </si>
  <si>
    <r>
      <rPr>
        <sz val="10"/>
        <rFont val="Carlito"/>
      </rPr>
      <t>기념일</t>
    </r>
  </si>
  <si>
    <r>
      <rPr>
        <sz val="10"/>
        <rFont val="Carlito"/>
      </rPr>
      <t>연차</t>
    </r>
    <r>
      <rPr>
        <sz val="10"/>
        <rFont val="Carlito"/>
        <family val="2"/>
      </rPr>
      <t xml:space="preserve"> </t>
    </r>
    <r>
      <rPr>
        <sz val="10"/>
        <rFont val="Carlito"/>
      </rPr>
      <t>휴가</t>
    </r>
  </si>
  <si>
    <r>
      <rPr>
        <sz val="10"/>
        <rFont val="Carlito"/>
      </rPr>
      <t>항생제</t>
    </r>
  </si>
  <si>
    <r>
      <rPr>
        <sz val="10"/>
        <rFont val="Carlito"/>
      </rPr>
      <t>의류</t>
    </r>
  </si>
  <si>
    <r>
      <rPr>
        <sz val="10"/>
        <rFont val="Carlito"/>
      </rPr>
      <t>적용</t>
    </r>
    <r>
      <rPr>
        <sz val="10"/>
        <rFont val="Carlito"/>
        <family val="2"/>
      </rPr>
      <t xml:space="preserve">, </t>
    </r>
    <r>
      <rPr>
        <sz val="10"/>
        <rFont val="Carlito"/>
      </rPr>
      <t>응용</t>
    </r>
  </si>
  <si>
    <r>
      <rPr>
        <sz val="10"/>
        <rFont val="Carlito"/>
      </rPr>
      <t>지원</t>
    </r>
    <r>
      <rPr>
        <sz val="10"/>
        <rFont val="Carlito"/>
        <family val="2"/>
      </rPr>
      <t xml:space="preserve"> </t>
    </r>
    <r>
      <rPr>
        <sz val="10"/>
        <rFont val="Carlito"/>
      </rPr>
      <t>번호</t>
    </r>
  </si>
  <si>
    <r>
      <rPr>
        <sz val="10"/>
        <rFont val="Carlito"/>
      </rPr>
      <t>평가</t>
    </r>
    <r>
      <rPr>
        <sz val="10"/>
        <rFont val="Carlito"/>
        <family val="2"/>
      </rPr>
      <t xml:space="preserve">, </t>
    </r>
    <r>
      <rPr>
        <sz val="10"/>
        <rFont val="Carlito"/>
      </rPr>
      <t>점검</t>
    </r>
  </si>
  <si>
    <r>
      <rPr>
        <sz val="10"/>
        <rFont val="Carlito"/>
      </rPr>
      <t>회사에</t>
    </r>
    <r>
      <rPr>
        <sz val="10"/>
        <rFont val="Carlito"/>
        <family val="2"/>
      </rPr>
      <t xml:space="preserve"> </t>
    </r>
    <r>
      <rPr>
        <sz val="10"/>
        <rFont val="Carlito"/>
      </rPr>
      <t>가치</t>
    </r>
    <r>
      <rPr>
        <sz val="10"/>
        <rFont val="Carlito"/>
        <family val="2"/>
      </rPr>
      <t xml:space="preserve"> </t>
    </r>
    <r>
      <rPr>
        <sz val="10"/>
        <rFont val="Carlito"/>
      </rPr>
      <t>있는</t>
    </r>
    <r>
      <rPr>
        <sz val="10"/>
        <rFont val="Carlito"/>
        <family val="2"/>
      </rPr>
      <t xml:space="preserve"> </t>
    </r>
    <r>
      <rPr>
        <sz val="10"/>
        <rFont val="Carlito"/>
      </rPr>
      <t>인재</t>
    </r>
  </si>
  <si>
    <r>
      <rPr>
        <sz val="10"/>
        <rFont val="Carlito"/>
      </rPr>
      <t>천문학자</t>
    </r>
  </si>
  <si>
    <r>
      <rPr>
        <sz val="10"/>
        <rFont val="Carlito"/>
      </rPr>
      <t>수상</t>
    </r>
    <r>
      <rPr>
        <sz val="10"/>
        <rFont val="Carlito"/>
        <family val="2"/>
      </rPr>
      <t xml:space="preserve"> </t>
    </r>
    <r>
      <rPr>
        <sz val="10"/>
        <rFont val="Carlito"/>
      </rPr>
      <t>경력의</t>
    </r>
  </si>
  <si>
    <r>
      <rPr>
        <sz val="10"/>
        <rFont val="Carlito"/>
      </rPr>
      <t>벌집</t>
    </r>
    <r>
      <rPr>
        <sz val="10"/>
        <rFont val="Carlito"/>
        <family val="2"/>
      </rPr>
      <t xml:space="preserve">, </t>
    </r>
    <r>
      <rPr>
        <sz val="10"/>
        <rFont val="Carlito"/>
      </rPr>
      <t>벌통</t>
    </r>
  </si>
  <si>
    <r>
      <rPr>
        <sz val="10"/>
        <rFont val="Carlito"/>
      </rPr>
      <t>조류</t>
    </r>
    <r>
      <rPr>
        <sz val="10"/>
        <rFont val="Carlito"/>
        <family val="2"/>
      </rPr>
      <t xml:space="preserve"> </t>
    </r>
    <r>
      <rPr>
        <sz val="10"/>
        <rFont val="Carlito"/>
      </rPr>
      <t>관찰</t>
    </r>
  </si>
  <si>
    <r>
      <rPr>
        <sz val="10"/>
        <rFont val="Carlito"/>
      </rPr>
      <t>작가</t>
    </r>
    <r>
      <rPr>
        <sz val="10"/>
        <rFont val="Carlito"/>
        <family val="2"/>
      </rPr>
      <t xml:space="preserve"> </t>
    </r>
    <r>
      <rPr>
        <sz val="10"/>
        <rFont val="Carlito"/>
      </rPr>
      <t>사인회</t>
    </r>
  </si>
  <si>
    <r>
      <rPr>
        <sz val="10"/>
        <rFont val="Carlito"/>
      </rPr>
      <t>고장</t>
    </r>
    <r>
      <rPr>
        <sz val="10"/>
        <rFont val="Carlito"/>
        <family val="2"/>
      </rPr>
      <t xml:space="preserve"> </t>
    </r>
    <r>
      <rPr>
        <sz val="10"/>
        <rFont val="Carlito"/>
      </rPr>
      <t>나다</t>
    </r>
    <r>
      <rPr>
        <sz val="10"/>
        <rFont val="Carlito"/>
        <family val="2"/>
      </rPr>
      <t xml:space="preserve">, </t>
    </r>
    <r>
      <rPr>
        <sz val="10"/>
        <rFont val="Carlito"/>
      </rPr>
      <t>기능을</t>
    </r>
    <r>
      <rPr>
        <sz val="10"/>
        <rFont val="Carlito"/>
        <family val="2"/>
      </rPr>
      <t xml:space="preserve"> </t>
    </r>
    <r>
      <rPr>
        <sz val="10"/>
        <rFont val="Carlito"/>
      </rPr>
      <t>멈추다</t>
    </r>
  </si>
  <si>
    <r>
      <rPr>
        <sz val="10"/>
        <rFont val="Carlito"/>
      </rPr>
      <t>숨</t>
    </r>
    <r>
      <rPr>
        <sz val="10"/>
        <rFont val="Carlito"/>
        <family val="2"/>
      </rPr>
      <t xml:space="preserve"> </t>
    </r>
    <r>
      <rPr>
        <sz val="10"/>
        <rFont val="Carlito"/>
      </rPr>
      <t>막히게</t>
    </r>
    <r>
      <rPr>
        <sz val="10"/>
        <rFont val="Carlito"/>
        <family val="2"/>
      </rPr>
      <t xml:space="preserve"> </t>
    </r>
    <r>
      <rPr>
        <sz val="10"/>
        <rFont val="Carlito"/>
      </rPr>
      <t>아름다운</t>
    </r>
    <r>
      <rPr>
        <sz val="10"/>
        <rFont val="Carlito"/>
        <family val="2"/>
      </rPr>
      <t xml:space="preserve"> </t>
    </r>
    <r>
      <rPr>
        <sz val="10"/>
        <rFont val="Carlito"/>
      </rPr>
      <t>경치</t>
    </r>
  </si>
  <si>
    <r>
      <rPr>
        <sz val="10"/>
        <rFont val="Carlito"/>
      </rPr>
      <t>기내</t>
    </r>
    <r>
      <rPr>
        <sz val="10"/>
        <rFont val="Carlito"/>
        <family val="2"/>
      </rPr>
      <t xml:space="preserve"> </t>
    </r>
    <r>
      <rPr>
        <sz val="10"/>
        <rFont val="Carlito"/>
      </rPr>
      <t>수하물</t>
    </r>
  </si>
  <si>
    <r>
      <rPr>
        <sz val="10"/>
        <rFont val="Carlito"/>
      </rPr>
      <t>인증</t>
    </r>
    <r>
      <rPr>
        <sz val="10"/>
        <rFont val="Carlito"/>
        <family val="2"/>
      </rPr>
      <t xml:space="preserve">, </t>
    </r>
    <r>
      <rPr>
        <sz val="10"/>
        <rFont val="Carlito"/>
      </rPr>
      <t>자격증</t>
    </r>
  </si>
  <si>
    <r>
      <rPr>
        <sz val="10"/>
        <rFont val="Carlito"/>
      </rPr>
      <t>치어리딩</t>
    </r>
  </si>
  <si>
    <r>
      <rPr>
        <sz val="10"/>
        <rFont val="Carlito"/>
      </rPr>
      <t>시민권</t>
    </r>
  </si>
  <si>
    <r>
      <t>~</t>
    </r>
    <r>
      <rPr>
        <sz val="10"/>
        <rFont val="Carlito"/>
      </rPr>
      <t>에</t>
    </r>
    <r>
      <rPr>
        <sz val="10"/>
        <rFont val="Carlito"/>
        <family val="2"/>
      </rPr>
      <t xml:space="preserve"> </t>
    </r>
    <r>
      <rPr>
        <sz val="10"/>
        <rFont val="Carlito"/>
      </rPr>
      <t>달라붙다</t>
    </r>
  </si>
  <si>
    <r>
      <rPr>
        <sz val="10"/>
        <rFont val="Carlito"/>
      </rPr>
      <t>칼럼니스트</t>
    </r>
  </si>
  <si>
    <r>
      <rPr>
        <sz val="10"/>
        <rFont val="Carlito"/>
      </rPr>
      <t>우연히</t>
    </r>
    <r>
      <rPr>
        <sz val="10"/>
        <rFont val="Carlito"/>
        <family val="2"/>
      </rPr>
      <t xml:space="preserve"> </t>
    </r>
    <r>
      <rPr>
        <sz val="10"/>
        <rFont val="Carlito"/>
      </rPr>
      <t>발견하다</t>
    </r>
  </si>
  <si>
    <r>
      <rPr>
        <sz val="10"/>
        <rFont val="Carlito"/>
      </rPr>
      <t>헌신</t>
    </r>
    <r>
      <rPr>
        <sz val="10"/>
        <rFont val="Carlito"/>
        <family val="2"/>
      </rPr>
      <t xml:space="preserve">, </t>
    </r>
    <r>
      <rPr>
        <sz val="10"/>
        <rFont val="Carlito"/>
      </rPr>
      <t>약속</t>
    </r>
  </si>
  <si>
    <r>
      <rPr>
        <sz val="10"/>
        <rFont val="Carlito"/>
      </rPr>
      <t>위원회</t>
    </r>
  </si>
  <si>
    <r>
      <rPr>
        <sz val="10"/>
        <rFont val="Carlito"/>
      </rPr>
      <t>상대적으로</t>
    </r>
    <r>
      <rPr>
        <sz val="10"/>
        <rFont val="Carlito"/>
        <family val="2"/>
      </rPr>
      <t xml:space="preserve"> </t>
    </r>
    <r>
      <rPr>
        <sz val="10"/>
        <rFont val="Carlito"/>
      </rPr>
      <t>낮은</t>
    </r>
  </si>
  <si>
    <r>
      <rPr>
        <sz val="10"/>
        <rFont val="Carlito"/>
      </rPr>
      <t>전산화된</t>
    </r>
  </si>
  <si>
    <r>
      <rPr>
        <sz val="10"/>
        <rFont val="Carlito"/>
      </rPr>
      <t>연속적인</t>
    </r>
  </si>
  <si>
    <r>
      <rPr>
        <sz val="10"/>
        <rFont val="Carlito"/>
      </rPr>
      <t>그</t>
    </r>
    <r>
      <rPr>
        <sz val="10"/>
        <rFont val="Carlito"/>
        <family val="2"/>
      </rPr>
      <t xml:space="preserve"> </t>
    </r>
    <r>
      <rPr>
        <sz val="10"/>
        <rFont val="Carlito"/>
      </rPr>
      <t>결과</t>
    </r>
  </si>
  <si>
    <r>
      <rPr>
        <sz val="10"/>
        <rFont val="Carlito"/>
      </rPr>
      <t>보수적인</t>
    </r>
    <r>
      <rPr>
        <sz val="10"/>
        <rFont val="Carlito"/>
        <family val="2"/>
      </rPr>
      <t xml:space="preserve"> / </t>
    </r>
    <r>
      <rPr>
        <sz val="10"/>
        <rFont val="Carlito"/>
      </rPr>
      <t>보수적인</t>
    </r>
    <r>
      <rPr>
        <sz val="10"/>
        <rFont val="Carlito"/>
        <family val="2"/>
      </rPr>
      <t xml:space="preserve">; </t>
    </r>
    <r>
      <rPr>
        <sz val="10"/>
        <rFont val="Carlito"/>
      </rPr>
      <t>보수주의자</t>
    </r>
  </si>
  <si>
    <r>
      <rPr>
        <sz val="10"/>
        <rFont val="Carlito"/>
      </rPr>
      <t>고려</t>
    </r>
    <r>
      <rPr>
        <sz val="10"/>
        <rFont val="Carlito"/>
        <family val="2"/>
      </rPr>
      <t xml:space="preserve"> </t>
    </r>
    <r>
      <rPr>
        <sz val="10"/>
        <rFont val="Carlito"/>
      </rPr>
      <t>사항</t>
    </r>
  </si>
  <si>
    <r>
      <rPr>
        <sz val="10"/>
        <rFont val="Carlito"/>
      </rPr>
      <t>건설하다</t>
    </r>
  </si>
  <si>
    <r>
      <rPr>
        <sz val="10"/>
        <rFont val="Carlito"/>
      </rPr>
      <t>현대의</t>
    </r>
    <r>
      <rPr>
        <sz val="10"/>
        <rFont val="Carlito"/>
        <family val="2"/>
      </rPr>
      <t xml:space="preserve">, </t>
    </r>
    <r>
      <rPr>
        <sz val="10"/>
        <rFont val="Carlito"/>
      </rPr>
      <t>동시대의</t>
    </r>
  </si>
  <si>
    <r>
      <rPr>
        <sz val="10"/>
        <rFont val="Carlito"/>
      </rPr>
      <t>기여</t>
    </r>
    <r>
      <rPr>
        <sz val="10"/>
        <rFont val="Carlito"/>
        <family val="2"/>
      </rPr>
      <t xml:space="preserve">, </t>
    </r>
    <r>
      <rPr>
        <sz val="10"/>
        <rFont val="Carlito"/>
      </rPr>
      <t>공헌</t>
    </r>
  </si>
  <si>
    <r>
      <rPr>
        <sz val="10"/>
        <rFont val="Carlito"/>
      </rPr>
      <t>견적</t>
    </r>
  </si>
  <si>
    <r>
      <rPr>
        <sz val="10"/>
        <rFont val="Carlito"/>
      </rPr>
      <t>쿠폰</t>
    </r>
    <r>
      <rPr>
        <sz val="10"/>
        <rFont val="Carlito"/>
        <family val="2"/>
      </rPr>
      <t xml:space="preserve">, </t>
    </r>
    <r>
      <rPr>
        <sz val="10"/>
        <rFont val="Carlito"/>
      </rPr>
      <t>할인권</t>
    </r>
  </si>
  <si>
    <r>
      <rPr>
        <sz val="10"/>
        <rFont val="Carlito"/>
      </rPr>
      <t>결정적인</t>
    </r>
    <r>
      <rPr>
        <sz val="10"/>
        <rFont val="Carlito"/>
        <family val="2"/>
      </rPr>
      <t xml:space="preserve">, </t>
    </r>
    <r>
      <rPr>
        <sz val="10"/>
        <rFont val="Carlito"/>
      </rPr>
      <t>매우</t>
    </r>
    <r>
      <rPr>
        <sz val="10"/>
        <rFont val="Carlito"/>
        <family val="2"/>
      </rPr>
      <t xml:space="preserve"> </t>
    </r>
    <r>
      <rPr>
        <sz val="10"/>
        <rFont val="Carlito"/>
      </rPr>
      <t>중요한</t>
    </r>
  </si>
  <si>
    <r>
      <t>~</t>
    </r>
    <r>
      <rPr>
        <sz val="10"/>
        <rFont val="Carlito"/>
      </rPr>
      <t>까지</t>
    </r>
    <r>
      <rPr>
        <sz val="10"/>
        <rFont val="Carlito"/>
        <family val="2"/>
      </rPr>
      <t xml:space="preserve"> </t>
    </r>
    <r>
      <rPr>
        <sz val="10"/>
        <rFont val="Carlito"/>
      </rPr>
      <t>거슬러</t>
    </r>
    <r>
      <rPr>
        <sz val="10"/>
        <rFont val="Carlito"/>
        <family val="2"/>
      </rPr>
      <t xml:space="preserve"> </t>
    </r>
    <r>
      <rPr>
        <sz val="10"/>
        <rFont val="Carlito"/>
      </rPr>
      <t>올라가다</t>
    </r>
  </si>
  <si>
    <r>
      <rPr>
        <sz val="10"/>
        <rFont val="Carlito"/>
      </rPr>
      <t>데뷔</t>
    </r>
    <r>
      <rPr>
        <sz val="10"/>
        <rFont val="Carlito"/>
        <family val="2"/>
      </rPr>
      <t xml:space="preserve"> </t>
    </r>
    <r>
      <rPr>
        <sz val="10"/>
        <rFont val="Carlito"/>
      </rPr>
      <t>소설</t>
    </r>
  </si>
  <si>
    <r>
      <rPr>
        <sz val="10"/>
        <rFont val="Carlito"/>
      </rPr>
      <t>선언</t>
    </r>
    <r>
      <rPr>
        <sz val="10"/>
        <rFont val="Carlito"/>
        <family val="2"/>
      </rPr>
      <t xml:space="preserve">, </t>
    </r>
    <r>
      <rPr>
        <sz val="10"/>
        <rFont val="Carlito"/>
      </rPr>
      <t>신고서</t>
    </r>
  </si>
  <si>
    <r>
      <rPr>
        <sz val="10"/>
        <rFont val="Carlito"/>
      </rPr>
      <t>결심</t>
    </r>
    <r>
      <rPr>
        <sz val="10"/>
        <rFont val="Carlito"/>
        <family val="2"/>
      </rPr>
      <t xml:space="preserve">, </t>
    </r>
    <r>
      <rPr>
        <sz val="10"/>
        <rFont val="Carlito"/>
      </rPr>
      <t>투지</t>
    </r>
  </si>
  <si>
    <r>
      <rPr>
        <sz val="10"/>
        <rFont val="Carlito"/>
      </rPr>
      <t>결정하다</t>
    </r>
    <r>
      <rPr>
        <sz val="10"/>
        <rFont val="Carlito"/>
        <family val="2"/>
      </rPr>
      <t xml:space="preserve">, </t>
    </r>
    <r>
      <rPr>
        <sz val="10"/>
        <rFont val="Carlito"/>
      </rPr>
      <t>알아내다</t>
    </r>
  </si>
  <si>
    <r>
      <rPr>
        <sz val="10"/>
        <rFont val="Carlito"/>
      </rPr>
      <t>억제하다</t>
    </r>
    <r>
      <rPr>
        <sz val="10"/>
        <rFont val="Carlito"/>
        <family val="2"/>
      </rPr>
      <t xml:space="preserve">, </t>
    </r>
    <r>
      <rPr>
        <sz val="10"/>
        <rFont val="Carlito"/>
      </rPr>
      <t>말리다</t>
    </r>
  </si>
  <si>
    <r>
      <rPr>
        <sz val="10"/>
        <rFont val="Carlito"/>
      </rPr>
      <t>차별</t>
    </r>
  </si>
  <si>
    <r>
      <t>A</t>
    </r>
    <r>
      <rPr>
        <sz val="10"/>
        <rFont val="Carlito"/>
      </rPr>
      <t>와</t>
    </r>
    <r>
      <rPr>
        <sz val="10"/>
        <rFont val="Carlito"/>
        <family val="2"/>
      </rPr>
      <t xml:space="preserve"> B</t>
    </r>
    <r>
      <rPr>
        <sz val="10"/>
        <rFont val="Carlito"/>
      </rPr>
      <t>를</t>
    </r>
    <r>
      <rPr>
        <sz val="10"/>
        <rFont val="Carlito"/>
        <family val="2"/>
      </rPr>
      <t xml:space="preserve"> </t>
    </r>
    <r>
      <rPr>
        <sz val="10"/>
        <rFont val="Carlito"/>
      </rPr>
      <t>구별하다</t>
    </r>
  </si>
  <si>
    <r>
      <rPr>
        <sz val="10"/>
        <rFont val="Carlito"/>
      </rPr>
      <t>주의</t>
    </r>
    <r>
      <rPr>
        <sz val="10"/>
        <rFont val="Carlito"/>
        <family val="2"/>
      </rPr>
      <t xml:space="preserve"> </t>
    </r>
    <r>
      <rPr>
        <sz val="10"/>
        <rFont val="Carlito"/>
      </rPr>
      <t>산만</t>
    </r>
    <r>
      <rPr>
        <sz val="10"/>
        <rFont val="Carlito"/>
        <family val="2"/>
      </rPr>
      <t xml:space="preserve"> </t>
    </r>
    <r>
      <rPr>
        <sz val="10"/>
        <rFont val="Carlito"/>
      </rPr>
      <t>요인</t>
    </r>
  </si>
  <si>
    <r>
      <rPr>
        <sz val="10"/>
        <rFont val="Carlito"/>
      </rPr>
      <t>복장</t>
    </r>
    <r>
      <rPr>
        <sz val="10"/>
        <rFont val="Carlito"/>
        <family val="2"/>
      </rPr>
      <t xml:space="preserve"> </t>
    </r>
    <r>
      <rPr>
        <sz val="10"/>
        <rFont val="Carlito"/>
      </rPr>
      <t>규정</t>
    </r>
  </si>
  <si>
    <r>
      <rPr>
        <sz val="10"/>
        <rFont val="Carlito"/>
      </rPr>
      <t>잠깐</t>
    </r>
    <r>
      <rPr>
        <sz val="10"/>
        <rFont val="Carlito"/>
        <family val="2"/>
      </rPr>
      <t xml:space="preserve"> </t>
    </r>
    <r>
      <rPr>
        <sz val="10"/>
        <rFont val="Carlito"/>
      </rPr>
      <t>들르다</t>
    </r>
  </si>
  <si>
    <r>
      <rPr>
        <sz val="10"/>
        <rFont val="Carlito"/>
      </rPr>
      <t>가뭄</t>
    </r>
  </si>
  <si>
    <r>
      <rPr>
        <sz val="10"/>
        <rFont val="Carlito"/>
      </rPr>
      <t>활동적인</t>
    </r>
    <r>
      <rPr>
        <sz val="10"/>
        <rFont val="Carlito"/>
        <family val="2"/>
      </rPr>
      <t xml:space="preserve">, </t>
    </r>
    <r>
      <rPr>
        <sz val="10"/>
        <rFont val="Carlito"/>
      </rPr>
      <t>역동적인</t>
    </r>
  </si>
  <si>
    <r>
      <rPr>
        <sz val="10"/>
        <rFont val="Carlito"/>
      </rPr>
      <t>교육적인</t>
    </r>
  </si>
  <si>
    <r>
      <rPr>
        <sz val="10"/>
        <rFont val="Carlito"/>
      </rPr>
      <t>동봉하다</t>
    </r>
  </si>
  <si>
    <r>
      <t>~</t>
    </r>
    <r>
      <rPr>
        <sz val="10"/>
        <rFont val="Carlito"/>
      </rPr>
      <t>라는</t>
    </r>
    <r>
      <rPr>
        <sz val="10"/>
        <rFont val="Carlito"/>
        <family val="2"/>
      </rPr>
      <t xml:space="preserve"> </t>
    </r>
    <r>
      <rPr>
        <sz val="10"/>
        <rFont val="Carlito"/>
      </rPr>
      <t>제목의</t>
    </r>
  </si>
  <si>
    <r>
      <rPr>
        <sz val="10"/>
        <rFont val="Carlito"/>
      </rPr>
      <t>분출</t>
    </r>
    <r>
      <rPr>
        <sz val="10"/>
        <rFont val="Carlito"/>
        <family val="2"/>
      </rPr>
      <t xml:space="preserve">, </t>
    </r>
    <r>
      <rPr>
        <sz val="10"/>
        <rFont val="Carlito"/>
      </rPr>
      <t>폭발</t>
    </r>
  </si>
  <si>
    <r>
      <rPr>
        <sz val="10"/>
        <rFont val="Carlito"/>
      </rPr>
      <t>설립하다</t>
    </r>
    <r>
      <rPr>
        <sz val="10"/>
        <rFont val="Carlito"/>
        <family val="2"/>
      </rPr>
      <t xml:space="preserve">, </t>
    </r>
    <r>
      <rPr>
        <sz val="10"/>
        <rFont val="Carlito"/>
      </rPr>
      <t>수립하다</t>
    </r>
  </si>
  <si>
    <r>
      <rPr>
        <sz val="10"/>
        <rFont val="Carlito"/>
      </rPr>
      <t>초과하다</t>
    </r>
    <r>
      <rPr>
        <sz val="10"/>
        <rFont val="Carlito"/>
        <family val="2"/>
      </rPr>
      <t xml:space="preserve">, </t>
    </r>
    <r>
      <rPr>
        <sz val="10"/>
        <rFont val="Carlito"/>
      </rPr>
      <t>능가하다</t>
    </r>
  </si>
  <si>
    <r>
      <rPr>
        <sz val="10"/>
        <rFont val="Carlito"/>
      </rPr>
      <t>독점적인</t>
    </r>
    <r>
      <rPr>
        <sz val="10"/>
        <rFont val="Carlito"/>
        <family val="2"/>
      </rPr>
      <t xml:space="preserve">, </t>
    </r>
    <r>
      <rPr>
        <sz val="10"/>
        <rFont val="Carlito"/>
      </rPr>
      <t>한정된</t>
    </r>
  </si>
  <si>
    <r>
      <rPr>
        <sz val="10"/>
        <rFont val="Carlito"/>
      </rPr>
      <t>전시회</t>
    </r>
    <r>
      <rPr>
        <sz val="10"/>
        <rFont val="Carlito"/>
        <family val="2"/>
      </rPr>
      <t xml:space="preserve">; </t>
    </r>
    <r>
      <rPr>
        <sz val="10"/>
        <rFont val="Carlito"/>
      </rPr>
      <t>전시하다</t>
    </r>
  </si>
  <si>
    <r>
      <rPr>
        <sz val="10"/>
        <rFont val="Carlito"/>
      </rPr>
      <t>실험적인</t>
    </r>
  </si>
  <si>
    <r>
      <rPr>
        <sz val="10"/>
        <rFont val="Carlito"/>
      </rPr>
      <t>전문</t>
    </r>
    <r>
      <rPr>
        <sz val="10"/>
        <rFont val="Carlito"/>
        <family val="2"/>
      </rPr>
      <t xml:space="preserve"> </t>
    </r>
    <r>
      <rPr>
        <sz val="10"/>
        <rFont val="Carlito"/>
      </rPr>
      <t>지식</t>
    </r>
    <r>
      <rPr>
        <sz val="10"/>
        <rFont val="Carlito"/>
        <family val="2"/>
      </rPr>
      <t xml:space="preserve">, </t>
    </r>
    <r>
      <rPr>
        <sz val="10"/>
        <rFont val="Carlito"/>
      </rPr>
      <t>전문성</t>
    </r>
  </si>
  <si>
    <r>
      <rPr>
        <sz val="10"/>
        <rFont val="Carlito"/>
      </rPr>
      <t>수출하다</t>
    </r>
    <r>
      <rPr>
        <sz val="10"/>
        <rFont val="Carlito"/>
        <family val="2"/>
      </rPr>
      <t xml:space="preserve">; </t>
    </r>
    <r>
      <rPr>
        <sz val="10"/>
        <rFont val="Carlito"/>
      </rPr>
      <t>수출품</t>
    </r>
  </si>
  <si>
    <r>
      <rPr>
        <sz val="10"/>
        <rFont val="Carlito"/>
      </rPr>
      <t>뒤처지다</t>
    </r>
  </si>
  <si>
    <r>
      <rPr>
        <sz val="10"/>
        <rFont val="Carlito"/>
      </rPr>
      <t>촬영</t>
    </r>
    <r>
      <rPr>
        <sz val="10"/>
        <rFont val="Carlito"/>
        <family val="2"/>
      </rPr>
      <t xml:space="preserve"> </t>
    </r>
    <r>
      <rPr>
        <sz val="10"/>
        <rFont val="Carlito"/>
      </rPr>
      <t>장소</t>
    </r>
  </si>
  <si>
    <r>
      <rPr>
        <sz val="10"/>
        <rFont val="Carlito"/>
      </rPr>
      <t>경제적</t>
    </r>
    <r>
      <rPr>
        <sz val="10"/>
        <rFont val="Carlito"/>
        <family val="2"/>
      </rPr>
      <t xml:space="preserve"> </t>
    </r>
    <r>
      <rPr>
        <sz val="10"/>
        <rFont val="Carlito"/>
      </rPr>
      <t>자유</t>
    </r>
  </si>
  <si>
    <r>
      <rPr>
        <sz val="10"/>
        <rFont val="Carlito"/>
      </rPr>
      <t>침수</t>
    </r>
    <r>
      <rPr>
        <sz val="10"/>
        <rFont val="Carlito"/>
        <family val="2"/>
      </rPr>
      <t xml:space="preserve"> </t>
    </r>
    <r>
      <rPr>
        <sz val="10"/>
        <rFont val="Carlito"/>
      </rPr>
      <t>사고</t>
    </r>
  </si>
  <si>
    <r>
      <rPr>
        <sz val="10"/>
        <rFont val="Carlito"/>
      </rPr>
      <t>예측</t>
    </r>
    <r>
      <rPr>
        <sz val="10"/>
        <rFont val="Carlito"/>
        <family val="2"/>
      </rPr>
      <t xml:space="preserve">, </t>
    </r>
    <r>
      <rPr>
        <sz val="10"/>
        <rFont val="Carlito"/>
      </rPr>
      <t>전망</t>
    </r>
  </si>
  <si>
    <r>
      <rPr>
        <sz val="10"/>
        <rFont val="Carlito"/>
      </rPr>
      <t>사기</t>
    </r>
  </si>
  <si>
    <r>
      <rPr>
        <sz val="10"/>
        <rFont val="Carlito"/>
      </rPr>
      <t>자유계약</t>
    </r>
    <r>
      <rPr>
        <sz val="10"/>
        <rFont val="Carlito"/>
        <family val="2"/>
      </rPr>
      <t xml:space="preserve"> </t>
    </r>
    <r>
      <rPr>
        <sz val="10"/>
        <rFont val="Carlito"/>
      </rPr>
      <t>선수</t>
    </r>
  </si>
  <si>
    <r>
      <rPr>
        <sz val="10"/>
        <rFont val="Carlito"/>
      </rPr>
      <t>표현의</t>
    </r>
    <r>
      <rPr>
        <sz val="10"/>
        <rFont val="Carlito"/>
        <family val="2"/>
      </rPr>
      <t xml:space="preserve"> </t>
    </r>
    <r>
      <rPr>
        <sz val="10"/>
        <rFont val="Carlito"/>
      </rPr>
      <t>자유</t>
    </r>
  </si>
  <si>
    <r>
      <rPr>
        <sz val="10"/>
        <rFont val="Carlito"/>
      </rPr>
      <t>프리랜서</t>
    </r>
    <r>
      <rPr>
        <sz val="10"/>
        <rFont val="Carlito"/>
        <family val="2"/>
      </rPr>
      <t xml:space="preserve"> </t>
    </r>
    <r>
      <rPr>
        <sz val="10"/>
        <rFont val="Carlito"/>
      </rPr>
      <t>일</t>
    </r>
  </si>
  <si>
    <r>
      <rPr>
        <sz val="10"/>
        <rFont val="Carlito"/>
      </rPr>
      <t>모금의</t>
    </r>
  </si>
  <si>
    <r>
      <rPr>
        <sz val="10"/>
        <rFont val="Carlito"/>
      </rPr>
      <t>의류</t>
    </r>
    <r>
      <rPr>
        <sz val="10"/>
        <rFont val="Carlito"/>
        <family val="2"/>
      </rPr>
      <t xml:space="preserve">, </t>
    </r>
    <r>
      <rPr>
        <sz val="10"/>
        <rFont val="Carlito"/>
      </rPr>
      <t>옷</t>
    </r>
  </si>
  <si>
    <r>
      <rPr>
        <sz val="10"/>
        <rFont val="Carlito"/>
      </rPr>
      <t>파산하다</t>
    </r>
  </si>
  <si>
    <r>
      <rPr>
        <sz val="10"/>
        <rFont val="Carlito"/>
      </rPr>
      <t>온실</t>
    </r>
  </si>
  <si>
    <r>
      <rPr>
        <sz val="10"/>
        <rFont val="Carlito"/>
      </rPr>
      <t>나누어</t>
    </r>
    <r>
      <rPr>
        <sz val="10"/>
        <rFont val="Carlito"/>
        <family val="2"/>
      </rPr>
      <t xml:space="preserve"> </t>
    </r>
    <r>
      <rPr>
        <sz val="10"/>
        <rFont val="Carlito"/>
      </rPr>
      <t>주다</t>
    </r>
  </si>
  <si>
    <r>
      <rPr>
        <sz val="10"/>
        <rFont val="Carlito"/>
      </rPr>
      <t>고해상도의</t>
    </r>
  </si>
  <si>
    <r>
      <rPr>
        <sz val="10"/>
        <rFont val="Carlito"/>
      </rPr>
      <t>양파를</t>
    </r>
    <r>
      <rPr>
        <sz val="10"/>
        <rFont val="Carlito"/>
        <family val="2"/>
      </rPr>
      <t xml:space="preserve"> </t>
    </r>
    <r>
      <rPr>
        <sz val="10"/>
        <rFont val="Carlito"/>
      </rPr>
      <t>빼</t>
    </r>
    <r>
      <rPr>
        <sz val="10"/>
        <rFont val="Carlito"/>
        <family val="2"/>
      </rPr>
      <t xml:space="preserve"> </t>
    </r>
    <r>
      <rPr>
        <sz val="10"/>
        <rFont val="Carlito"/>
      </rPr>
      <t>달라고</t>
    </r>
    <r>
      <rPr>
        <sz val="10"/>
        <rFont val="Carlito"/>
        <family val="2"/>
      </rPr>
      <t xml:space="preserve"> </t>
    </r>
    <r>
      <rPr>
        <sz val="10"/>
        <rFont val="Carlito"/>
      </rPr>
      <t>하다</t>
    </r>
  </si>
  <si>
    <r>
      <rPr>
        <sz val="10"/>
        <rFont val="Carlito"/>
      </rPr>
      <t>노숙의</t>
    </r>
    <r>
      <rPr>
        <sz val="10"/>
        <rFont val="Carlito"/>
        <family val="2"/>
      </rPr>
      <t xml:space="preserve">, </t>
    </r>
    <r>
      <rPr>
        <sz val="10"/>
        <rFont val="Carlito"/>
      </rPr>
      <t>집</t>
    </r>
    <r>
      <rPr>
        <sz val="10"/>
        <rFont val="Carlito"/>
        <family val="2"/>
      </rPr>
      <t xml:space="preserve"> </t>
    </r>
    <r>
      <rPr>
        <sz val="10"/>
        <rFont val="Carlito"/>
      </rPr>
      <t>없는</t>
    </r>
  </si>
  <si>
    <r>
      <rPr>
        <sz val="10"/>
        <rFont val="Carlito"/>
      </rPr>
      <t>습도</t>
    </r>
  </si>
  <si>
    <r>
      <t>~</t>
    </r>
    <r>
      <rPr>
        <sz val="10"/>
        <rFont val="Carlito"/>
      </rPr>
      <t>를</t>
    </r>
    <r>
      <rPr>
        <sz val="10"/>
        <rFont val="Carlito"/>
        <family val="2"/>
      </rPr>
      <t xml:space="preserve"> </t>
    </r>
    <r>
      <rPr>
        <sz val="10"/>
        <rFont val="Carlito"/>
      </rPr>
      <t>대신해서</t>
    </r>
  </si>
  <si>
    <r>
      <rPr>
        <sz val="10"/>
        <rFont val="Carlito"/>
      </rPr>
      <t>사내의</t>
    </r>
    <r>
      <rPr>
        <sz val="10"/>
        <rFont val="Carlito"/>
        <family val="2"/>
      </rPr>
      <t xml:space="preserve">, </t>
    </r>
    <r>
      <rPr>
        <sz val="10"/>
        <rFont val="Carlito"/>
      </rPr>
      <t>내부의</t>
    </r>
  </si>
  <si>
    <r>
      <rPr>
        <sz val="10"/>
        <rFont val="Carlito"/>
      </rPr>
      <t>독립</t>
    </r>
  </si>
  <si>
    <r>
      <rPr>
        <sz val="10"/>
        <rFont val="Carlito"/>
      </rPr>
      <t>재료</t>
    </r>
  </si>
  <si>
    <r>
      <rPr>
        <sz val="10"/>
        <rFont val="Carlito"/>
      </rPr>
      <t>문의하다</t>
    </r>
  </si>
  <si>
    <r>
      <rPr>
        <sz val="10"/>
        <rFont val="Carlito"/>
      </rPr>
      <t>인터넷</t>
    </r>
    <r>
      <rPr>
        <sz val="10"/>
        <rFont val="Carlito"/>
        <family val="2"/>
      </rPr>
      <t xml:space="preserve"> </t>
    </r>
    <r>
      <rPr>
        <sz val="10"/>
        <rFont val="Carlito"/>
      </rPr>
      <t>사용이</t>
    </r>
    <r>
      <rPr>
        <sz val="10"/>
        <rFont val="Carlito"/>
        <family val="2"/>
      </rPr>
      <t xml:space="preserve"> </t>
    </r>
    <r>
      <rPr>
        <sz val="10"/>
        <rFont val="Carlito"/>
      </rPr>
      <t>가능한</t>
    </r>
  </si>
  <si>
    <r>
      <rPr>
        <sz val="10"/>
        <rFont val="Carlito"/>
      </rPr>
      <t>해석</t>
    </r>
  </si>
  <si>
    <r>
      <rPr>
        <sz val="10"/>
        <rFont val="Carlito"/>
      </rPr>
      <t>입문의</t>
    </r>
    <r>
      <rPr>
        <sz val="10"/>
        <rFont val="Carlito"/>
        <family val="2"/>
      </rPr>
      <t xml:space="preserve">, </t>
    </r>
    <r>
      <rPr>
        <sz val="10"/>
        <rFont val="Carlito"/>
      </rPr>
      <t>소개의</t>
    </r>
  </si>
  <si>
    <r>
      <rPr>
        <sz val="10"/>
        <rFont val="Carlito"/>
      </rPr>
      <t>채용</t>
    </r>
    <r>
      <rPr>
        <sz val="10"/>
        <rFont val="Carlito"/>
        <family val="2"/>
      </rPr>
      <t xml:space="preserve"> </t>
    </r>
    <r>
      <rPr>
        <sz val="10"/>
        <rFont val="Carlito"/>
      </rPr>
      <t>공고</t>
    </r>
  </si>
  <si>
    <r>
      <rPr>
        <sz val="10"/>
        <rFont val="Carlito"/>
      </rPr>
      <t>유치원생</t>
    </r>
  </si>
  <si>
    <r>
      <rPr>
        <sz val="10"/>
        <rFont val="Carlito"/>
      </rPr>
      <t>수명</t>
    </r>
  </si>
  <si>
    <r>
      <rPr>
        <sz val="10"/>
        <rFont val="Carlito"/>
      </rPr>
      <t>입주</t>
    </r>
    <r>
      <rPr>
        <sz val="10"/>
        <rFont val="Carlito"/>
        <family val="2"/>
      </rPr>
      <t xml:space="preserve"> </t>
    </r>
    <r>
      <rPr>
        <sz val="10"/>
        <rFont val="Carlito"/>
      </rPr>
      <t>보모</t>
    </r>
  </si>
  <si>
    <r>
      <rPr>
        <sz val="10"/>
        <rFont val="Carlito"/>
      </rPr>
      <t>가축</t>
    </r>
  </si>
  <si>
    <r>
      <t>~</t>
    </r>
    <r>
      <rPr>
        <sz val="10"/>
        <rFont val="Carlito"/>
      </rPr>
      <t>을</t>
    </r>
    <r>
      <rPr>
        <sz val="10"/>
        <rFont val="Carlito"/>
        <family val="2"/>
      </rPr>
      <t xml:space="preserve"> </t>
    </r>
    <r>
      <rPr>
        <sz val="10"/>
        <rFont val="Carlito"/>
      </rPr>
      <t>알아보다</t>
    </r>
    <r>
      <rPr>
        <sz val="10"/>
        <rFont val="Carlito"/>
        <family val="2"/>
      </rPr>
      <t xml:space="preserve">, </t>
    </r>
    <r>
      <rPr>
        <sz val="10"/>
        <rFont val="Carlito"/>
      </rPr>
      <t>조사하다</t>
    </r>
  </si>
  <si>
    <r>
      <rPr>
        <sz val="10"/>
        <rFont val="Carlito"/>
      </rPr>
      <t>더</t>
    </r>
    <r>
      <rPr>
        <sz val="10"/>
        <rFont val="Carlito"/>
        <family val="2"/>
      </rPr>
      <t xml:space="preserve"> </t>
    </r>
    <r>
      <rPr>
        <sz val="10"/>
        <rFont val="Carlito"/>
      </rPr>
      <t>이상</t>
    </r>
    <r>
      <rPr>
        <sz val="10"/>
        <rFont val="Carlito"/>
        <family val="2"/>
      </rPr>
      <t xml:space="preserve"> </t>
    </r>
    <r>
      <rPr>
        <sz val="10"/>
        <rFont val="Carlito"/>
      </rPr>
      <t>찾지</t>
    </r>
    <r>
      <rPr>
        <sz val="10"/>
        <rFont val="Carlito"/>
        <family val="2"/>
      </rPr>
      <t xml:space="preserve"> </t>
    </r>
    <r>
      <rPr>
        <sz val="10"/>
        <rFont val="Carlito"/>
      </rPr>
      <t>마세요</t>
    </r>
  </si>
  <si>
    <r>
      <rPr>
        <sz val="10"/>
        <rFont val="Carlito"/>
      </rPr>
      <t>연패</t>
    </r>
  </si>
  <si>
    <r>
      <rPr>
        <sz val="10"/>
        <rFont val="Carlito"/>
      </rPr>
      <t>대중</t>
    </r>
  </si>
  <si>
    <r>
      <rPr>
        <sz val="10"/>
        <rFont val="Carlito"/>
      </rPr>
      <t>걸작</t>
    </r>
  </si>
  <si>
    <r>
      <t>~</t>
    </r>
    <r>
      <rPr>
        <sz val="10"/>
        <rFont val="Carlito"/>
      </rPr>
      <t>의</t>
    </r>
    <r>
      <rPr>
        <sz val="10"/>
        <rFont val="Carlito"/>
        <family val="2"/>
      </rPr>
      <t xml:space="preserve"> </t>
    </r>
    <r>
      <rPr>
        <sz val="10"/>
        <rFont val="Carlito"/>
      </rPr>
      <t>수단</t>
    </r>
  </si>
  <si>
    <r>
      <rPr>
        <sz val="10"/>
        <rFont val="Carlito"/>
      </rPr>
      <t>고기</t>
    </r>
    <r>
      <rPr>
        <sz val="10"/>
        <rFont val="Carlito"/>
        <family val="2"/>
      </rPr>
      <t xml:space="preserve"> </t>
    </r>
    <r>
      <rPr>
        <sz val="10"/>
        <rFont val="Carlito"/>
      </rPr>
      <t>없는</t>
    </r>
    <r>
      <rPr>
        <sz val="10"/>
        <rFont val="Carlito"/>
        <family val="2"/>
      </rPr>
      <t xml:space="preserve"> </t>
    </r>
    <r>
      <rPr>
        <sz val="10"/>
        <rFont val="Carlito"/>
      </rPr>
      <t>요리</t>
    </r>
  </si>
  <si>
    <r>
      <rPr>
        <sz val="10"/>
        <rFont val="Carlito"/>
      </rPr>
      <t>중간</t>
    </r>
    <r>
      <rPr>
        <sz val="10"/>
        <rFont val="Carlito"/>
        <family val="2"/>
      </rPr>
      <t xml:space="preserve"> </t>
    </r>
    <r>
      <rPr>
        <sz val="10"/>
        <rFont val="Carlito"/>
      </rPr>
      <t>크기의</t>
    </r>
  </si>
  <si>
    <r>
      <rPr>
        <sz val="10"/>
        <rFont val="Carlito"/>
      </rPr>
      <t>지적</t>
    </r>
    <r>
      <rPr>
        <sz val="10"/>
        <rFont val="Carlito"/>
        <family val="2"/>
      </rPr>
      <t xml:space="preserve"> </t>
    </r>
    <r>
      <rPr>
        <sz val="10"/>
        <rFont val="Carlito"/>
      </rPr>
      <t>능력</t>
    </r>
  </si>
  <si>
    <r>
      <rPr>
        <sz val="10"/>
        <rFont val="Carlito"/>
      </rPr>
      <t>중산층의</t>
    </r>
  </si>
  <si>
    <r>
      <rPr>
        <sz val="10"/>
        <rFont val="Carlito"/>
      </rPr>
      <t>분자</t>
    </r>
  </si>
  <si>
    <r>
      <rPr>
        <sz val="10"/>
        <rFont val="Carlito"/>
      </rPr>
      <t>장착된</t>
    </r>
  </si>
  <si>
    <r>
      <rPr>
        <sz val="10"/>
        <rFont val="Carlito"/>
      </rPr>
      <t>군침</t>
    </r>
    <r>
      <rPr>
        <sz val="10"/>
        <rFont val="Carlito"/>
        <family val="2"/>
      </rPr>
      <t xml:space="preserve"> </t>
    </r>
    <r>
      <rPr>
        <sz val="10"/>
        <rFont val="Carlito"/>
      </rPr>
      <t>도는</t>
    </r>
  </si>
  <si>
    <r>
      <rPr>
        <sz val="10"/>
        <rFont val="Carlito"/>
      </rPr>
      <t>후보자</t>
    </r>
    <r>
      <rPr>
        <sz val="10"/>
        <rFont val="Carlito"/>
        <family val="2"/>
      </rPr>
      <t xml:space="preserve">, </t>
    </r>
    <r>
      <rPr>
        <sz val="10"/>
        <rFont val="Carlito"/>
      </rPr>
      <t>지명자</t>
    </r>
  </si>
  <si>
    <r>
      <rPr>
        <sz val="10"/>
        <rFont val="Carlito"/>
      </rPr>
      <t>온라인</t>
    </r>
    <r>
      <rPr>
        <sz val="10"/>
        <rFont val="Carlito"/>
        <family val="2"/>
      </rPr>
      <t xml:space="preserve"> </t>
    </r>
    <r>
      <rPr>
        <sz val="10"/>
        <rFont val="Carlito"/>
      </rPr>
      <t>방송</t>
    </r>
    <r>
      <rPr>
        <sz val="10"/>
        <rFont val="Carlito"/>
        <family val="2"/>
      </rPr>
      <t>/</t>
    </r>
    <r>
      <rPr>
        <sz val="10"/>
        <rFont val="Carlito"/>
      </rPr>
      <t>스트리밍</t>
    </r>
  </si>
  <si>
    <r>
      <rPr>
        <sz val="10"/>
        <rFont val="Carlito"/>
      </rPr>
      <t>주차</t>
    </r>
    <r>
      <rPr>
        <sz val="10"/>
        <rFont val="Carlito"/>
        <family val="2"/>
      </rPr>
      <t xml:space="preserve"> </t>
    </r>
    <r>
      <rPr>
        <sz val="10"/>
        <rFont val="Carlito"/>
      </rPr>
      <t>제한</t>
    </r>
  </si>
  <si>
    <r>
      <rPr>
        <sz val="10"/>
        <rFont val="Carlito"/>
      </rPr>
      <t>참여하다</t>
    </r>
  </si>
  <si>
    <r>
      <rPr>
        <sz val="10"/>
        <rFont val="Carlito"/>
      </rPr>
      <t>주기적으로</t>
    </r>
  </si>
  <si>
    <r>
      <rPr>
        <sz val="10"/>
        <rFont val="Carlito"/>
      </rPr>
      <t>개체</t>
    </r>
    <r>
      <rPr>
        <sz val="10"/>
        <rFont val="Carlito"/>
        <family val="2"/>
      </rPr>
      <t xml:space="preserve"> </t>
    </r>
    <r>
      <rPr>
        <sz val="10"/>
        <rFont val="Carlito"/>
      </rPr>
      <t>수</t>
    </r>
    <r>
      <rPr>
        <sz val="10"/>
        <rFont val="Carlito"/>
        <family val="2"/>
      </rPr>
      <t xml:space="preserve">, </t>
    </r>
    <r>
      <rPr>
        <sz val="10"/>
        <rFont val="Carlito"/>
      </rPr>
      <t>인구</t>
    </r>
  </si>
  <si>
    <r>
      <rPr>
        <sz val="10"/>
        <rFont val="Carlito"/>
      </rPr>
      <t>판촉의</t>
    </r>
    <r>
      <rPr>
        <sz val="10"/>
        <rFont val="Carlito"/>
        <family val="2"/>
      </rPr>
      <t xml:space="preserve">, </t>
    </r>
    <r>
      <rPr>
        <sz val="10"/>
        <rFont val="Carlito"/>
      </rPr>
      <t>홍보용의</t>
    </r>
  </si>
  <si>
    <r>
      <rPr>
        <sz val="10"/>
        <rFont val="Carlito"/>
      </rPr>
      <t>부동산</t>
    </r>
    <r>
      <rPr>
        <sz val="10"/>
        <rFont val="Carlito"/>
        <family val="2"/>
      </rPr>
      <t xml:space="preserve"> </t>
    </r>
    <r>
      <rPr>
        <sz val="10"/>
        <rFont val="Carlito"/>
      </rPr>
      <t>투자</t>
    </r>
  </si>
  <si>
    <r>
      <rPr>
        <sz val="10"/>
        <rFont val="Carlito"/>
      </rPr>
      <t>심리적인</t>
    </r>
  </si>
  <si>
    <r>
      <rPr>
        <sz val="10"/>
        <rFont val="Carlito"/>
      </rPr>
      <t>공개</t>
    </r>
    <r>
      <rPr>
        <sz val="10"/>
        <rFont val="Carlito"/>
        <family val="2"/>
      </rPr>
      <t xml:space="preserve"> </t>
    </r>
    <r>
      <rPr>
        <sz val="10"/>
        <rFont val="Carlito"/>
      </rPr>
      <t>경매</t>
    </r>
    <r>
      <rPr>
        <sz val="10"/>
        <rFont val="Carlito"/>
        <family val="2"/>
      </rPr>
      <t xml:space="preserve">, </t>
    </r>
    <r>
      <rPr>
        <sz val="10"/>
        <rFont val="Carlito"/>
      </rPr>
      <t>공매</t>
    </r>
  </si>
  <si>
    <r>
      <rPr>
        <sz val="10"/>
        <rFont val="Carlito"/>
      </rPr>
      <t>출판물</t>
    </r>
    <r>
      <rPr>
        <sz val="10"/>
        <rFont val="Carlito"/>
        <family val="2"/>
      </rPr>
      <t xml:space="preserve">, </t>
    </r>
    <r>
      <rPr>
        <sz val="10"/>
        <rFont val="Carlito"/>
      </rPr>
      <t>발행</t>
    </r>
  </si>
  <si>
    <r>
      <rPr>
        <sz val="10"/>
        <rFont val="Carlito"/>
      </rPr>
      <t>매물로</t>
    </r>
    <r>
      <rPr>
        <sz val="10"/>
        <rFont val="Carlito"/>
        <family val="2"/>
      </rPr>
      <t xml:space="preserve"> </t>
    </r>
    <r>
      <rPr>
        <sz val="10"/>
        <rFont val="Carlito"/>
      </rPr>
      <t>내놓다</t>
    </r>
  </si>
  <si>
    <r>
      <rPr>
        <sz val="10"/>
        <rFont val="Carlito"/>
      </rPr>
      <t>급속</t>
    </r>
    <r>
      <rPr>
        <sz val="10"/>
        <rFont val="Carlito"/>
        <family val="2"/>
      </rPr>
      <t xml:space="preserve"> </t>
    </r>
    <r>
      <rPr>
        <sz val="10"/>
        <rFont val="Carlito"/>
      </rPr>
      <t>충전의</t>
    </r>
  </si>
  <si>
    <r>
      <rPr>
        <sz val="10"/>
        <rFont val="Carlito"/>
      </rPr>
      <t>자금을</t>
    </r>
    <r>
      <rPr>
        <sz val="10"/>
        <rFont val="Carlito"/>
        <family val="2"/>
      </rPr>
      <t xml:space="preserve"> </t>
    </r>
    <r>
      <rPr>
        <sz val="10"/>
        <rFont val="Carlito"/>
      </rPr>
      <t>모으다</t>
    </r>
  </si>
  <si>
    <r>
      <rPr>
        <sz val="10"/>
        <rFont val="Carlito"/>
      </rPr>
      <t>경기침체</t>
    </r>
  </si>
  <si>
    <r>
      <rPr>
        <sz val="10"/>
        <rFont val="Carlito"/>
      </rPr>
      <t>포인트를</t>
    </r>
    <r>
      <rPr>
        <sz val="10"/>
        <rFont val="Carlito"/>
        <family val="2"/>
      </rPr>
      <t xml:space="preserve"> </t>
    </r>
    <r>
      <rPr>
        <sz val="10"/>
        <rFont val="Carlito"/>
      </rPr>
      <t>사용하다</t>
    </r>
  </si>
  <si>
    <r>
      <rPr>
        <sz val="10"/>
        <rFont val="Carlito"/>
      </rPr>
      <t>독립을</t>
    </r>
    <r>
      <rPr>
        <sz val="10"/>
        <rFont val="Carlito"/>
        <family val="2"/>
      </rPr>
      <t xml:space="preserve"> </t>
    </r>
    <r>
      <rPr>
        <sz val="10"/>
        <rFont val="Carlito"/>
      </rPr>
      <t>되찾다</t>
    </r>
  </si>
  <si>
    <r>
      <t>~</t>
    </r>
    <r>
      <rPr>
        <sz val="10"/>
        <rFont val="Carlito"/>
      </rPr>
      <t>에</t>
    </r>
    <r>
      <rPr>
        <sz val="10"/>
        <rFont val="Carlito"/>
        <family val="2"/>
      </rPr>
      <t xml:space="preserve"> </t>
    </r>
    <r>
      <rPr>
        <sz val="10"/>
        <rFont val="Carlito"/>
      </rPr>
      <t>등록하다</t>
    </r>
    <r>
      <rPr>
        <sz val="10"/>
        <rFont val="Carlito"/>
        <family val="2"/>
      </rPr>
      <t xml:space="preserve">, </t>
    </r>
    <r>
      <rPr>
        <sz val="10"/>
        <rFont val="Carlito"/>
      </rPr>
      <t>출마</t>
    </r>
    <r>
      <rPr>
        <sz val="10"/>
        <rFont val="Carlito"/>
        <family val="2"/>
      </rPr>
      <t xml:space="preserve"> </t>
    </r>
    <r>
      <rPr>
        <sz val="10"/>
        <rFont val="Carlito"/>
      </rPr>
      <t>등록하다</t>
    </r>
  </si>
  <si>
    <r>
      <rPr>
        <sz val="10"/>
        <rFont val="Carlito"/>
      </rPr>
      <t>마지못해</t>
    </r>
  </si>
  <si>
    <r>
      <rPr>
        <sz val="10"/>
        <rFont val="Carlito"/>
      </rPr>
      <t>재대결</t>
    </r>
  </si>
  <si>
    <r>
      <rPr>
        <sz val="10"/>
        <rFont val="Carlito"/>
      </rPr>
      <t>원격으로</t>
    </r>
  </si>
  <si>
    <r>
      <rPr>
        <sz val="10"/>
        <rFont val="Carlito"/>
      </rPr>
      <t>책임</t>
    </r>
  </si>
  <si>
    <r>
      <rPr>
        <sz val="10"/>
        <rFont val="Carlito"/>
      </rPr>
      <t>개보수를</t>
    </r>
    <r>
      <rPr>
        <sz val="10"/>
        <rFont val="Carlito"/>
        <family val="2"/>
      </rPr>
      <t xml:space="preserve"> </t>
    </r>
    <r>
      <rPr>
        <sz val="10"/>
        <rFont val="Carlito"/>
      </rPr>
      <t>재개하다</t>
    </r>
  </si>
  <si>
    <r>
      <rPr>
        <sz val="10"/>
        <rFont val="Carlito"/>
      </rPr>
      <t>은퇴</t>
    </r>
    <r>
      <rPr>
        <sz val="10"/>
        <rFont val="Carlito"/>
        <family val="2"/>
      </rPr>
      <t xml:space="preserve">, </t>
    </r>
    <r>
      <rPr>
        <sz val="10"/>
        <rFont val="Carlito"/>
      </rPr>
      <t>노후</t>
    </r>
  </si>
  <si>
    <r>
      <rPr>
        <sz val="10"/>
        <rFont val="Carlito"/>
      </rPr>
      <t>자제력</t>
    </r>
  </si>
  <si>
    <r>
      <t>16</t>
    </r>
    <r>
      <rPr>
        <sz val="10"/>
        <rFont val="Carlito"/>
      </rPr>
      <t>세기의</t>
    </r>
  </si>
  <si>
    <r>
      <rPr>
        <sz val="10"/>
        <rFont val="Carlito"/>
      </rPr>
      <t>깜빡</t>
    </r>
    <r>
      <rPr>
        <sz val="10"/>
        <rFont val="Carlito"/>
        <family val="2"/>
      </rPr>
      <t xml:space="preserve"> </t>
    </r>
    <r>
      <rPr>
        <sz val="10"/>
        <rFont val="Carlito"/>
      </rPr>
      <t>잊다</t>
    </r>
  </si>
  <si>
    <r>
      <rPr>
        <sz val="10"/>
        <rFont val="Carlito"/>
      </rPr>
      <t>대변인</t>
    </r>
  </si>
  <si>
    <r>
      <rPr>
        <sz val="10"/>
        <rFont val="Carlito"/>
      </rPr>
      <t>사임하다</t>
    </r>
    <r>
      <rPr>
        <sz val="10"/>
        <rFont val="Carlito"/>
        <family val="2"/>
      </rPr>
      <t xml:space="preserve">, </t>
    </r>
    <r>
      <rPr>
        <sz val="10"/>
        <rFont val="Carlito"/>
      </rPr>
      <t>물러나다</t>
    </r>
  </si>
  <si>
    <r>
      <rPr>
        <sz val="10"/>
        <rFont val="Carlito"/>
      </rPr>
      <t>구독료</t>
    </r>
  </si>
  <si>
    <r>
      <rPr>
        <sz val="10"/>
        <rFont val="Carlito"/>
      </rPr>
      <t>보충제</t>
    </r>
    <r>
      <rPr>
        <sz val="10"/>
        <rFont val="Carlito"/>
        <family val="2"/>
      </rPr>
      <t xml:space="preserve">; </t>
    </r>
    <r>
      <rPr>
        <sz val="10"/>
        <rFont val="Carlito"/>
      </rPr>
      <t>보완하다</t>
    </r>
  </si>
  <si>
    <r>
      <rPr>
        <sz val="10"/>
        <rFont val="Carlito"/>
      </rPr>
      <t>책임을</t>
    </r>
    <r>
      <rPr>
        <sz val="10"/>
        <rFont val="Carlito"/>
        <family val="2"/>
      </rPr>
      <t xml:space="preserve"> </t>
    </r>
    <r>
      <rPr>
        <sz val="10"/>
        <rFont val="Carlito"/>
      </rPr>
      <t>맡다</t>
    </r>
  </si>
  <si>
    <r>
      <rPr>
        <sz val="10"/>
        <rFont val="Carlito"/>
      </rPr>
      <t>대출을</t>
    </r>
    <r>
      <rPr>
        <sz val="10"/>
        <rFont val="Carlito"/>
        <family val="2"/>
      </rPr>
      <t xml:space="preserve"> </t>
    </r>
    <r>
      <rPr>
        <sz val="10"/>
        <rFont val="Carlito"/>
      </rPr>
      <t>받다</t>
    </r>
  </si>
  <si>
    <r>
      <rPr>
        <sz val="10"/>
        <rFont val="Carlito"/>
      </rPr>
      <t>대상</t>
    </r>
    <r>
      <rPr>
        <sz val="10"/>
        <rFont val="Carlito"/>
        <family val="2"/>
      </rPr>
      <t xml:space="preserve"> </t>
    </r>
    <r>
      <rPr>
        <sz val="10"/>
        <rFont val="Carlito"/>
      </rPr>
      <t>고객층</t>
    </r>
  </si>
  <si>
    <r>
      <rPr>
        <sz val="10"/>
        <rFont val="Carlito"/>
      </rPr>
      <t>그</t>
    </r>
    <r>
      <rPr>
        <sz val="10"/>
        <rFont val="Carlito"/>
        <family val="2"/>
      </rPr>
      <t xml:space="preserve"> </t>
    </r>
    <r>
      <rPr>
        <sz val="10"/>
        <rFont val="Carlito"/>
      </rPr>
      <t>반대</t>
    </r>
  </si>
  <si>
    <r>
      <rPr>
        <sz val="10"/>
        <rFont val="Carlito"/>
      </rPr>
      <t>지금까지</t>
    </r>
  </si>
  <si>
    <r>
      <rPr>
        <sz val="10"/>
        <rFont val="Carlito"/>
      </rPr>
      <t>무역</t>
    </r>
    <r>
      <rPr>
        <sz val="10"/>
        <rFont val="Carlito"/>
        <family val="2"/>
      </rPr>
      <t xml:space="preserve"> </t>
    </r>
    <r>
      <rPr>
        <sz val="10"/>
        <rFont val="Carlito"/>
      </rPr>
      <t>박람회</t>
    </r>
  </si>
  <si>
    <r>
      <rPr>
        <sz val="10"/>
        <rFont val="Carlito"/>
      </rPr>
      <t>거래</t>
    </r>
  </si>
  <si>
    <r>
      <rPr>
        <sz val="10"/>
        <rFont val="Carlito"/>
      </rPr>
      <t>현실로</t>
    </r>
    <r>
      <rPr>
        <sz val="10"/>
        <rFont val="Carlito"/>
        <family val="2"/>
      </rPr>
      <t xml:space="preserve"> </t>
    </r>
    <r>
      <rPr>
        <sz val="10"/>
        <rFont val="Carlito"/>
      </rPr>
      <t>만들다</t>
    </r>
  </si>
  <si>
    <r>
      <rPr>
        <sz val="10"/>
        <rFont val="Carlito"/>
      </rPr>
      <t>수술에</t>
    </r>
    <r>
      <rPr>
        <sz val="10"/>
        <rFont val="Carlito"/>
        <family val="2"/>
      </rPr>
      <t xml:space="preserve"> </t>
    </r>
    <r>
      <rPr>
        <sz val="10"/>
        <rFont val="Carlito"/>
      </rPr>
      <t>의존하다</t>
    </r>
  </si>
  <si>
    <r>
      <rPr>
        <sz val="10"/>
        <rFont val="Carlito"/>
      </rPr>
      <t>통제되지</t>
    </r>
    <r>
      <rPr>
        <sz val="10"/>
        <rFont val="Carlito"/>
        <family val="2"/>
      </rPr>
      <t xml:space="preserve"> </t>
    </r>
    <r>
      <rPr>
        <sz val="10"/>
        <rFont val="Carlito"/>
      </rPr>
      <t>않는</t>
    </r>
  </si>
  <si>
    <r>
      <rPr>
        <sz val="10"/>
        <rFont val="Carlito"/>
      </rPr>
      <t>유니폼</t>
    </r>
    <r>
      <rPr>
        <sz val="10"/>
        <rFont val="Carlito"/>
        <family val="2"/>
      </rPr>
      <t xml:space="preserve"> </t>
    </r>
    <r>
      <rPr>
        <sz val="10"/>
        <rFont val="Carlito"/>
      </rPr>
      <t>정책</t>
    </r>
  </si>
  <si>
    <r>
      <rPr>
        <sz val="10"/>
        <rFont val="Carlito"/>
      </rPr>
      <t>폐기물</t>
    </r>
    <r>
      <rPr>
        <sz val="10"/>
        <rFont val="Carlito"/>
        <family val="2"/>
      </rPr>
      <t xml:space="preserve"> </t>
    </r>
    <r>
      <rPr>
        <sz val="10"/>
        <rFont val="Carlito"/>
      </rPr>
      <t>배출량</t>
    </r>
  </si>
  <si>
    <r>
      <rPr>
        <sz val="10"/>
        <rFont val="Carlito"/>
      </rPr>
      <t>야생동물</t>
    </r>
    <r>
      <rPr>
        <sz val="10"/>
        <rFont val="Carlito"/>
        <family val="2"/>
      </rPr>
      <t xml:space="preserve"> </t>
    </r>
    <r>
      <rPr>
        <sz val="10"/>
        <rFont val="Carlito"/>
      </rPr>
      <t>센터</t>
    </r>
  </si>
  <si>
    <r>
      <rPr>
        <sz val="10"/>
        <rFont val="Carlito"/>
      </rPr>
      <t>일과</t>
    </r>
    <r>
      <rPr>
        <sz val="10"/>
        <rFont val="Carlito"/>
        <family val="2"/>
      </rPr>
      <t xml:space="preserve"> </t>
    </r>
    <r>
      <rPr>
        <sz val="10"/>
        <rFont val="Carlito"/>
      </rPr>
      <t>삶의</t>
    </r>
    <r>
      <rPr>
        <sz val="10"/>
        <rFont val="Carlito"/>
        <family val="2"/>
      </rPr>
      <t xml:space="preserve"> </t>
    </r>
    <r>
      <rPr>
        <sz val="10"/>
        <rFont val="Carlito"/>
      </rPr>
      <t>균형</t>
    </r>
  </si>
  <si>
    <r>
      <rPr>
        <sz val="10"/>
        <rFont val="Carlito"/>
      </rPr>
      <t>강한</t>
    </r>
    <r>
      <rPr>
        <sz val="10"/>
        <rFont val="Carlito"/>
        <family val="2"/>
      </rPr>
      <t xml:space="preserve"> </t>
    </r>
    <r>
      <rPr>
        <sz val="10"/>
        <rFont val="Carlito"/>
      </rPr>
      <t>인상</t>
    </r>
    <r>
      <rPr>
        <sz val="10"/>
        <rFont val="Carlito"/>
        <family val="2"/>
      </rPr>
      <t xml:space="preserve">, </t>
    </r>
    <r>
      <rPr>
        <sz val="10"/>
        <rFont val="Carlito"/>
      </rPr>
      <t>놀라운</t>
    </r>
    <r>
      <rPr>
        <sz val="10"/>
        <rFont val="Carlito"/>
        <family val="2"/>
      </rPr>
      <t xml:space="preserve"> </t>
    </r>
    <r>
      <rPr>
        <sz val="10"/>
        <rFont val="Carlito"/>
      </rPr>
      <t>매력</t>
    </r>
  </si>
  <si>
    <r>
      <rPr>
        <sz val="10"/>
        <rFont val="Carlito"/>
      </rPr>
      <t>냄새로</t>
    </r>
  </si>
  <si>
    <r>
      <rPr>
        <sz val="10"/>
        <rFont val="Carlito"/>
      </rPr>
      <t>리노베이션</t>
    </r>
    <r>
      <rPr>
        <sz val="10"/>
        <rFont val="Carlito"/>
        <family val="2"/>
      </rPr>
      <t xml:space="preserve"> </t>
    </r>
    <r>
      <rPr>
        <sz val="10"/>
        <rFont val="Carlito"/>
      </rPr>
      <t>때문에</t>
    </r>
    <r>
      <rPr>
        <sz val="10"/>
        <rFont val="Carlito"/>
        <family val="2"/>
      </rPr>
      <t xml:space="preserve"> </t>
    </r>
    <r>
      <rPr>
        <sz val="10"/>
        <rFont val="Carlito"/>
      </rPr>
      <t>임시</t>
    </r>
    <r>
      <rPr>
        <sz val="10"/>
        <rFont val="Carlito"/>
        <family val="2"/>
      </rPr>
      <t xml:space="preserve"> </t>
    </r>
    <r>
      <rPr>
        <sz val="10"/>
        <rFont val="Carlito"/>
      </rPr>
      <t>휴업하는</t>
    </r>
  </si>
  <si>
    <r>
      <rPr>
        <sz val="10"/>
        <rFont val="Carlito"/>
      </rPr>
      <t>어린이집</t>
    </r>
    <r>
      <rPr>
        <sz val="10"/>
        <rFont val="Carlito"/>
        <family val="2"/>
      </rPr>
      <t xml:space="preserve">, </t>
    </r>
    <r>
      <rPr>
        <sz val="10"/>
        <rFont val="Carlito"/>
      </rPr>
      <t>보육</t>
    </r>
  </si>
  <si>
    <r>
      <rPr>
        <sz val="10"/>
        <rFont val="Carlito"/>
      </rPr>
      <t>성찬</t>
    </r>
    <r>
      <rPr>
        <sz val="10"/>
        <rFont val="Carlito"/>
        <family val="2"/>
      </rPr>
      <t xml:space="preserve">, </t>
    </r>
    <r>
      <rPr>
        <sz val="10"/>
        <rFont val="Carlito"/>
      </rPr>
      <t>잔치</t>
    </r>
    <r>
      <rPr>
        <sz val="10"/>
        <rFont val="Carlito"/>
        <family val="2"/>
      </rPr>
      <t xml:space="preserve"> </t>
    </r>
    <r>
      <rPr>
        <sz val="10"/>
        <rFont val="Carlito"/>
      </rPr>
      <t>음식</t>
    </r>
  </si>
  <si>
    <r>
      <rPr>
        <sz val="10"/>
        <rFont val="Carlito"/>
      </rPr>
      <t>장기적으로</t>
    </r>
    <r>
      <rPr>
        <sz val="10"/>
        <rFont val="Carlito"/>
        <family val="2"/>
      </rPr>
      <t xml:space="preserve"> </t>
    </r>
    <r>
      <rPr>
        <sz val="10"/>
        <rFont val="Carlito"/>
      </rPr>
      <t>보면</t>
    </r>
  </si>
  <si>
    <r>
      <t>~</t>
    </r>
    <r>
      <rPr>
        <sz val="10"/>
        <rFont val="Carlito"/>
      </rPr>
      <t>할</t>
    </r>
    <r>
      <rPr>
        <sz val="10"/>
        <rFont val="Carlito"/>
        <family val="2"/>
      </rPr>
      <t xml:space="preserve"> </t>
    </r>
    <r>
      <rPr>
        <sz val="10"/>
        <rFont val="Carlito"/>
      </rPr>
      <t>작정이다</t>
    </r>
    <r>
      <rPr>
        <sz val="10"/>
        <rFont val="Carlito"/>
        <family val="2"/>
      </rPr>
      <t xml:space="preserve">, </t>
    </r>
    <r>
      <rPr>
        <sz val="10"/>
        <rFont val="Carlito"/>
      </rPr>
      <t>의도하다</t>
    </r>
  </si>
  <si>
    <r>
      <rPr>
        <sz val="10"/>
        <rFont val="Carlito"/>
      </rPr>
      <t>장거리</t>
    </r>
    <r>
      <rPr>
        <sz val="10"/>
        <rFont val="Carlito"/>
        <family val="2"/>
      </rPr>
      <t xml:space="preserve"> </t>
    </r>
    <r>
      <rPr>
        <sz val="10"/>
        <rFont val="Carlito"/>
      </rPr>
      <t>연애</t>
    </r>
  </si>
  <si>
    <r>
      <t>A</t>
    </r>
    <r>
      <rPr>
        <sz val="10"/>
        <rFont val="Carlito"/>
      </rPr>
      <t>가</t>
    </r>
    <r>
      <rPr>
        <sz val="10"/>
        <rFont val="Carlito"/>
        <family val="2"/>
      </rPr>
      <t xml:space="preserve"> ~</t>
    </r>
    <r>
      <rPr>
        <sz val="10"/>
        <rFont val="Carlito"/>
      </rPr>
      <t>하지</t>
    </r>
    <r>
      <rPr>
        <sz val="10"/>
        <rFont val="Carlito"/>
        <family val="2"/>
      </rPr>
      <t xml:space="preserve"> </t>
    </r>
    <r>
      <rPr>
        <sz val="10"/>
        <rFont val="Carlito"/>
      </rPr>
      <t>못하게</t>
    </r>
    <r>
      <rPr>
        <sz val="10"/>
        <rFont val="Carlito"/>
        <family val="2"/>
      </rPr>
      <t xml:space="preserve"> </t>
    </r>
    <r>
      <rPr>
        <sz val="10"/>
        <rFont val="Carlito"/>
      </rPr>
      <t>막다</t>
    </r>
  </si>
  <si>
    <r>
      <rPr>
        <sz val="10"/>
        <rFont val="Carlito"/>
      </rPr>
      <t>익다</t>
    </r>
    <r>
      <rPr>
        <sz val="10"/>
        <rFont val="Carlito"/>
        <family val="2"/>
      </rPr>
      <t xml:space="preserve">, </t>
    </r>
    <r>
      <rPr>
        <sz val="10"/>
        <rFont val="Carlito"/>
      </rPr>
      <t>숙성되다</t>
    </r>
  </si>
  <si>
    <r>
      <rPr>
        <sz val="10"/>
        <rFont val="Carlito"/>
      </rPr>
      <t>진지하게</t>
    </r>
    <r>
      <rPr>
        <sz val="10"/>
        <rFont val="Carlito"/>
        <family val="2"/>
      </rPr>
      <t xml:space="preserve"> </t>
    </r>
    <r>
      <rPr>
        <sz val="10"/>
        <rFont val="Carlito"/>
      </rPr>
      <t>받아들이다</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</si>
</sst>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0"/>
      <color rgb="FF000000"/>
      <name val="Arial"/>
      <scheme val="minor"/>
    </font>
    <font>
      <sz val="10"/>
      <color theme="1"/>
      <name val="Arial"/>
      <family val="2"/>
      <scheme val="minor"/>
    </font>
    <font>
      <sz val="10"/>
      <color rgb="FF000000"/>
      <name val="Arial"/>
      <family val="2"/>
      <scheme val="minor"/>
    </font>
    <font>
      <sz val="8"/>
      <name val="Arial"/>
      <family val="3"/>
      <charset val="129"/>
      <scheme val="minor"/>
    </font>
    <font>
      <sz val="10"/>
      <name val="Arial"/>
      <family val="2"/>
      <scheme val="minor"/>
    </font>
    <font>
      <b/>
      <sz val="10"/>
      <name val="Carlito"/>
    </font>
    <font>
      <sz val="10"/>
      <color theme="1"/>
      <name val="Carlito"/>
    </font>
    <font>
      <b/>
      <sz val="10"/>
      <color theme="1"/>
      <name val="Carlito"/>
    </font>
    <font>
      <sz val="10"/>
      <color rgb="FF333333"/>
      <name val="Carlito"/>
    </font>
    <font>
      <b/>
      <sz val="10"/>
      <name val="Carlito"/>
      <family val="2"/>
    </font>
    <font>
      <sz val="10"/>
      <name val="Carlito"/>
      <family val="2"/>
    </font>
    <font>
      <sz val="10"/>
      <name val="Carlito"/>
    </font>
  </fonts>
  <fills count="8">
    <fill>
      <patternFill patternType="none"/>
    </fill>
    <fill>
      <patternFill patternType="gray125"/>
    </fill>
    <fill>
      <patternFill patternType="solid">
        <fgColor theme="0" tint="-0.14999847407452621"/>
        <bgColor rgb="FF156082"/>
      </patternFill>
    </fill>
    <fill>
      <patternFill patternType="solid">
        <fgColor theme="0" tint="-0.14999847407452621"/>
        <bgColor indexed="64"/>
      </patternFill>
    </fill>
    <fill>
      <patternFill patternType="solid">
        <fgColor theme="0"/>
        <bgColor indexed="64"/>
      </patternFill>
    </fill>
    <fill>
      <patternFill patternType="solid">
        <fgColor theme="0"/>
        <bgColor rgb="FFC1E4F5"/>
      </patternFill>
    </fill>
    <fill>
      <patternFill patternType="solid">
        <fgColor theme="0"/>
        <bgColor rgb="FFFFFFFF"/>
      </patternFill>
    </fill>
    <fill>
      <patternFill patternType="solid">
        <fgColor theme="0" tint="-0.14999847407452621"/>
        <bgColor rgb="FF0F766E"/>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19">
    <xf numFmtId="0" fontId="0" fillId="0" borderId="0" xfId="0" applyFont="1" applyAlignment="1"/>
    <xf numFmtId="1" fontId="5" fillId="2" borderId="1" xfId="0" applyNumberFormat="1" applyFont="1" applyFill="1" applyBorder="1" applyAlignment="1">
      <alignment horizontal="center" vertical="center" wrapText="1"/>
    </xf>
    <xf numFmtId="1" fontId="5" fillId="2" borderId="1" xfId="0" applyNumberFormat="1" applyFont="1" applyFill="1" applyBorder="1" applyAlignment="1">
      <alignment vertical="center" wrapText="1"/>
    </xf>
    <xf numFmtId="0" fontId="4" fillId="3" borderId="1" xfId="0" applyFont="1" applyFill="1" applyBorder="1" applyAlignment="1"/>
    <xf numFmtId="0" fontId="6" fillId="5" borderId="1" xfId="0" applyFont="1" applyFill="1" applyBorder="1" applyAlignment="1">
      <alignment horizontal="right" vertical="center" wrapText="1"/>
    </xf>
    <xf numFmtId="0" fontId="6" fillId="5" borderId="1" xfId="0" applyFont="1" applyFill="1" applyBorder="1" applyAlignment="1">
      <alignment vertical="center" wrapText="1"/>
    </xf>
    <xf numFmtId="0" fontId="7" fillId="5" borderId="1" xfId="0" applyFont="1" applyFill="1" applyBorder="1" applyAlignment="1">
      <alignment vertical="center" wrapText="1"/>
    </xf>
    <xf numFmtId="0" fontId="8" fillId="5" borderId="1" xfId="0" applyFont="1" applyFill="1" applyBorder="1" applyAlignment="1">
      <alignment vertical="center" wrapText="1"/>
    </xf>
    <xf numFmtId="0" fontId="2" fillId="4" borderId="1" xfId="0" applyFont="1" applyFill="1" applyBorder="1" applyAlignment="1"/>
    <xf numFmtId="0" fontId="6" fillId="6" borderId="1" xfId="0" applyFont="1" applyFill="1" applyBorder="1" applyAlignment="1">
      <alignment horizontal="right" vertical="center" wrapText="1"/>
    </xf>
    <xf numFmtId="0" fontId="6" fillId="6" borderId="1" xfId="0" applyFont="1" applyFill="1" applyBorder="1" applyAlignment="1">
      <alignment vertical="center" wrapText="1"/>
    </xf>
    <xf numFmtId="0" fontId="7" fillId="6" borderId="1" xfId="0" applyFont="1" applyFill="1" applyBorder="1" applyAlignment="1">
      <alignment vertical="center" wrapText="1"/>
    </xf>
    <xf numFmtId="0" fontId="8" fillId="6" borderId="1" xfId="0" applyFont="1" applyFill="1" applyBorder="1" applyAlignment="1">
      <alignment vertical="center" wrapText="1"/>
    </xf>
    <xf numFmtId="0" fontId="5" fillId="7" borderId="1" xfId="0" applyFont="1" applyFill="1" applyBorder="1" applyAlignment="1">
      <alignment horizontal="center" vertical="center" wrapText="1"/>
    </xf>
    <xf numFmtId="0" fontId="2" fillId="3" borderId="1" xfId="0" applyFont="1" applyFill="1" applyBorder="1" applyAlignment="1"/>
    <xf numFmtId="0" fontId="10" fillId="4" borderId="1" xfId="0" applyFont="1" applyFill="1" applyBorder="1" applyAlignment="1">
      <alignment wrapText="1"/>
    </xf>
    <xf numFmtId="0" fontId="10" fillId="4" borderId="1" xfId="0" applyFont="1" applyFill="1" applyBorder="1" applyAlignment="1">
      <alignment vertical="center" wrapText="1"/>
    </xf>
    <xf numFmtId="0" fontId="2" fillId="0" borderId="1" xfId="0" applyFont="1" applyBorder="1" applyAlignment="1"/>
    <xf numFmtId="0" fontId="1" fillId="0" borderId="1" xfId="0" applyFont="1" applyBorder="1" applyAlignment="1">
      <alignment wrapText="1"/>
    </xf>
  </cellXfs>
  <cellStyles count="1">
    <cellStyle name="Normal" xfId="0" builtinId="0"/>
  </cellStyles>
  <dxfs count="26">
    <dxf>
      <font>
        <strike val="0"/>
        <outline val="0"/>
        <shadow val="0"/>
        <u val="none"/>
        <vertAlign val="baseline"/>
        <sz val="10"/>
        <color auto="1"/>
        <name val="Carlito"/>
        <family val="2"/>
        <scheme val="none"/>
      </font>
      <fill>
        <patternFill>
          <bgColor theme="0"/>
        </patternFill>
      </fill>
      <border diagonalUp="0" diagonalDown="0">
        <left style="hair">
          <color auto="1"/>
        </left>
        <right style="hair">
          <color auto="1"/>
        </right>
        <top/>
        <bottom/>
        <vertical style="hair">
          <color auto="1"/>
        </vertical>
        <horizontal style="hair">
          <color auto="1"/>
        </horizontal>
      </border>
    </dxf>
    <dxf>
      <font>
        <strike val="0"/>
        <outline val="0"/>
        <shadow val="0"/>
        <u val="none"/>
        <vertAlign val="baseline"/>
        <sz val="10"/>
        <color auto="1"/>
        <name val="Carlito"/>
        <family val="2"/>
        <scheme val="none"/>
      </font>
      <fill>
        <patternFill>
          <bgColor theme="0"/>
        </patternFill>
      </fill>
      <border diagonalUp="0" diagonalDown="0">
        <left style="hair">
          <color auto="1"/>
        </left>
        <right style="hair">
          <color auto="1"/>
        </right>
        <top/>
        <bottom/>
        <vertical style="hair">
          <color auto="1"/>
        </vertical>
        <horizontal style="hair">
          <color auto="1"/>
        </horizontal>
      </border>
    </dxf>
    <dxf>
      <font>
        <strike val="0"/>
        <outline val="0"/>
        <shadow val="0"/>
        <u val="none"/>
        <vertAlign val="baseline"/>
        <sz val="10"/>
        <color auto="1"/>
        <name val="Carlito"/>
        <family val="2"/>
        <scheme val="none"/>
      </font>
      <fill>
        <patternFill>
          <bgColor theme="0"/>
        </patternFill>
      </fill>
      <border diagonalUp="0" diagonalDown="0">
        <left style="hair">
          <color auto="1"/>
        </left>
        <right/>
        <top style="hair">
          <color auto="1"/>
        </top>
        <bottom style="hair">
          <color auto="1"/>
        </bottom>
        <vertical style="hair">
          <color auto="1"/>
        </vertical>
        <horizontal style="hair">
          <color auto="1"/>
        </horizontal>
      </border>
    </dxf>
    <dxf>
      <font>
        <strike val="0"/>
        <outline val="0"/>
        <shadow val="0"/>
        <u val="none"/>
        <vertAlign val="baseline"/>
        <sz val="10"/>
        <color auto="1"/>
        <name val="Carlito"/>
        <family val="2"/>
        <scheme val="none"/>
      </font>
      <fill>
        <patternFill>
          <bgColor theme="0"/>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0"/>
        <color auto="1"/>
        <name val="Carlito"/>
        <family val="2"/>
        <scheme val="none"/>
      </font>
      <fill>
        <patternFill>
          <bgColor theme="0"/>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0"/>
        <color auto="1"/>
        <name val="Carlito"/>
        <family val="2"/>
        <scheme val="none"/>
      </font>
      <fill>
        <patternFill>
          <bgColor theme="0"/>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0"/>
        <color auto="1"/>
        <name val="Carlito"/>
        <family val="2"/>
        <scheme val="none"/>
      </font>
      <fill>
        <patternFill>
          <bgColor theme="0"/>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0"/>
        <color auto="1"/>
        <name val="Carlito"/>
        <family val="2"/>
        <scheme val="none"/>
      </font>
      <fill>
        <patternFill>
          <bgColor theme="0"/>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0"/>
        <color auto="1"/>
        <name val="Carlito"/>
        <family val="2"/>
        <scheme val="none"/>
      </font>
      <fill>
        <patternFill>
          <bgColor theme="0"/>
        </patternFill>
      </fill>
      <border diagonalUp="0" diagonalDown="0">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0"/>
        <color auto="1"/>
        <name val="Carlito"/>
        <family val="2"/>
        <scheme val="none"/>
      </font>
      <fill>
        <patternFill>
          <bgColor theme="0"/>
        </patternFill>
      </fill>
    </dxf>
    <dxf>
      <font>
        <strike val="0"/>
        <outline val="0"/>
        <shadow val="0"/>
        <u val="none"/>
        <vertAlign val="baseline"/>
        <sz val="10"/>
      </font>
      <fill>
        <patternFill>
          <bgColor theme="0"/>
        </patternFill>
      </fill>
      <border diagonalUp="0" diagonalDown="0">
        <left style="hair">
          <color auto="1"/>
        </left>
        <right style="hair">
          <color auto="1"/>
        </right>
        <top/>
        <bottom/>
        <vertical style="hair">
          <color auto="1"/>
        </vertical>
        <horizontal style="hair">
          <color auto="1"/>
        </horizontal>
      </border>
    </dxf>
    <dxf>
      <font>
        <strike val="0"/>
        <outline val="0"/>
        <shadow val="0"/>
        <u val="none"/>
        <vertAlign val="baseline"/>
        <sz val="10"/>
        <color auto="1"/>
      </font>
      <fill>
        <patternFill patternType="solid">
          <bgColor theme="0" tint="-0.14999847407452621"/>
        </patternFill>
      </fill>
      <border diagonalUp="0" diagonalDown="0">
        <left style="hair">
          <color auto="1"/>
        </left>
        <right style="hair">
          <color auto="1"/>
        </right>
        <top/>
        <bottom/>
        <vertical style="hair">
          <color auto="1"/>
        </vertical>
        <horizontal style="hair">
          <color auto="1"/>
        </horizontal>
      </border>
    </dxf>
    <dxf>
      <font>
        <strike val="0"/>
        <outline val="0"/>
        <shadow val="0"/>
        <u val="none"/>
        <vertAlign val="baseline"/>
        <sz val="10"/>
      </font>
      <fill>
        <patternFill>
          <bgColor theme="0"/>
        </patternFill>
      </fill>
      <border diagonalUp="0" diagonalDown="0">
        <left style="hair">
          <color auto="1"/>
        </left>
        <right/>
        <top style="hair">
          <color auto="1"/>
        </top>
        <bottom style="hair">
          <color auto="1"/>
        </bottom>
        <vertical style="hair">
          <color auto="1"/>
        </vertical>
        <horizontal style="hair">
          <color auto="1"/>
        </horizontal>
      </border>
    </dxf>
    <dxf>
      <font>
        <strike val="0"/>
        <outline val="0"/>
        <shadow val="0"/>
        <u val="none"/>
        <vertAlign val="baseline"/>
        <sz val="10"/>
      </font>
      <fill>
        <patternFill>
          <bgColor theme="0"/>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0"/>
      </font>
      <fill>
        <patternFill>
          <bgColor theme="0"/>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0"/>
      </font>
      <fill>
        <patternFill>
          <bgColor theme="0"/>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0"/>
      </font>
      <fill>
        <patternFill>
          <bgColor theme="0"/>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0"/>
      </font>
      <fill>
        <patternFill>
          <bgColor theme="0"/>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0"/>
      </font>
      <fill>
        <patternFill>
          <bgColor theme="0"/>
        </patternFill>
      </fill>
      <border diagonalUp="0" diagonalDown="0">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0"/>
      </font>
      <fill>
        <patternFill>
          <bgColor theme="0"/>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2">
    <tableStyle name="어휘단어장(통합)-style" pivot="0" count="3" xr9:uid="{00000000-0011-0000-FFFF-FFFF00000000}">
      <tableStyleElement type="headerRow" dxfId="25"/>
      <tableStyleElement type="firstRowStripe" dxfId="24"/>
      <tableStyleElement type="secondRowStripe" dxfId="23"/>
    </tableStyle>
    <tableStyle name="독해단어장(통합)-style" pivot="0" count="3" xr9:uid="{00000000-0011-0000-FFFF-FFFF01000000}">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536" headerRowDxfId="11" dataDxfId="19" totalsRowDxfId="10">
  <tableColumns count="7">
    <tableColumn id="1" xr3:uid="{00000000-0010-0000-0000-000001000000}" name="순위" dataDxfId="18"/>
    <tableColumn id="2" xr3:uid="{00000000-0010-0000-0000-000002000000}" name="그룹" dataDxfId="17"/>
    <tableColumn id="3" xr3:uid="{00000000-0010-0000-0000-000003000000}" name="단어" dataDxfId="16"/>
    <tableColumn id="4" xr3:uid="{00000000-0010-0000-0000-000004000000}" name="뜻" dataDxfId="15"/>
    <tableColumn id="5" xr3:uid="{00000000-0010-0000-0000-000005000000}" name="예문" dataDxfId="14"/>
    <tableColumn id="6" xr3:uid="{00000000-0010-0000-0000-000006000000}" name="중복 파일 수" dataDxfId="13"/>
    <tableColumn id="7" xr3:uid="{00000000-0010-0000-0000-000007000000}" name="총 등장 횟수" dataDxfId="12"/>
  </tableColumns>
  <tableStyleInfo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977" headerRowCount="0" headerRowDxfId="1" dataDxfId="9" totalsRowDxfId="0">
  <tableColumns count="7">
    <tableColumn id="1" xr3:uid="{00000000-0010-0000-0100-000001000000}" name="Column1" dataDxfId="8"/>
    <tableColumn id="2" xr3:uid="{00000000-0010-0000-0100-000002000000}" name="Column2" dataDxfId="7"/>
    <tableColumn id="3" xr3:uid="{00000000-0010-0000-0100-000003000000}" name="Column3" dataDxfId="6"/>
    <tableColumn id="4" xr3:uid="{00000000-0010-0000-0100-000004000000}" name="Column4" dataDxfId="5"/>
    <tableColumn id="5" xr3:uid="{00000000-0010-0000-0100-000005000000}" name="Column5" dataDxfId="4"/>
    <tableColumn id="6" xr3:uid="{00000000-0010-0000-0100-000006000000}" name="Column6" dataDxfId="3"/>
    <tableColumn id="7" xr3:uid="{00000000-0010-0000-0100-000007000000}" name="Column7" dataDxfId="2"/>
  </tableColumns>
  <tableStyleInfo name="독해단어장(통합)-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536"/>
  <sheetViews>
    <sheetView workbookViewId="0">
      <pane ySplit="1" topLeftCell="A237" activePane="bottomLeft" state="frozen"/>
      <selection pane="bottomLeft" activeCell="C502" sqref="C502"/>
    </sheetView>
  </sheetViews>
  <sheetFormatPr defaultColWidth="12.5703125" defaultRowHeight="12.75"/>
  <cols>
    <col min="1" max="1" width="6.28515625" style="8" bestFit="1" customWidth="1"/>
    <col min="2" max="2" width="15.28515625" style="8" bestFit="1" customWidth="1"/>
    <col min="3" max="3" width="28.42578125" style="8" bestFit="1" customWidth="1"/>
    <col min="4" max="4" width="40.28515625" style="8" customWidth="1"/>
    <col min="5" max="5" width="100.140625" style="8" customWidth="1"/>
    <col min="6" max="6" width="21.85546875" style="8" hidden="1" customWidth="1"/>
    <col min="7" max="16384" width="12.5703125" style="8"/>
  </cols>
  <sheetData>
    <row r="1" spans="1:7" s="3" customFormat="1">
      <c r="A1" s="1" t="s">
        <v>0</v>
      </c>
      <c r="B1" s="1" t="s">
        <v>1</v>
      </c>
      <c r="C1" s="2" t="s">
        <v>2</v>
      </c>
      <c r="D1" s="1" t="s">
        <v>3</v>
      </c>
      <c r="E1" s="1" t="s">
        <v>4</v>
      </c>
      <c r="F1" s="1" t="s">
        <v>5</v>
      </c>
      <c r="G1" s="1" t="s">
        <v>6</v>
      </c>
    </row>
    <row r="2" spans="1:7" ht="25.5">
      <c r="A2" s="4">
        <v>1</v>
      </c>
      <c r="B2" s="5" t="s">
        <v>7</v>
      </c>
      <c r="C2" s="6" t="s">
        <v>8</v>
      </c>
      <c r="D2" s="7" t="s">
        <v>9</v>
      </c>
      <c r="E2" s="7" t="s">
        <v>10</v>
      </c>
      <c r="F2" s="4">
        <v>3</v>
      </c>
      <c r="G2" s="4">
        <v>5</v>
      </c>
    </row>
    <row r="3" spans="1:7" ht="25.5">
      <c r="A3" s="9">
        <v>2</v>
      </c>
      <c r="B3" s="10" t="s">
        <v>7</v>
      </c>
      <c r="C3" s="11" t="s">
        <v>11</v>
      </c>
      <c r="D3" s="12" t="s">
        <v>12</v>
      </c>
      <c r="E3" s="12" t="s">
        <v>13</v>
      </c>
      <c r="F3" s="9">
        <v>3</v>
      </c>
      <c r="G3" s="9">
        <v>4</v>
      </c>
    </row>
    <row r="4" spans="1:7" ht="25.5">
      <c r="A4" s="4">
        <v>3</v>
      </c>
      <c r="B4" s="5" t="s">
        <v>7</v>
      </c>
      <c r="C4" s="6" t="s">
        <v>14</v>
      </c>
      <c r="D4" s="7" t="s">
        <v>15</v>
      </c>
      <c r="E4" s="7" t="s">
        <v>16</v>
      </c>
      <c r="F4" s="4">
        <v>3</v>
      </c>
      <c r="G4" s="4">
        <v>4</v>
      </c>
    </row>
    <row r="5" spans="1:7" ht="25.5">
      <c r="A5" s="9">
        <v>4</v>
      </c>
      <c r="B5" s="10" t="s">
        <v>7</v>
      </c>
      <c r="C5" s="11" t="s">
        <v>17</v>
      </c>
      <c r="D5" s="12" t="s">
        <v>18</v>
      </c>
      <c r="E5" s="12" t="s">
        <v>19</v>
      </c>
      <c r="F5" s="9">
        <v>3</v>
      </c>
      <c r="G5" s="9">
        <v>4</v>
      </c>
    </row>
    <row r="6" spans="1:7" ht="25.5">
      <c r="A6" s="4">
        <v>5</v>
      </c>
      <c r="B6" s="5" t="s">
        <v>7</v>
      </c>
      <c r="C6" s="6" t="s">
        <v>20</v>
      </c>
      <c r="D6" s="7" t="s">
        <v>21</v>
      </c>
      <c r="E6" s="7" t="s">
        <v>22</v>
      </c>
      <c r="F6" s="4">
        <v>3</v>
      </c>
      <c r="G6" s="4">
        <v>4</v>
      </c>
    </row>
    <row r="7" spans="1:7" ht="25.5">
      <c r="A7" s="9">
        <v>6</v>
      </c>
      <c r="B7" s="10" t="s">
        <v>7</v>
      </c>
      <c r="C7" s="11" t="s">
        <v>23</v>
      </c>
      <c r="D7" s="12" t="s">
        <v>24</v>
      </c>
      <c r="E7" s="12" t="s">
        <v>25</v>
      </c>
      <c r="F7" s="9">
        <v>3</v>
      </c>
      <c r="G7" s="9">
        <v>4</v>
      </c>
    </row>
    <row r="8" spans="1:7" ht="25.5">
      <c r="A8" s="4">
        <v>7</v>
      </c>
      <c r="B8" s="5" t="s">
        <v>7</v>
      </c>
      <c r="C8" s="6" t="s">
        <v>26</v>
      </c>
      <c r="D8" s="7" t="s">
        <v>27</v>
      </c>
      <c r="E8" s="7" t="s">
        <v>28</v>
      </c>
      <c r="F8" s="4">
        <v>3</v>
      </c>
      <c r="G8" s="4">
        <v>4</v>
      </c>
    </row>
    <row r="9" spans="1:7" ht="25.5">
      <c r="A9" s="9">
        <v>8</v>
      </c>
      <c r="B9" s="10" t="s">
        <v>7</v>
      </c>
      <c r="C9" s="11" t="s">
        <v>29</v>
      </c>
      <c r="D9" s="12" t="s">
        <v>30</v>
      </c>
      <c r="E9" s="12" t="s">
        <v>31</v>
      </c>
      <c r="F9" s="9">
        <v>3</v>
      </c>
      <c r="G9" s="9">
        <v>4</v>
      </c>
    </row>
    <row r="10" spans="1:7" ht="25.5">
      <c r="A10" s="4">
        <v>9</v>
      </c>
      <c r="B10" s="5" t="s">
        <v>7</v>
      </c>
      <c r="C10" s="6" t="s">
        <v>32</v>
      </c>
      <c r="D10" s="7" t="s">
        <v>33</v>
      </c>
      <c r="E10" s="7" t="s">
        <v>34</v>
      </c>
      <c r="F10" s="4">
        <v>3</v>
      </c>
      <c r="G10" s="4">
        <v>3</v>
      </c>
    </row>
    <row r="11" spans="1:7" ht="25.5">
      <c r="A11" s="9">
        <v>10</v>
      </c>
      <c r="B11" s="10" t="s">
        <v>7</v>
      </c>
      <c r="C11" s="11" t="s">
        <v>35</v>
      </c>
      <c r="D11" s="12" t="s">
        <v>36</v>
      </c>
      <c r="E11" s="12" t="s">
        <v>37</v>
      </c>
      <c r="F11" s="9">
        <v>3</v>
      </c>
      <c r="G11" s="9">
        <v>3</v>
      </c>
    </row>
    <row r="12" spans="1:7" ht="38.25">
      <c r="A12" s="4">
        <v>11</v>
      </c>
      <c r="B12" s="5" t="s">
        <v>7</v>
      </c>
      <c r="C12" s="6" t="s">
        <v>38</v>
      </c>
      <c r="D12" s="7" t="s">
        <v>39</v>
      </c>
      <c r="E12" s="7" t="s">
        <v>40</v>
      </c>
      <c r="F12" s="4">
        <v>3</v>
      </c>
      <c r="G12" s="4">
        <v>3</v>
      </c>
    </row>
    <row r="13" spans="1:7" ht="25.5">
      <c r="A13" s="9">
        <v>12</v>
      </c>
      <c r="B13" s="10" t="s">
        <v>7</v>
      </c>
      <c r="C13" s="11" t="s">
        <v>41</v>
      </c>
      <c r="D13" s="12" t="s">
        <v>42</v>
      </c>
      <c r="E13" s="12" t="s">
        <v>43</v>
      </c>
      <c r="F13" s="9">
        <v>3</v>
      </c>
      <c r="G13" s="9">
        <v>3</v>
      </c>
    </row>
    <row r="14" spans="1:7" ht="25.5">
      <c r="A14" s="4">
        <v>13</v>
      </c>
      <c r="B14" s="5" t="s">
        <v>7</v>
      </c>
      <c r="C14" s="6" t="s">
        <v>44</v>
      </c>
      <c r="D14" s="7" t="s">
        <v>45</v>
      </c>
      <c r="E14" s="7" t="s">
        <v>46</v>
      </c>
      <c r="F14" s="4">
        <v>3</v>
      </c>
      <c r="G14" s="4">
        <v>3</v>
      </c>
    </row>
    <row r="15" spans="1:7" ht="25.5">
      <c r="A15" s="9">
        <v>14</v>
      </c>
      <c r="B15" s="10" t="s">
        <v>7</v>
      </c>
      <c r="C15" s="11" t="s">
        <v>47</v>
      </c>
      <c r="D15" s="12" t="s">
        <v>48</v>
      </c>
      <c r="E15" s="12" t="s">
        <v>49</v>
      </c>
      <c r="F15" s="9">
        <v>3</v>
      </c>
      <c r="G15" s="9">
        <v>3</v>
      </c>
    </row>
    <row r="16" spans="1:7" ht="25.5">
      <c r="A16" s="4">
        <v>15</v>
      </c>
      <c r="B16" s="5" t="s">
        <v>7</v>
      </c>
      <c r="C16" s="6" t="s">
        <v>50</v>
      </c>
      <c r="D16" s="7" t="s">
        <v>51</v>
      </c>
      <c r="E16" s="7" t="s">
        <v>52</v>
      </c>
      <c r="F16" s="4">
        <v>3</v>
      </c>
      <c r="G16" s="4">
        <v>3</v>
      </c>
    </row>
    <row r="17" spans="1:7" ht="25.5">
      <c r="A17" s="9">
        <v>16</v>
      </c>
      <c r="B17" s="10" t="s">
        <v>7</v>
      </c>
      <c r="C17" s="11" t="s">
        <v>53</v>
      </c>
      <c r="D17" s="12" t="s">
        <v>54</v>
      </c>
      <c r="E17" s="12" t="s">
        <v>55</v>
      </c>
      <c r="F17" s="9">
        <v>3</v>
      </c>
      <c r="G17" s="9">
        <v>3</v>
      </c>
    </row>
    <row r="18" spans="1:7" ht="25.5">
      <c r="A18" s="4">
        <v>17</v>
      </c>
      <c r="B18" s="5" t="s">
        <v>7</v>
      </c>
      <c r="C18" s="6" t="s">
        <v>56</v>
      </c>
      <c r="D18" s="7" t="s">
        <v>57</v>
      </c>
      <c r="E18" s="7" t="s">
        <v>58</v>
      </c>
      <c r="F18" s="4">
        <v>3</v>
      </c>
      <c r="G18" s="4">
        <v>3</v>
      </c>
    </row>
    <row r="19" spans="1:7" ht="25.5">
      <c r="A19" s="9">
        <v>18</v>
      </c>
      <c r="B19" s="10" t="s">
        <v>7</v>
      </c>
      <c r="C19" s="11" t="s">
        <v>59</v>
      </c>
      <c r="D19" s="12" t="s">
        <v>60</v>
      </c>
      <c r="E19" s="12" t="s">
        <v>61</v>
      </c>
      <c r="F19" s="9">
        <v>3</v>
      </c>
      <c r="G19" s="9">
        <v>3</v>
      </c>
    </row>
    <row r="20" spans="1:7" ht="25.5">
      <c r="A20" s="4">
        <v>19</v>
      </c>
      <c r="B20" s="5" t="s">
        <v>62</v>
      </c>
      <c r="C20" s="6" t="s">
        <v>63</v>
      </c>
      <c r="D20" s="7" t="s">
        <v>64</v>
      </c>
      <c r="E20" s="7" t="s">
        <v>65</v>
      </c>
      <c r="F20" s="4">
        <v>2</v>
      </c>
      <c r="G20" s="4">
        <v>5</v>
      </c>
    </row>
    <row r="21" spans="1:7" ht="25.5">
      <c r="A21" s="9">
        <v>20</v>
      </c>
      <c r="B21" s="10" t="s">
        <v>62</v>
      </c>
      <c r="C21" s="11" t="s">
        <v>66</v>
      </c>
      <c r="D21" s="12" t="s">
        <v>67</v>
      </c>
      <c r="E21" s="12" t="s">
        <v>68</v>
      </c>
      <c r="F21" s="9">
        <v>2</v>
      </c>
      <c r="G21" s="9">
        <v>4</v>
      </c>
    </row>
    <row r="22" spans="1:7" ht="25.5">
      <c r="A22" s="4">
        <v>21</v>
      </c>
      <c r="B22" s="5" t="s">
        <v>62</v>
      </c>
      <c r="C22" s="6" t="s">
        <v>69</v>
      </c>
      <c r="D22" s="7" t="s">
        <v>70</v>
      </c>
      <c r="E22" s="7" t="s">
        <v>71</v>
      </c>
      <c r="F22" s="4">
        <v>2</v>
      </c>
      <c r="G22" s="4">
        <v>3</v>
      </c>
    </row>
    <row r="23" spans="1:7" ht="25.5">
      <c r="A23" s="9">
        <v>22</v>
      </c>
      <c r="B23" s="10" t="s">
        <v>62</v>
      </c>
      <c r="C23" s="11" t="s">
        <v>72</v>
      </c>
      <c r="D23" s="12" t="s">
        <v>73</v>
      </c>
      <c r="E23" s="12" t="s">
        <v>74</v>
      </c>
      <c r="F23" s="9">
        <v>2</v>
      </c>
      <c r="G23" s="9">
        <v>3</v>
      </c>
    </row>
    <row r="24" spans="1:7" ht="25.5">
      <c r="A24" s="4">
        <v>23</v>
      </c>
      <c r="B24" s="5" t="s">
        <v>62</v>
      </c>
      <c r="C24" s="6" t="s">
        <v>75</v>
      </c>
      <c r="D24" s="7" t="s">
        <v>76</v>
      </c>
      <c r="E24" s="7" t="s">
        <v>77</v>
      </c>
      <c r="F24" s="4">
        <v>2</v>
      </c>
      <c r="G24" s="4">
        <v>3</v>
      </c>
    </row>
    <row r="25" spans="1:7" ht="25.5">
      <c r="A25" s="9">
        <v>24</v>
      </c>
      <c r="B25" s="10" t="s">
        <v>62</v>
      </c>
      <c r="C25" s="11" t="s">
        <v>78</v>
      </c>
      <c r="D25" s="12" t="s">
        <v>79</v>
      </c>
      <c r="E25" s="12" t="s">
        <v>80</v>
      </c>
      <c r="F25" s="9">
        <v>2</v>
      </c>
      <c r="G25" s="9">
        <v>3</v>
      </c>
    </row>
    <row r="26" spans="1:7" ht="25.5">
      <c r="A26" s="4">
        <v>25</v>
      </c>
      <c r="B26" s="5" t="s">
        <v>62</v>
      </c>
      <c r="C26" s="6" t="s">
        <v>81</v>
      </c>
      <c r="D26" s="7" t="s">
        <v>82</v>
      </c>
      <c r="E26" s="7" t="s">
        <v>83</v>
      </c>
      <c r="F26" s="4">
        <v>2</v>
      </c>
      <c r="G26" s="4">
        <v>3</v>
      </c>
    </row>
    <row r="27" spans="1:7" ht="25.5">
      <c r="A27" s="9">
        <v>26</v>
      </c>
      <c r="B27" s="10" t="s">
        <v>62</v>
      </c>
      <c r="C27" s="11" t="s">
        <v>84</v>
      </c>
      <c r="D27" s="12" t="s">
        <v>85</v>
      </c>
      <c r="E27" s="12" t="s">
        <v>86</v>
      </c>
      <c r="F27" s="9">
        <v>2</v>
      </c>
      <c r="G27" s="9">
        <v>3</v>
      </c>
    </row>
    <row r="28" spans="1:7" ht="25.5">
      <c r="A28" s="4">
        <v>27</v>
      </c>
      <c r="B28" s="5" t="s">
        <v>62</v>
      </c>
      <c r="C28" s="6" t="s">
        <v>87</v>
      </c>
      <c r="D28" s="7" t="s">
        <v>88</v>
      </c>
      <c r="E28" s="7" t="s">
        <v>89</v>
      </c>
      <c r="F28" s="4">
        <v>2</v>
      </c>
      <c r="G28" s="4">
        <v>3</v>
      </c>
    </row>
    <row r="29" spans="1:7" ht="25.5">
      <c r="A29" s="9">
        <v>28</v>
      </c>
      <c r="B29" s="10" t="s">
        <v>62</v>
      </c>
      <c r="C29" s="11" t="s">
        <v>90</v>
      </c>
      <c r="D29" s="12" t="s">
        <v>91</v>
      </c>
      <c r="E29" s="12" t="s">
        <v>92</v>
      </c>
      <c r="F29" s="9">
        <v>2</v>
      </c>
      <c r="G29" s="9">
        <v>3</v>
      </c>
    </row>
    <row r="30" spans="1:7" ht="25.5">
      <c r="A30" s="4">
        <v>29</v>
      </c>
      <c r="B30" s="5" t="s">
        <v>62</v>
      </c>
      <c r="C30" s="6" t="s">
        <v>93</v>
      </c>
      <c r="D30" s="7" t="s">
        <v>94</v>
      </c>
      <c r="E30" s="7" t="s">
        <v>95</v>
      </c>
      <c r="F30" s="4">
        <v>2</v>
      </c>
      <c r="G30" s="4">
        <v>3</v>
      </c>
    </row>
    <row r="31" spans="1:7" ht="25.5">
      <c r="A31" s="9">
        <v>30</v>
      </c>
      <c r="B31" s="10" t="s">
        <v>62</v>
      </c>
      <c r="C31" s="11" t="s">
        <v>96</v>
      </c>
      <c r="D31" s="12" t="s">
        <v>97</v>
      </c>
      <c r="E31" s="12" t="s">
        <v>98</v>
      </c>
      <c r="F31" s="9">
        <v>2</v>
      </c>
      <c r="G31" s="9">
        <v>3</v>
      </c>
    </row>
    <row r="32" spans="1:7" ht="25.5">
      <c r="A32" s="4">
        <v>31</v>
      </c>
      <c r="B32" s="5" t="s">
        <v>62</v>
      </c>
      <c r="C32" s="6" t="s">
        <v>99</v>
      </c>
      <c r="D32" s="7" t="s">
        <v>100</v>
      </c>
      <c r="E32" s="7" t="s">
        <v>101</v>
      </c>
      <c r="F32" s="4">
        <v>2</v>
      </c>
      <c r="G32" s="4">
        <v>3</v>
      </c>
    </row>
    <row r="33" spans="1:7" ht="25.5">
      <c r="A33" s="9">
        <v>32</v>
      </c>
      <c r="B33" s="10" t="s">
        <v>62</v>
      </c>
      <c r="C33" s="11" t="s">
        <v>102</v>
      </c>
      <c r="D33" s="12" t="s">
        <v>103</v>
      </c>
      <c r="E33" s="12" t="s">
        <v>104</v>
      </c>
      <c r="F33" s="9">
        <v>2</v>
      </c>
      <c r="G33" s="9">
        <v>3</v>
      </c>
    </row>
    <row r="34" spans="1:7" ht="25.5">
      <c r="A34" s="4">
        <v>33</v>
      </c>
      <c r="B34" s="5" t="s">
        <v>62</v>
      </c>
      <c r="C34" s="6" t="s">
        <v>105</v>
      </c>
      <c r="D34" s="7" t="s">
        <v>106</v>
      </c>
      <c r="E34" s="7" t="s">
        <v>107</v>
      </c>
      <c r="F34" s="4">
        <v>2</v>
      </c>
      <c r="G34" s="4">
        <v>3</v>
      </c>
    </row>
    <row r="35" spans="1:7" ht="25.5">
      <c r="A35" s="9">
        <v>34</v>
      </c>
      <c r="B35" s="10" t="s">
        <v>62</v>
      </c>
      <c r="C35" s="11" t="s">
        <v>108</v>
      </c>
      <c r="D35" s="12" t="s">
        <v>109</v>
      </c>
      <c r="E35" s="12" t="s">
        <v>110</v>
      </c>
      <c r="F35" s="9">
        <v>2</v>
      </c>
      <c r="G35" s="9">
        <v>3</v>
      </c>
    </row>
    <row r="36" spans="1:7" ht="25.5">
      <c r="A36" s="4">
        <v>35</v>
      </c>
      <c r="B36" s="5" t="s">
        <v>62</v>
      </c>
      <c r="C36" s="6" t="s">
        <v>111</v>
      </c>
      <c r="D36" s="7" t="s">
        <v>112</v>
      </c>
      <c r="E36" s="7" t="s">
        <v>113</v>
      </c>
      <c r="F36" s="4">
        <v>2</v>
      </c>
      <c r="G36" s="4">
        <v>3</v>
      </c>
    </row>
    <row r="37" spans="1:7" ht="25.5">
      <c r="A37" s="9">
        <v>36</v>
      </c>
      <c r="B37" s="10" t="s">
        <v>62</v>
      </c>
      <c r="C37" s="11" t="s">
        <v>114</v>
      </c>
      <c r="D37" s="12" t="s">
        <v>115</v>
      </c>
      <c r="E37" s="12" t="s">
        <v>116</v>
      </c>
      <c r="F37" s="9">
        <v>2</v>
      </c>
      <c r="G37" s="9">
        <v>3</v>
      </c>
    </row>
    <row r="38" spans="1:7" ht="25.5">
      <c r="A38" s="4">
        <v>37</v>
      </c>
      <c r="B38" s="5" t="s">
        <v>62</v>
      </c>
      <c r="C38" s="6" t="s">
        <v>117</v>
      </c>
      <c r="D38" s="7" t="s">
        <v>118</v>
      </c>
      <c r="E38" s="7" t="s">
        <v>119</v>
      </c>
      <c r="F38" s="4">
        <v>2</v>
      </c>
      <c r="G38" s="4">
        <v>3</v>
      </c>
    </row>
    <row r="39" spans="1:7" ht="25.5">
      <c r="A39" s="9">
        <v>38</v>
      </c>
      <c r="B39" s="10" t="s">
        <v>62</v>
      </c>
      <c r="C39" s="11" t="s">
        <v>120</v>
      </c>
      <c r="D39" s="12" t="s">
        <v>121</v>
      </c>
      <c r="E39" s="12" t="s">
        <v>122</v>
      </c>
      <c r="F39" s="9">
        <v>2</v>
      </c>
      <c r="G39" s="9">
        <v>3</v>
      </c>
    </row>
    <row r="40" spans="1:7" ht="25.5">
      <c r="A40" s="4">
        <v>39</v>
      </c>
      <c r="B40" s="5" t="s">
        <v>62</v>
      </c>
      <c r="C40" s="6" t="s">
        <v>123</v>
      </c>
      <c r="D40" s="7" t="s">
        <v>124</v>
      </c>
      <c r="E40" s="7" t="s">
        <v>125</v>
      </c>
      <c r="F40" s="4">
        <v>2</v>
      </c>
      <c r="G40" s="4">
        <v>3</v>
      </c>
    </row>
    <row r="41" spans="1:7" ht="25.5">
      <c r="A41" s="9">
        <v>40</v>
      </c>
      <c r="B41" s="10" t="s">
        <v>62</v>
      </c>
      <c r="C41" s="11" t="s">
        <v>126</v>
      </c>
      <c r="D41" s="12" t="s">
        <v>127</v>
      </c>
      <c r="E41" s="12" t="s">
        <v>128</v>
      </c>
      <c r="F41" s="9">
        <v>2</v>
      </c>
      <c r="G41" s="9">
        <v>2</v>
      </c>
    </row>
    <row r="42" spans="1:7" ht="25.5">
      <c r="A42" s="4">
        <v>41</v>
      </c>
      <c r="B42" s="5" t="s">
        <v>62</v>
      </c>
      <c r="C42" s="6" t="s">
        <v>129</v>
      </c>
      <c r="D42" s="7" t="s">
        <v>130</v>
      </c>
      <c r="E42" s="7" t="s">
        <v>131</v>
      </c>
      <c r="F42" s="4">
        <v>2</v>
      </c>
      <c r="G42" s="4">
        <v>2</v>
      </c>
    </row>
    <row r="43" spans="1:7" ht="25.5">
      <c r="A43" s="9">
        <v>42</v>
      </c>
      <c r="B43" s="10" t="s">
        <v>62</v>
      </c>
      <c r="C43" s="11" t="s">
        <v>132</v>
      </c>
      <c r="D43" s="12" t="s">
        <v>133</v>
      </c>
      <c r="E43" s="12" t="s">
        <v>134</v>
      </c>
      <c r="F43" s="9">
        <v>2</v>
      </c>
      <c r="G43" s="9">
        <v>2</v>
      </c>
    </row>
    <row r="44" spans="1:7" ht="25.5">
      <c r="A44" s="4">
        <v>43</v>
      </c>
      <c r="B44" s="5" t="s">
        <v>62</v>
      </c>
      <c r="C44" s="6" t="s">
        <v>135</v>
      </c>
      <c r="D44" s="7" t="s">
        <v>136</v>
      </c>
      <c r="E44" s="7" t="s">
        <v>137</v>
      </c>
      <c r="F44" s="4">
        <v>2</v>
      </c>
      <c r="G44" s="4">
        <v>2</v>
      </c>
    </row>
    <row r="45" spans="1:7" ht="25.5">
      <c r="A45" s="9">
        <v>44</v>
      </c>
      <c r="B45" s="10" t="s">
        <v>62</v>
      </c>
      <c r="C45" s="11" t="s">
        <v>138</v>
      </c>
      <c r="D45" s="12" t="s">
        <v>139</v>
      </c>
      <c r="E45" s="12" t="s">
        <v>140</v>
      </c>
      <c r="F45" s="9">
        <v>2</v>
      </c>
      <c r="G45" s="9">
        <v>2</v>
      </c>
    </row>
    <row r="46" spans="1:7" ht="25.5">
      <c r="A46" s="4">
        <v>45</v>
      </c>
      <c r="B46" s="5" t="s">
        <v>62</v>
      </c>
      <c r="C46" s="6" t="s">
        <v>141</v>
      </c>
      <c r="D46" s="7" t="s">
        <v>142</v>
      </c>
      <c r="E46" s="7" t="s">
        <v>143</v>
      </c>
      <c r="F46" s="4">
        <v>2</v>
      </c>
      <c r="G46" s="4">
        <v>2</v>
      </c>
    </row>
    <row r="47" spans="1:7" ht="25.5">
      <c r="A47" s="9">
        <v>46</v>
      </c>
      <c r="B47" s="10" t="s">
        <v>62</v>
      </c>
      <c r="C47" s="11" t="s">
        <v>144</v>
      </c>
      <c r="D47" s="12" t="s">
        <v>145</v>
      </c>
      <c r="E47" s="12" t="s">
        <v>146</v>
      </c>
      <c r="F47" s="9">
        <v>2</v>
      </c>
      <c r="G47" s="9">
        <v>2</v>
      </c>
    </row>
    <row r="48" spans="1:7" ht="25.5">
      <c r="A48" s="4">
        <v>47</v>
      </c>
      <c r="B48" s="5" t="s">
        <v>62</v>
      </c>
      <c r="C48" s="6" t="s">
        <v>147</v>
      </c>
      <c r="D48" s="7" t="s">
        <v>148</v>
      </c>
      <c r="E48" s="7" t="s">
        <v>149</v>
      </c>
      <c r="F48" s="4">
        <v>2</v>
      </c>
      <c r="G48" s="4">
        <v>2</v>
      </c>
    </row>
    <row r="49" spans="1:7" ht="25.5">
      <c r="A49" s="9">
        <v>48</v>
      </c>
      <c r="B49" s="10" t="s">
        <v>62</v>
      </c>
      <c r="C49" s="11" t="s">
        <v>150</v>
      </c>
      <c r="D49" s="12" t="s">
        <v>151</v>
      </c>
      <c r="E49" s="12" t="s">
        <v>152</v>
      </c>
      <c r="F49" s="9">
        <v>2</v>
      </c>
      <c r="G49" s="9">
        <v>2</v>
      </c>
    </row>
    <row r="50" spans="1:7" ht="25.5">
      <c r="A50" s="4">
        <v>49</v>
      </c>
      <c r="B50" s="5" t="s">
        <v>62</v>
      </c>
      <c r="C50" s="6" t="s">
        <v>153</v>
      </c>
      <c r="D50" s="7" t="s">
        <v>154</v>
      </c>
      <c r="E50" s="7" t="s">
        <v>155</v>
      </c>
      <c r="F50" s="4">
        <v>2</v>
      </c>
      <c r="G50" s="4">
        <v>2</v>
      </c>
    </row>
    <row r="51" spans="1:7" ht="25.5">
      <c r="A51" s="9">
        <v>50</v>
      </c>
      <c r="B51" s="10" t="s">
        <v>62</v>
      </c>
      <c r="C51" s="11" t="s">
        <v>156</v>
      </c>
      <c r="D51" s="12" t="s">
        <v>157</v>
      </c>
      <c r="E51" s="12" t="s">
        <v>158</v>
      </c>
      <c r="F51" s="9">
        <v>2</v>
      </c>
      <c r="G51" s="9">
        <v>2</v>
      </c>
    </row>
    <row r="52" spans="1:7" ht="25.5">
      <c r="A52" s="4">
        <v>51</v>
      </c>
      <c r="B52" s="5" t="s">
        <v>62</v>
      </c>
      <c r="C52" s="6" t="s">
        <v>159</v>
      </c>
      <c r="D52" s="7" t="s">
        <v>160</v>
      </c>
      <c r="E52" s="7" t="s">
        <v>161</v>
      </c>
      <c r="F52" s="4">
        <v>2</v>
      </c>
      <c r="G52" s="4">
        <v>2</v>
      </c>
    </row>
    <row r="53" spans="1:7" ht="25.5">
      <c r="A53" s="9">
        <v>52</v>
      </c>
      <c r="B53" s="10" t="s">
        <v>62</v>
      </c>
      <c r="C53" s="11" t="s">
        <v>162</v>
      </c>
      <c r="D53" s="12" t="s">
        <v>163</v>
      </c>
      <c r="E53" s="12" t="s">
        <v>164</v>
      </c>
      <c r="F53" s="9">
        <v>2</v>
      </c>
      <c r="G53" s="9">
        <v>2</v>
      </c>
    </row>
    <row r="54" spans="1:7" ht="25.5">
      <c r="A54" s="4">
        <v>53</v>
      </c>
      <c r="B54" s="5" t="s">
        <v>62</v>
      </c>
      <c r="C54" s="6" t="s">
        <v>165</v>
      </c>
      <c r="D54" s="7" t="s">
        <v>166</v>
      </c>
      <c r="E54" s="7" t="s">
        <v>167</v>
      </c>
      <c r="F54" s="4">
        <v>2</v>
      </c>
      <c r="G54" s="4">
        <v>2</v>
      </c>
    </row>
    <row r="55" spans="1:7" ht="25.5">
      <c r="A55" s="9">
        <v>54</v>
      </c>
      <c r="B55" s="10" t="s">
        <v>62</v>
      </c>
      <c r="C55" s="11" t="s">
        <v>168</v>
      </c>
      <c r="D55" s="12" t="s">
        <v>169</v>
      </c>
      <c r="E55" s="12" t="s">
        <v>170</v>
      </c>
      <c r="F55" s="9">
        <v>2</v>
      </c>
      <c r="G55" s="9">
        <v>2</v>
      </c>
    </row>
    <row r="56" spans="1:7" ht="25.5">
      <c r="A56" s="4">
        <v>55</v>
      </c>
      <c r="B56" s="5" t="s">
        <v>62</v>
      </c>
      <c r="C56" s="6" t="s">
        <v>171</v>
      </c>
      <c r="D56" s="7" t="s">
        <v>172</v>
      </c>
      <c r="E56" s="7" t="s">
        <v>173</v>
      </c>
      <c r="F56" s="4">
        <v>2</v>
      </c>
      <c r="G56" s="4">
        <v>2</v>
      </c>
    </row>
    <row r="57" spans="1:7" ht="25.5">
      <c r="A57" s="9">
        <v>56</v>
      </c>
      <c r="B57" s="10" t="s">
        <v>62</v>
      </c>
      <c r="C57" s="11" t="s">
        <v>174</v>
      </c>
      <c r="D57" s="12" t="s">
        <v>175</v>
      </c>
      <c r="E57" s="12" t="s">
        <v>176</v>
      </c>
      <c r="F57" s="9">
        <v>2</v>
      </c>
      <c r="G57" s="9">
        <v>2</v>
      </c>
    </row>
    <row r="58" spans="1:7" ht="25.5">
      <c r="A58" s="4">
        <v>57</v>
      </c>
      <c r="B58" s="5" t="s">
        <v>62</v>
      </c>
      <c r="C58" s="6" t="s">
        <v>177</v>
      </c>
      <c r="D58" s="7" t="s">
        <v>178</v>
      </c>
      <c r="E58" s="7" t="s">
        <v>179</v>
      </c>
      <c r="F58" s="4">
        <v>2</v>
      </c>
      <c r="G58" s="4">
        <v>2</v>
      </c>
    </row>
    <row r="59" spans="1:7" ht="25.5">
      <c r="A59" s="9">
        <v>58</v>
      </c>
      <c r="B59" s="10" t="s">
        <v>62</v>
      </c>
      <c r="C59" s="11" t="s">
        <v>180</v>
      </c>
      <c r="D59" s="12" t="s">
        <v>181</v>
      </c>
      <c r="E59" s="12" t="s">
        <v>182</v>
      </c>
      <c r="F59" s="9">
        <v>2</v>
      </c>
      <c r="G59" s="9">
        <v>2</v>
      </c>
    </row>
    <row r="60" spans="1:7" ht="25.5">
      <c r="A60" s="4">
        <v>59</v>
      </c>
      <c r="B60" s="5" t="s">
        <v>62</v>
      </c>
      <c r="C60" s="6" t="s">
        <v>183</v>
      </c>
      <c r="D60" s="7" t="s">
        <v>184</v>
      </c>
      <c r="E60" s="7" t="s">
        <v>185</v>
      </c>
      <c r="F60" s="4">
        <v>2</v>
      </c>
      <c r="G60" s="4">
        <v>2</v>
      </c>
    </row>
    <row r="61" spans="1:7" ht="25.5">
      <c r="A61" s="9">
        <v>60</v>
      </c>
      <c r="B61" s="10" t="s">
        <v>62</v>
      </c>
      <c r="C61" s="11" t="s">
        <v>186</v>
      </c>
      <c r="D61" s="12" t="s">
        <v>187</v>
      </c>
      <c r="E61" s="12" t="s">
        <v>188</v>
      </c>
      <c r="F61" s="9">
        <v>2</v>
      </c>
      <c r="G61" s="9">
        <v>2</v>
      </c>
    </row>
    <row r="62" spans="1:7" ht="25.5">
      <c r="A62" s="4">
        <v>61</v>
      </c>
      <c r="B62" s="5" t="s">
        <v>62</v>
      </c>
      <c r="C62" s="6" t="s">
        <v>189</v>
      </c>
      <c r="D62" s="7" t="s">
        <v>190</v>
      </c>
      <c r="E62" s="7" t="s">
        <v>191</v>
      </c>
      <c r="F62" s="4">
        <v>2</v>
      </c>
      <c r="G62" s="4">
        <v>2</v>
      </c>
    </row>
    <row r="63" spans="1:7" ht="25.5">
      <c r="A63" s="9">
        <v>62</v>
      </c>
      <c r="B63" s="10" t="s">
        <v>62</v>
      </c>
      <c r="C63" s="11" t="s">
        <v>192</v>
      </c>
      <c r="D63" s="12" t="s">
        <v>193</v>
      </c>
      <c r="E63" s="12" t="s">
        <v>194</v>
      </c>
      <c r="F63" s="9">
        <v>2</v>
      </c>
      <c r="G63" s="9">
        <v>2</v>
      </c>
    </row>
    <row r="64" spans="1:7" ht="25.5">
      <c r="A64" s="4">
        <v>63</v>
      </c>
      <c r="B64" s="5" t="s">
        <v>62</v>
      </c>
      <c r="C64" s="6" t="s">
        <v>195</v>
      </c>
      <c r="D64" s="7" t="s">
        <v>196</v>
      </c>
      <c r="E64" s="7" t="s">
        <v>197</v>
      </c>
      <c r="F64" s="4">
        <v>2</v>
      </c>
      <c r="G64" s="4">
        <v>2</v>
      </c>
    </row>
    <row r="65" spans="1:7" ht="25.5">
      <c r="A65" s="9">
        <v>64</v>
      </c>
      <c r="B65" s="10" t="s">
        <v>62</v>
      </c>
      <c r="C65" s="11" t="s">
        <v>198</v>
      </c>
      <c r="D65" s="12" t="s">
        <v>199</v>
      </c>
      <c r="E65" s="12" t="s">
        <v>200</v>
      </c>
      <c r="F65" s="9">
        <v>2</v>
      </c>
      <c r="G65" s="9">
        <v>2</v>
      </c>
    </row>
    <row r="66" spans="1:7" ht="25.5">
      <c r="A66" s="4">
        <v>65</v>
      </c>
      <c r="B66" s="5" t="s">
        <v>62</v>
      </c>
      <c r="C66" s="6" t="s">
        <v>201</v>
      </c>
      <c r="D66" s="7" t="s">
        <v>202</v>
      </c>
      <c r="E66" s="7" t="s">
        <v>203</v>
      </c>
      <c r="F66" s="4">
        <v>2</v>
      </c>
      <c r="G66" s="4">
        <v>2</v>
      </c>
    </row>
    <row r="67" spans="1:7" ht="25.5">
      <c r="A67" s="9">
        <v>66</v>
      </c>
      <c r="B67" s="10" t="s">
        <v>62</v>
      </c>
      <c r="C67" s="11" t="s">
        <v>204</v>
      </c>
      <c r="D67" s="12" t="s">
        <v>205</v>
      </c>
      <c r="E67" s="12" t="s">
        <v>206</v>
      </c>
      <c r="F67" s="9">
        <v>2</v>
      </c>
      <c r="G67" s="9">
        <v>2</v>
      </c>
    </row>
    <row r="68" spans="1:7" ht="25.5">
      <c r="A68" s="4">
        <v>67</v>
      </c>
      <c r="B68" s="5" t="s">
        <v>62</v>
      </c>
      <c r="C68" s="6" t="s">
        <v>207</v>
      </c>
      <c r="D68" s="7" t="s">
        <v>208</v>
      </c>
      <c r="E68" s="7" t="s">
        <v>209</v>
      </c>
      <c r="F68" s="4">
        <v>2</v>
      </c>
      <c r="G68" s="4">
        <v>2</v>
      </c>
    </row>
    <row r="69" spans="1:7" ht="25.5">
      <c r="A69" s="9">
        <v>68</v>
      </c>
      <c r="B69" s="10" t="s">
        <v>62</v>
      </c>
      <c r="C69" s="11" t="s">
        <v>210</v>
      </c>
      <c r="D69" s="12" t="s">
        <v>211</v>
      </c>
      <c r="E69" s="12" t="s">
        <v>212</v>
      </c>
      <c r="F69" s="9">
        <v>2</v>
      </c>
      <c r="G69" s="9">
        <v>2</v>
      </c>
    </row>
    <row r="70" spans="1:7" ht="25.5">
      <c r="A70" s="4">
        <v>69</v>
      </c>
      <c r="B70" s="5" t="s">
        <v>62</v>
      </c>
      <c r="C70" s="6" t="s">
        <v>213</v>
      </c>
      <c r="D70" s="7" t="s">
        <v>214</v>
      </c>
      <c r="E70" s="7" t="s">
        <v>215</v>
      </c>
      <c r="F70" s="4">
        <v>2</v>
      </c>
      <c r="G70" s="4">
        <v>2</v>
      </c>
    </row>
    <row r="71" spans="1:7" ht="25.5">
      <c r="A71" s="9">
        <v>70</v>
      </c>
      <c r="B71" s="10" t="s">
        <v>62</v>
      </c>
      <c r="C71" s="11" t="s">
        <v>216</v>
      </c>
      <c r="D71" s="12" t="s">
        <v>217</v>
      </c>
      <c r="E71" s="12" t="s">
        <v>218</v>
      </c>
      <c r="F71" s="9">
        <v>2</v>
      </c>
      <c r="G71" s="9">
        <v>2</v>
      </c>
    </row>
    <row r="72" spans="1:7" ht="25.5">
      <c r="A72" s="4">
        <v>71</v>
      </c>
      <c r="B72" s="5" t="s">
        <v>62</v>
      </c>
      <c r="C72" s="6" t="s">
        <v>219</v>
      </c>
      <c r="D72" s="7" t="s">
        <v>220</v>
      </c>
      <c r="E72" s="7" t="s">
        <v>221</v>
      </c>
      <c r="F72" s="4">
        <v>2</v>
      </c>
      <c r="G72" s="4">
        <v>2</v>
      </c>
    </row>
    <row r="73" spans="1:7" ht="25.5">
      <c r="A73" s="9">
        <v>72</v>
      </c>
      <c r="B73" s="10" t="s">
        <v>62</v>
      </c>
      <c r="C73" s="11" t="s">
        <v>222</v>
      </c>
      <c r="D73" s="12" t="s">
        <v>223</v>
      </c>
      <c r="E73" s="12" t="s">
        <v>224</v>
      </c>
      <c r="F73" s="9">
        <v>2</v>
      </c>
      <c r="G73" s="9">
        <v>2</v>
      </c>
    </row>
    <row r="74" spans="1:7" ht="25.5">
      <c r="A74" s="4">
        <v>73</v>
      </c>
      <c r="B74" s="5" t="s">
        <v>62</v>
      </c>
      <c r="C74" s="6" t="s">
        <v>225</v>
      </c>
      <c r="D74" s="7" t="s">
        <v>226</v>
      </c>
      <c r="E74" s="7" t="s">
        <v>227</v>
      </c>
      <c r="F74" s="4">
        <v>2</v>
      </c>
      <c r="G74" s="4">
        <v>2</v>
      </c>
    </row>
    <row r="75" spans="1:7" ht="25.5">
      <c r="A75" s="9">
        <v>74</v>
      </c>
      <c r="B75" s="10" t="s">
        <v>62</v>
      </c>
      <c r="C75" s="11" t="s">
        <v>228</v>
      </c>
      <c r="D75" s="12" t="s">
        <v>229</v>
      </c>
      <c r="E75" s="12" t="s">
        <v>230</v>
      </c>
      <c r="F75" s="9">
        <v>2</v>
      </c>
      <c r="G75" s="9">
        <v>2</v>
      </c>
    </row>
    <row r="76" spans="1:7" ht="25.5">
      <c r="A76" s="4">
        <v>75</v>
      </c>
      <c r="B76" s="5" t="s">
        <v>62</v>
      </c>
      <c r="C76" s="6" t="s">
        <v>231</v>
      </c>
      <c r="D76" s="7" t="s">
        <v>232</v>
      </c>
      <c r="E76" s="7" t="s">
        <v>233</v>
      </c>
      <c r="F76" s="4">
        <v>2</v>
      </c>
      <c r="G76" s="4">
        <v>2</v>
      </c>
    </row>
    <row r="77" spans="1:7" ht="25.5">
      <c r="A77" s="9">
        <v>76</v>
      </c>
      <c r="B77" s="10" t="s">
        <v>62</v>
      </c>
      <c r="C77" s="11" t="s">
        <v>234</v>
      </c>
      <c r="D77" s="12" t="s">
        <v>235</v>
      </c>
      <c r="E77" s="12" t="s">
        <v>236</v>
      </c>
      <c r="F77" s="9">
        <v>2</v>
      </c>
      <c r="G77" s="9">
        <v>2</v>
      </c>
    </row>
    <row r="78" spans="1:7" ht="25.5">
      <c r="A78" s="4">
        <v>77</v>
      </c>
      <c r="B78" s="5" t="s">
        <v>62</v>
      </c>
      <c r="C78" s="6" t="s">
        <v>237</v>
      </c>
      <c r="D78" s="7" t="s">
        <v>238</v>
      </c>
      <c r="E78" s="7" t="s">
        <v>239</v>
      </c>
      <c r="F78" s="4">
        <v>2</v>
      </c>
      <c r="G78" s="4">
        <v>2</v>
      </c>
    </row>
    <row r="79" spans="1:7" ht="25.5">
      <c r="A79" s="9">
        <v>78</v>
      </c>
      <c r="B79" s="10" t="s">
        <v>62</v>
      </c>
      <c r="C79" s="11" t="s">
        <v>240</v>
      </c>
      <c r="D79" s="12" t="s">
        <v>241</v>
      </c>
      <c r="E79" s="12" t="s">
        <v>242</v>
      </c>
      <c r="F79" s="9">
        <v>2</v>
      </c>
      <c r="G79" s="9">
        <v>2</v>
      </c>
    </row>
    <row r="80" spans="1:7" ht="25.5">
      <c r="A80" s="4">
        <v>79</v>
      </c>
      <c r="B80" s="5" t="s">
        <v>62</v>
      </c>
      <c r="C80" s="6" t="s">
        <v>243</v>
      </c>
      <c r="D80" s="7" t="s">
        <v>244</v>
      </c>
      <c r="E80" s="7" t="s">
        <v>245</v>
      </c>
      <c r="F80" s="4">
        <v>2</v>
      </c>
      <c r="G80" s="4">
        <v>2</v>
      </c>
    </row>
    <row r="81" spans="1:7" ht="25.5">
      <c r="A81" s="9">
        <v>80</v>
      </c>
      <c r="B81" s="10" t="s">
        <v>62</v>
      </c>
      <c r="C81" s="11" t="s">
        <v>246</v>
      </c>
      <c r="D81" s="12" t="s">
        <v>247</v>
      </c>
      <c r="E81" s="12" t="s">
        <v>248</v>
      </c>
      <c r="F81" s="9">
        <v>2</v>
      </c>
      <c r="G81" s="9">
        <v>2</v>
      </c>
    </row>
    <row r="82" spans="1:7" ht="25.5">
      <c r="A82" s="4">
        <v>81</v>
      </c>
      <c r="B82" s="5" t="s">
        <v>62</v>
      </c>
      <c r="C82" s="6" t="s">
        <v>249</v>
      </c>
      <c r="D82" s="7" t="s">
        <v>250</v>
      </c>
      <c r="E82" s="7" t="s">
        <v>251</v>
      </c>
      <c r="F82" s="4">
        <v>2</v>
      </c>
      <c r="G82" s="4">
        <v>2</v>
      </c>
    </row>
    <row r="83" spans="1:7" ht="25.5">
      <c r="A83" s="9">
        <v>82</v>
      </c>
      <c r="B83" s="10" t="s">
        <v>62</v>
      </c>
      <c r="C83" s="11" t="s">
        <v>252</v>
      </c>
      <c r="D83" s="12" t="s">
        <v>253</v>
      </c>
      <c r="E83" s="12" t="s">
        <v>254</v>
      </c>
      <c r="F83" s="9">
        <v>2</v>
      </c>
      <c r="G83" s="9">
        <v>2</v>
      </c>
    </row>
    <row r="84" spans="1:7" ht="25.5">
      <c r="A84" s="4">
        <v>83</v>
      </c>
      <c r="B84" s="5" t="s">
        <v>62</v>
      </c>
      <c r="C84" s="6" t="s">
        <v>255</v>
      </c>
      <c r="D84" s="7" t="s">
        <v>256</v>
      </c>
      <c r="E84" s="7" t="s">
        <v>257</v>
      </c>
      <c r="F84" s="4">
        <v>2</v>
      </c>
      <c r="G84" s="4">
        <v>2</v>
      </c>
    </row>
    <row r="85" spans="1:7" ht="38.25">
      <c r="A85" s="9">
        <v>84</v>
      </c>
      <c r="B85" s="10" t="s">
        <v>62</v>
      </c>
      <c r="C85" s="11" t="s">
        <v>258</v>
      </c>
      <c r="D85" s="12" t="s">
        <v>259</v>
      </c>
      <c r="E85" s="12" t="s">
        <v>260</v>
      </c>
      <c r="F85" s="9">
        <v>2</v>
      </c>
      <c r="G85" s="9">
        <v>2</v>
      </c>
    </row>
    <row r="86" spans="1:7" ht="25.5">
      <c r="A86" s="4">
        <v>85</v>
      </c>
      <c r="B86" s="5" t="s">
        <v>62</v>
      </c>
      <c r="C86" s="6" t="s">
        <v>261</v>
      </c>
      <c r="D86" s="7" t="s">
        <v>262</v>
      </c>
      <c r="E86" s="7" t="s">
        <v>263</v>
      </c>
      <c r="F86" s="4">
        <v>2</v>
      </c>
      <c r="G86" s="4">
        <v>2</v>
      </c>
    </row>
    <row r="87" spans="1:7" ht="25.5">
      <c r="A87" s="9">
        <v>86</v>
      </c>
      <c r="B87" s="10" t="s">
        <v>62</v>
      </c>
      <c r="C87" s="11" t="s">
        <v>264</v>
      </c>
      <c r="D87" s="12" t="s">
        <v>265</v>
      </c>
      <c r="E87" s="12" t="s">
        <v>266</v>
      </c>
      <c r="F87" s="9">
        <v>2</v>
      </c>
      <c r="G87" s="9">
        <v>2</v>
      </c>
    </row>
    <row r="88" spans="1:7" ht="25.5">
      <c r="A88" s="4">
        <v>87</v>
      </c>
      <c r="B88" s="5" t="s">
        <v>62</v>
      </c>
      <c r="C88" s="6" t="s">
        <v>267</v>
      </c>
      <c r="D88" s="7" t="s">
        <v>268</v>
      </c>
      <c r="E88" s="7" t="s">
        <v>269</v>
      </c>
      <c r="F88" s="4">
        <v>2</v>
      </c>
      <c r="G88" s="4">
        <v>2</v>
      </c>
    </row>
    <row r="89" spans="1:7" ht="25.5">
      <c r="A89" s="9">
        <v>88</v>
      </c>
      <c r="B89" s="10" t="s">
        <v>62</v>
      </c>
      <c r="C89" s="11" t="s">
        <v>270</v>
      </c>
      <c r="D89" s="12" t="s">
        <v>271</v>
      </c>
      <c r="E89" s="12" t="s">
        <v>272</v>
      </c>
      <c r="F89" s="9">
        <v>2</v>
      </c>
      <c r="G89" s="9">
        <v>2</v>
      </c>
    </row>
    <row r="90" spans="1:7" ht="25.5">
      <c r="A90" s="4">
        <v>89</v>
      </c>
      <c r="B90" s="5" t="s">
        <v>62</v>
      </c>
      <c r="C90" s="6" t="s">
        <v>273</v>
      </c>
      <c r="D90" s="7" t="s">
        <v>274</v>
      </c>
      <c r="E90" s="7" t="s">
        <v>275</v>
      </c>
      <c r="F90" s="4">
        <v>2</v>
      </c>
      <c r="G90" s="4">
        <v>2</v>
      </c>
    </row>
    <row r="91" spans="1:7" ht="25.5">
      <c r="A91" s="9">
        <v>90</v>
      </c>
      <c r="B91" s="10" t="s">
        <v>62</v>
      </c>
      <c r="C91" s="11" t="s">
        <v>276</v>
      </c>
      <c r="D91" s="12" t="s">
        <v>277</v>
      </c>
      <c r="E91" s="12" t="s">
        <v>278</v>
      </c>
      <c r="F91" s="9">
        <v>2</v>
      </c>
      <c r="G91" s="9">
        <v>2</v>
      </c>
    </row>
    <row r="92" spans="1:7" ht="25.5">
      <c r="A92" s="4">
        <v>91</v>
      </c>
      <c r="B92" s="5" t="s">
        <v>62</v>
      </c>
      <c r="C92" s="6" t="s">
        <v>279</v>
      </c>
      <c r="D92" s="7" t="s">
        <v>280</v>
      </c>
      <c r="E92" s="7" t="s">
        <v>281</v>
      </c>
      <c r="F92" s="4">
        <v>2</v>
      </c>
      <c r="G92" s="4">
        <v>2</v>
      </c>
    </row>
    <row r="93" spans="1:7" ht="25.5">
      <c r="A93" s="9">
        <v>92</v>
      </c>
      <c r="B93" s="10" t="s">
        <v>62</v>
      </c>
      <c r="C93" s="11" t="s">
        <v>282</v>
      </c>
      <c r="D93" s="12" t="s">
        <v>283</v>
      </c>
      <c r="E93" s="12" t="s">
        <v>284</v>
      </c>
      <c r="F93" s="9">
        <v>2</v>
      </c>
      <c r="G93" s="9">
        <v>2</v>
      </c>
    </row>
    <row r="94" spans="1:7" ht="25.5">
      <c r="A94" s="4">
        <v>93</v>
      </c>
      <c r="B94" s="5" t="s">
        <v>62</v>
      </c>
      <c r="C94" s="6" t="s">
        <v>285</v>
      </c>
      <c r="D94" s="7" t="s">
        <v>286</v>
      </c>
      <c r="E94" s="7" t="s">
        <v>287</v>
      </c>
      <c r="F94" s="4">
        <v>2</v>
      </c>
      <c r="G94" s="4">
        <v>2</v>
      </c>
    </row>
    <row r="95" spans="1:7" ht="25.5">
      <c r="A95" s="9">
        <v>94</v>
      </c>
      <c r="B95" s="10" t="s">
        <v>62</v>
      </c>
      <c r="C95" s="11" t="s">
        <v>288</v>
      </c>
      <c r="D95" s="12" t="s">
        <v>289</v>
      </c>
      <c r="E95" s="12" t="s">
        <v>290</v>
      </c>
      <c r="F95" s="9">
        <v>2</v>
      </c>
      <c r="G95" s="9">
        <v>2</v>
      </c>
    </row>
    <row r="96" spans="1:7" ht="25.5">
      <c r="A96" s="4">
        <v>95</v>
      </c>
      <c r="B96" s="5" t="s">
        <v>62</v>
      </c>
      <c r="C96" s="6" t="s">
        <v>291</v>
      </c>
      <c r="D96" s="7" t="s">
        <v>292</v>
      </c>
      <c r="E96" s="7" t="s">
        <v>293</v>
      </c>
      <c r="F96" s="4">
        <v>2</v>
      </c>
      <c r="G96" s="4">
        <v>2</v>
      </c>
    </row>
    <row r="97" spans="1:7" ht="25.5">
      <c r="A97" s="9">
        <v>96</v>
      </c>
      <c r="B97" s="10" t="s">
        <v>62</v>
      </c>
      <c r="C97" s="11" t="s">
        <v>294</v>
      </c>
      <c r="D97" s="12" t="s">
        <v>295</v>
      </c>
      <c r="E97" s="12" t="s">
        <v>296</v>
      </c>
      <c r="F97" s="9">
        <v>2</v>
      </c>
      <c r="G97" s="9">
        <v>2</v>
      </c>
    </row>
    <row r="98" spans="1:7" ht="25.5">
      <c r="A98" s="4">
        <v>97</v>
      </c>
      <c r="B98" s="5" t="s">
        <v>62</v>
      </c>
      <c r="C98" s="6" t="s">
        <v>297</v>
      </c>
      <c r="D98" s="7" t="s">
        <v>298</v>
      </c>
      <c r="E98" s="7" t="s">
        <v>299</v>
      </c>
      <c r="F98" s="4">
        <v>2</v>
      </c>
      <c r="G98" s="4">
        <v>2</v>
      </c>
    </row>
    <row r="99" spans="1:7" ht="25.5">
      <c r="A99" s="9">
        <v>98</v>
      </c>
      <c r="B99" s="10" t="s">
        <v>62</v>
      </c>
      <c r="C99" s="11" t="s">
        <v>300</v>
      </c>
      <c r="D99" s="12" t="s">
        <v>301</v>
      </c>
      <c r="E99" s="12" t="s">
        <v>302</v>
      </c>
      <c r="F99" s="9">
        <v>2</v>
      </c>
      <c r="G99" s="9">
        <v>2</v>
      </c>
    </row>
    <row r="100" spans="1:7" ht="25.5">
      <c r="A100" s="4">
        <v>99</v>
      </c>
      <c r="B100" s="5" t="s">
        <v>62</v>
      </c>
      <c r="C100" s="6" t="s">
        <v>303</v>
      </c>
      <c r="D100" s="7" t="s">
        <v>304</v>
      </c>
      <c r="E100" s="7" t="s">
        <v>305</v>
      </c>
      <c r="F100" s="4">
        <v>2</v>
      </c>
      <c r="G100" s="4">
        <v>2</v>
      </c>
    </row>
    <row r="101" spans="1:7" ht="25.5">
      <c r="A101" s="9">
        <v>100</v>
      </c>
      <c r="B101" s="10" t="s">
        <v>62</v>
      </c>
      <c r="C101" s="11" t="s">
        <v>306</v>
      </c>
      <c r="D101" s="12" t="s">
        <v>307</v>
      </c>
      <c r="E101" s="12" t="s">
        <v>308</v>
      </c>
      <c r="F101" s="9">
        <v>2</v>
      </c>
      <c r="G101" s="9">
        <v>2</v>
      </c>
    </row>
    <row r="102" spans="1:7" ht="25.5">
      <c r="A102" s="4">
        <v>101</v>
      </c>
      <c r="B102" s="5" t="s">
        <v>62</v>
      </c>
      <c r="C102" s="6" t="s">
        <v>309</v>
      </c>
      <c r="D102" s="7" t="s">
        <v>310</v>
      </c>
      <c r="E102" s="7" t="s">
        <v>311</v>
      </c>
      <c r="F102" s="4">
        <v>2</v>
      </c>
      <c r="G102" s="4">
        <v>2</v>
      </c>
    </row>
    <row r="103" spans="1:7" ht="25.5">
      <c r="A103" s="9">
        <v>102</v>
      </c>
      <c r="B103" s="10" t="s">
        <v>62</v>
      </c>
      <c r="C103" s="11" t="s">
        <v>312</v>
      </c>
      <c r="D103" s="12" t="s">
        <v>313</v>
      </c>
      <c r="E103" s="12" t="s">
        <v>314</v>
      </c>
      <c r="F103" s="9">
        <v>2</v>
      </c>
      <c r="G103" s="9">
        <v>2</v>
      </c>
    </row>
    <row r="104" spans="1:7" ht="25.5">
      <c r="A104" s="4">
        <v>103</v>
      </c>
      <c r="B104" s="5" t="s">
        <v>62</v>
      </c>
      <c r="C104" s="6" t="s">
        <v>315</v>
      </c>
      <c r="D104" s="7" t="s">
        <v>316</v>
      </c>
      <c r="E104" s="7" t="s">
        <v>317</v>
      </c>
      <c r="F104" s="4">
        <v>2</v>
      </c>
      <c r="G104" s="4">
        <v>2</v>
      </c>
    </row>
    <row r="105" spans="1:7" ht="25.5">
      <c r="A105" s="9">
        <v>104</v>
      </c>
      <c r="B105" s="10" t="s">
        <v>62</v>
      </c>
      <c r="C105" s="11" t="s">
        <v>318</v>
      </c>
      <c r="D105" s="12" t="s">
        <v>319</v>
      </c>
      <c r="E105" s="12" t="s">
        <v>320</v>
      </c>
      <c r="F105" s="9">
        <v>2</v>
      </c>
      <c r="G105" s="9">
        <v>2</v>
      </c>
    </row>
    <row r="106" spans="1:7" ht="25.5">
      <c r="A106" s="4">
        <v>105</v>
      </c>
      <c r="B106" s="5" t="s">
        <v>62</v>
      </c>
      <c r="C106" s="6" t="s">
        <v>321</v>
      </c>
      <c r="D106" s="7" t="s">
        <v>322</v>
      </c>
      <c r="E106" s="7" t="s">
        <v>323</v>
      </c>
      <c r="F106" s="4">
        <v>2</v>
      </c>
      <c r="G106" s="4">
        <v>2</v>
      </c>
    </row>
    <row r="107" spans="1:7" ht="25.5">
      <c r="A107" s="9">
        <v>106</v>
      </c>
      <c r="B107" s="10" t="s">
        <v>62</v>
      </c>
      <c r="C107" s="11" t="s">
        <v>324</v>
      </c>
      <c r="D107" s="12" t="s">
        <v>325</v>
      </c>
      <c r="E107" s="12" t="s">
        <v>326</v>
      </c>
      <c r="F107" s="9">
        <v>2</v>
      </c>
      <c r="G107" s="9">
        <v>2</v>
      </c>
    </row>
    <row r="108" spans="1:7" ht="25.5">
      <c r="A108" s="4">
        <v>107</v>
      </c>
      <c r="B108" s="5" t="s">
        <v>62</v>
      </c>
      <c r="C108" s="6" t="s">
        <v>327</v>
      </c>
      <c r="D108" s="7" t="s">
        <v>328</v>
      </c>
      <c r="E108" s="7" t="s">
        <v>329</v>
      </c>
      <c r="F108" s="4">
        <v>2</v>
      </c>
      <c r="G108" s="4">
        <v>2</v>
      </c>
    </row>
    <row r="109" spans="1:7" ht="25.5">
      <c r="A109" s="9">
        <v>108</v>
      </c>
      <c r="B109" s="10" t="s">
        <v>62</v>
      </c>
      <c r="C109" s="11" t="s">
        <v>330</v>
      </c>
      <c r="D109" s="12" t="s">
        <v>331</v>
      </c>
      <c r="E109" s="12" t="s">
        <v>332</v>
      </c>
      <c r="F109" s="9">
        <v>2</v>
      </c>
      <c r="G109" s="9">
        <v>2</v>
      </c>
    </row>
    <row r="110" spans="1:7" ht="25.5">
      <c r="A110" s="4">
        <v>109</v>
      </c>
      <c r="B110" s="5" t="s">
        <v>62</v>
      </c>
      <c r="C110" s="6" t="s">
        <v>333</v>
      </c>
      <c r="D110" s="7" t="s">
        <v>334</v>
      </c>
      <c r="E110" s="7" t="s">
        <v>335</v>
      </c>
      <c r="F110" s="4">
        <v>2</v>
      </c>
      <c r="G110" s="4">
        <v>2</v>
      </c>
    </row>
    <row r="111" spans="1:7" ht="25.5">
      <c r="A111" s="9">
        <v>110</v>
      </c>
      <c r="B111" s="10" t="s">
        <v>62</v>
      </c>
      <c r="C111" s="11" t="s">
        <v>336</v>
      </c>
      <c r="D111" s="12" t="s">
        <v>337</v>
      </c>
      <c r="E111" s="12" t="s">
        <v>338</v>
      </c>
      <c r="F111" s="9">
        <v>2</v>
      </c>
      <c r="G111" s="9">
        <v>2</v>
      </c>
    </row>
    <row r="112" spans="1:7" ht="25.5">
      <c r="A112" s="4">
        <v>111</v>
      </c>
      <c r="B112" s="5" t="s">
        <v>62</v>
      </c>
      <c r="C112" s="6" t="s">
        <v>339</v>
      </c>
      <c r="D112" s="7" t="s">
        <v>340</v>
      </c>
      <c r="E112" s="7" t="s">
        <v>341</v>
      </c>
      <c r="F112" s="4">
        <v>2</v>
      </c>
      <c r="G112" s="4">
        <v>2</v>
      </c>
    </row>
    <row r="113" spans="1:7" ht="25.5">
      <c r="A113" s="9">
        <v>112</v>
      </c>
      <c r="B113" s="10" t="s">
        <v>62</v>
      </c>
      <c r="C113" s="11" t="s">
        <v>342</v>
      </c>
      <c r="D113" s="12" t="s">
        <v>343</v>
      </c>
      <c r="E113" s="12" t="s">
        <v>344</v>
      </c>
      <c r="F113" s="9">
        <v>2</v>
      </c>
      <c r="G113" s="9">
        <v>2</v>
      </c>
    </row>
    <row r="114" spans="1:7" ht="25.5">
      <c r="A114" s="4">
        <v>113</v>
      </c>
      <c r="B114" s="5" t="s">
        <v>62</v>
      </c>
      <c r="C114" s="6" t="s">
        <v>345</v>
      </c>
      <c r="D114" s="7" t="s">
        <v>346</v>
      </c>
      <c r="E114" s="7" t="s">
        <v>347</v>
      </c>
      <c r="F114" s="4">
        <v>2</v>
      </c>
      <c r="G114" s="4">
        <v>2</v>
      </c>
    </row>
    <row r="115" spans="1:7" ht="25.5">
      <c r="A115" s="9">
        <v>114</v>
      </c>
      <c r="B115" s="10" t="s">
        <v>62</v>
      </c>
      <c r="C115" s="11" t="s">
        <v>348</v>
      </c>
      <c r="D115" s="12" t="s">
        <v>349</v>
      </c>
      <c r="E115" s="12" t="s">
        <v>350</v>
      </c>
      <c r="F115" s="9">
        <v>2</v>
      </c>
      <c r="G115" s="9">
        <v>2</v>
      </c>
    </row>
    <row r="116" spans="1:7" ht="25.5">
      <c r="A116" s="4">
        <v>115</v>
      </c>
      <c r="B116" s="5" t="s">
        <v>62</v>
      </c>
      <c r="C116" s="6" t="s">
        <v>351</v>
      </c>
      <c r="D116" s="7" t="s">
        <v>352</v>
      </c>
      <c r="E116" s="7" t="s">
        <v>353</v>
      </c>
      <c r="F116" s="4">
        <v>2</v>
      </c>
      <c r="G116" s="4">
        <v>2</v>
      </c>
    </row>
    <row r="117" spans="1:7" ht="25.5">
      <c r="A117" s="9">
        <v>116</v>
      </c>
      <c r="B117" s="10" t="s">
        <v>62</v>
      </c>
      <c r="C117" s="11" t="s">
        <v>354</v>
      </c>
      <c r="D117" s="12" t="s">
        <v>355</v>
      </c>
      <c r="E117" s="12" t="s">
        <v>356</v>
      </c>
      <c r="F117" s="9">
        <v>2</v>
      </c>
      <c r="G117" s="9">
        <v>2</v>
      </c>
    </row>
    <row r="118" spans="1:7" ht="25.5">
      <c r="A118" s="4">
        <v>117</v>
      </c>
      <c r="B118" s="5" t="s">
        <v>62</v>
      </c>
      <c r="C118" s="6" t="s">
        <v>357</v>
      </c>
      <c r="D118" s="7" t="s">
        <v>358</v>
      </c>
      <c r="E118" s="7" t="s">
        <v>359</v>
      </c>
      <c r="F118" s="4">
        <v>2</v>
      </c>
      <c r="G118" s="4">
        <v>2</v>
      </c>
    </row>
    <row r="119" spans="1:7" ht="25.5">
      <c r="A119" s="9">
        <v>118</v>
      </c>
      <c r="B119" s="10" t="s">
        <v>62</v>
      </c>
      <c r="C119" s="11" t="s">
        <v>360</v>
      </c>
      <c r="D119" s="12" t="s">
        <v>361</v>
      </c>
      <c r="E119" s="12" t="s">
        <v>362</v>
      </c>
      <c r="F119" s="9">
        <v>2</v>
      </c>
      <c r="G119" s="9">
        <v>2</v>
      </c>
    </row>
    <row r="120" spans="1:7" ht="25.5">
      <c r="A120" s="4">
        <v>119</v>
      </c>
      <c r="B120" s="5" t="s">
        <v>62</v>
      </c>
      <c r="C120" s="6" t="s">
        <v>363</v>
      </c>
      <c r="D120" s="7" t="s">
        <v>364</v>
      </c>
      <c r="E120" s="7" t="s">
        <v>365</v>
      </c>
      <c r="F120" s="4">
        <v>2</v>
      </c>
      <c r="G120" s="4">
        <v>2</v>
      </c>
    </row>
    <row r="121" spans="1:7" ht="25.5">
      <c r="A121" s="9">
        <v>120</v>
      </c>
      <c r="B121" s="10" t="s">
        <v>62</v>
      </c>
      <c r="C121" s="11" t="s">
        <v>366</v>
      </c>
      <c r="D121" s="12" t="s">
        <v>367</v>
      </c>
      <c r="E121" s="12" t="s">
        <v>368</v>
      </c>
      <c r="F121" s="9">
        <v>2</v>
      </c>
      <c r="G121" s="9">
        <v>2</v>
      </c>
    </row>
    <row r="122" spans="1:7" ht="25.5">
      <c r="A122" s="4">
        <v>121</v>
      </c>
      <c r="B122" s="5" t="s">
        <v>62</v>
      </c>
      <c r="C122" s="6" t="s">
        <v>369</v>
      </c>
      <c r="D122" s="7" t="s">
        <v>370</v>
      </c>
      <c r="E122" s="7" t="s">
        <v>371</v>
      </c>
      <c r="F122" s="4">
        <v>2</v>
      </c>
      <c r="G122" s="4">
        <v>2</v>
      </c>
    </row>
    <row r="123" spans="1:7" ht="25.5">
      <c r="A123" s="9">
        <v>122</v>
      </c>
      <c r="B123" s="10" t="s">
        <v>62</v>
      </c>
      <c r="C123" s="11" t="s">
        <v>372</v>
      </c>
      <c r="D123" s="12" t="s">
        <v>373</v>
      </c>
      <c r="E123" s="12" t="s">
        <v>374</v>
      </c>
      <c r="F123" s="9">
        <v>2</v>
      </c>
      <c r="G123" s="9">
        <v>2</v>
      </c>
    </row>
    <row r="124" spans="1:7" ht="25.5">
      <c r="A124" s="4">
        <v>123</v>
      </c>
      <c r="B124" s="5" t="s">
        <v>62</v>
      </c>
      <c r="C124" s="6" t="s">
        <v>375</v>
      </c>
      <c r="D124" s="7" t="s">
        <v>376</v>
      </c>
      <c r="E124" s="7" t="s">
        <v>377</v>
      </c>
      <c r="F124" s="4">
        <v>2</v>
      </c>
      <c r="G124" s="4">
        <v>2</v>
      </c>
    </row>
    <row r="125" spans="1:7" ht="25.5">
      <c r="A125" s="9">
        <v>124</v>
      </c>
      <c r="B125" s="10" t="s">
        <v>62</v>
      </c>
      <c r="C125" s="11" t="s">
        <v>378</v>
      </c>
      <c r="D125" s="12" t="s">
        <v>379</v>
      </c>
      <c r="E125" s="12" t="s">
        <v>380</v>
      </c>
      <c r="F125" s="9">
        <v>2</v>
      </c>
      <c r="G125" s="9">
        <v>2</v>
      </c>
    </row>
    <row r="126" spans="1:7" ht="25.5">
      <c r="A126" s="4">
        <v>125</v>
      </c>
      <c r="B126" s="5" t="s">
        <v>62</v>
      </c>
      <c r="C126" s="6" t="s">
        <v>381</v>
      </c>
      <c r="D126" s="7" t="s">
        <v>382</v>
      </c>
      <c r="E126" s="7" t="s">
        <v>383</v>
      </c>
      <c r="F126" s="4">
        <v>2</v>
      </c>
      <c r="G126" s="4">
        <v>2</v>
      </c>
    </row>
    <row r="127" spans="1:7" ht="25.5">
      <c r="A127" s="9">
        <v>126</v>
      </c>
      <c r="B127" s="10" t="s">
        <v>62</v>
      </c>
      <c r="C127" s="11" t="s">
        <v>384</v>
      </c>
      <c r="D127" s="12" t="s">
        <v>385</v>
      </c>
      <c r="E127" s="12" t="s">
        <v>386</v>
      </c>
      <c r="F127" s="9">
        <v>2</v>
      </c>
      <c r="G127" s="9">
        <v>2</v>
      </c>
    </row>
    <row r="128" spans="1:7" ht="25.5">
      <c r="A128" s="4">
        <v>127</v>
      </c>
      <c r="B128" s="5" t="s">
        <v>62</v>
      </c>
      <c r="C128" s="6" t="s">
        <v>387</v>
      </c>
      <c r="D128" s="7" t="s">
        <v>388</v>
      </c>
      <c r="E128" s="7" t="s">
        <v>389</v>
      </c>
      <c r="F128" s="4">
        <v>2</v>
      </c>
      <c r="G128" s="4">
        <v>2</v>
      </c>
    </row>
    <row r="129" spans="1:7" ht="25.5">
      <c r="A129" s="9">
        <v>128</v>
      </c>
      <c r="B129" s="10" t="s">
        <v>62</v>
      </c>
      <c r="C129" s="11" t="s">
        <v>390</v>
      </c>
      <c r="D129" s="12" t="s">
        <v>391</v>
      </c>
      <c r="E129" s="12" t="s">
        <v>392</v>
      </c>
      <c r="F129" s="9">
        <v>2</v>
      </c>
      <c r="G129" s="9">
        <v>2</v>
      </c>
    </row>
    <row r="130" spans="1:7" ht="25.5">
      <c r="A130" s="4">
        <v>129</v>
      </c>
      <c r="B130" s="5" t="s">
        <v>62</v>
      </c>
      <c r="C130" s="6" t="s">
        <v>393</v>
      </c>
      <c r="D130" s="7" t="s">
        <v>394</v>
      </c>
      <c r="E130" s="7" t="s">
        <v>395</v>
      </c>
      <c r="F130" s="4">
        <v>2</v>
      </c>
      <c r="G130" s="4">
        <v>2</v>
      </c>
    </row>
    <row r="131" spans="1:7" ht="25.5">
      <c r="A131" s="9">
        <v>130</v>
      </c>
      <c r="B131" s="10" t="s">
        <v>62</v>
      </c>
      <c r="C131" s="11" t="s">
        <v>396</v>
      </c>
      <c r="D131" s="12" t="s">
        <v>397</v>
      </c>
      <c r="E131" s="12" t="s">
        <v>398</v>
      </c>
      <c r="F131" s="9">
        <v>2</v>
      </c>
      <c r="G131" s="9">
        <v>2</v>
      </c>
    </row>
    <row r="132" spans="1:7" ht="25.5">
      <c r="A132" s="4">
        <v>131</v>
      </c>
      <c r="B132" s="5" t="s">
        <v>62</v>
      </c>
      <c r="C132" s="6" t="s">
        <v>399</v>
      </c>
      <c r="D132" s="7" t="s">
        <v>400</v>
      </c>
      <c r="E132" s="7" t="s">
        <v>401</v>
      </c>
      <c r="F132" s="4">
        <v>2</v>
      </c>
      <c r="G132" s="4">
        <v>2</v>
      </c>
    </row>
    <row r="133" spans="1:7" ht="25.5">
      <c r="A133" s="9">
        <v>132</v>
      </c>
      <c r="B133" s="10" t="s">
        <v>62</v>
      </c>
      <c r="C133" s="11" t="s">
        <v>402</v>
      </c>
      <c r="D133" s="12" t="s">
        <v>403</v>
      </c>
      <c r="E133" s="12" t="s">
        <v>404</v>
      </c>
      <c r="F133" s="9">
        <v>2</v>
      </c>
      <c r="G133" s="9">
        <v>2</v>
      </c>
    </row>
    <row r="134" spans="1:7" ht="25.5">
      <c r="A134" s="4">
        <v>133</v>
      </c>
      <c r="B134" s="5" t="s">
        <v>62</v>
      </c>
      <c r="C134" s="6" t="s">
        <v>405</v>
      </c>
      <c r="D134" s="7" t="s">
        <v>406</v>
      </c>
      <c r="E134" s="7" t="s">
        <v>407</v>
      </c>
      <c r="F134" s="4">
        <v>2</v>
      </c>
      <c r="G134" s="4">
        <v>2</v>
      </c>
    </row>
    <row r="135" spans="1:7" ht="25.5">
      <c r="A135" s="9">
        <v>134</v>
      </c>
      <c r="B135" s="10" t="s">
        <v>62</v>
      </c>
      <c r="C135" s="11" t="s">
        <v>408</v>
      </c>
      <c r="D135" s="12" t="s">
        <v>409</v>
      </c>
      <c r="E135" s="12" t="s">
        <v>410</v>
      </c>
      <c r="F135" s="9">
        <v>2</v>
      </c>
      <c r="G135" s="9">
        <v>2</v>
      </c>
    </row>
    <row r="136" spans="1:7" ht="25.5">
      <c r="A136" s="4">
        <v>135</v>
      </c>
      <c r="B136" s="5" t="s">
        <v>62</v>
      </c>
      <c r="C136" s="6" t="s">
        <v>411</v>
      </c>
      <c r="D136" s="7" t="s">
        <v>412</v>
      </c>
      <c r="E136" s="7" t="s">
        <v>413</v>
      </c>
      <c r="F136" s="4">
        <v>2</v>
      </c>
      <c r="G136" s="4">
        <v>2</v>
      </c>
    </row>
    <row r="137" spans="1:7" ht="25.5">
      <c r="A137" s="9">
        <v>136</v>
      </c>
      <c r="B137" s="10" t="s">
        <v>62</v>
      </c>
      <c r="C137" s="11" t="s">
        <v>414</v>
      </c>
      <c r="D137" s="12" t="s">
        <v>415</v>
      </c>
      <c r="E137" s="12" t="s">
        <v>416</v>
      </c>
      <c r="F137" s="9">
        <v>2</v>
      </c>
      <c r="G137" s="9">
        <v>2</v>
      </c>
    </row>
    <row r="138" spans="1:7" ht="25.5">
      <c r="A138" s="4">
        <v>137</v>
      </c>
      <c r="B138" s="5" t="s">
        <v>62</v>
      </c>
      <c r="C138" s="6" t="s">
        <v>417</v>
      </c>
      <c r="D138" s="7" t="s">
        <v>418</v>
      </c>
      <c r="E138" s="7" t="s">
        <v>419</v>
      </c>
      <c r="F138" s="4">
        <v>2</v>
      </c>
      <c r="G138" s="4">
        <v>2</v>
      </c>
    </row>
    <row r="139" spans="1:7" ht="25.5">
      <c r="A139" s="9">
        <v>138</v>
      </c>
      <c r="B139" s="10" t="s">
        <v>62</v>
      </c>
      <c r="C139" s="11" t="s">
        <v>420</v>
      </c>
      <c r="D139" s="12" t="s">
        <v>421</v>
      </c>
      <c r="E139" s="12" t="s">
        <v>422</v>
      </c>
      <c r="F139" s="9">
        <v>2</v>
      </c>
      <c r="G139" s="9">
        <v>2</v>
      </c>
    </row>
    <row r="140" spans="1:7" ht="25.5">
      <c r="A140" s="4">
        <v>139</v>
      </c>
      <c r="B140" s="5" t="s">
        <v>62</v>
      </c>
      <c r="C140" s="6" t="s">
        <v>423</v>
      </c>
      <c r="D140" s="7" t="s">
        <v>424</v>
      </c>
      <c r="E140" s="7" t="s">
        <v>425</v>
      </c>
      <c r="F140" s="4">
        <v>2</v>
      </c>
      <c r="G140" s="4">
        <v>2</v>
      </c>
    </row>
    <row r="141" spans="1:7" ht="25.5">
      <c r="A141" s="9">
        <v>140</v>
      </c>
      <c r="B141" s="10" t="s">
        <v>62</v>
      </c>
      <c r="C141" s="11" t="s">
        <v>426</v>
      </c>
      <c r="D141" s="12" t="s">
        <v>427</v>
      </c>
      <c r="E141" s="12" t="s">
        <v>428</v>
      </c>
      <c r="F141" s="9">
        <v>2</v>
      </c>
      <c r="G141" s="9">
        <v>2</v>
      </c>
    </row>
    <row r="142" spans="1:7" ht="25.5">
      <c r="A142" s="4">
        <v>141</v>
      </c>
      <c r="B142" s="5" t="s">
        <v>62</v>
      </c>
      <c r="C142" s="6" t="s">
        <v>429</v>
      </c>
      <c r="D142" s="7" t="s">
        <v>430</v>
      </c>
      <c r="E142" s="7" t="s">
        <v>431</v>
      </c>
      <c r="F142" s="4">
        <v>2</v>
      </c>
      <c r="G142" s="4">
        <v>2</v>
      </c>
    </row>
    <row r="143" spans="1:7" ht="25.5">
      <c r="A143" s="9">
        <v>142</v>
      </c>
      <c r="B143" s="10" t="s">
        <v>62</v>
      </c>
      <c r="C143" s="11" t="s">
        <v>432</v>
      </c>
      <c r="D143" s="12" t="s">
        <v>433</v>
      </c>
      <c r="E143" s="12" t="s">
        <v>434</v>
      </c>
      <c r="F143" s="9">
        <v>2</v>
      </c>
      <c r="G143" s="9">
        <v>2</v>
      </c>
    </row>
    <row r="144" spans="1:7" ht="25.5">
      <c r="A144" s="4">
        <v>143</v>
      </c>
      <c r="B144" s="5" t="s">
        <v>62</v>
      </c>
      <c r="C144" s="6" t="s">
        <v>435</v>
      </c>
      <c r="D144" s="7" t="s">
        <v>436</v>
      </c>
      <c r="E144" s="7" t="s">
        <v>437</v>
      </c>
      <c r="F144" s="4">
        <v>2</v>
      </c>
      <c r="G144" s="4">
        <v>2</v>
      </c>
    </row>
    <row r="145" spans="1:7" ht="25.5">
      <c r="A145" s="9">
        <v>144</v>
      </c>
      <c r="B145" s="10" t="s">
        <v>62</v>
      </c>
      <c r="C145" s="11" t="s">
        <v>438</v>
      </c>
      <c r="D145" s="12" t="s">
        <v>439</v>
      </c>
      <c r="E145" s="12" t="s">
        <v>440</v>
      </c>
      <c r="F145" s="9">
        <v>2</v>
      </c>
      <c r="G145" s="9">
        <v>2</v>
      </c>
    </row>
    <row r="146" spans="1:7" ht="25.5">
      <c r="A146" s="4">
        <v>145</v>
      </c>
      <c r="B146" s="5" t="s">
        <v>62</v>
      </c>
      <c r="C146" s="6" t="s">
        <v>441</v>
      </c>
      <c r="D146" s="7" t="s">
        <v>442</v>
      </c>
      <c r="E146" s="7" t="s">
        <v>443</v>
      </c>
      <c r="F146" s="4">
        <v>2</v>
      </c>
      <c r="G146" s="4">
        <v>2</v>
      </c>
    </row>
    <row r="147" spans="1:7" ht="25.5">
      <c r="A147" s="9">
        <v>146</v>
      </c>
      <c r="B147" s="10" t="s">
        <v>62</v>
      </c>
      <c r="C147" s="11" t="s">
        <v>444</v>
      </c>
      <c r="D147" s="12" t="s">
        <v>445</v>
      </c>
      <c r="E147" s="12" t="s">
        <v>446</v>
      </c>
      <c r="F147" s="9">
        <v>2</v>
      </c>
      <c r="G147" s="9">
        <v>2</v>
      </c>
    </row>
    <row r="148" spans="1:7" ht="25.5">
      <c r="A148" s="4">
        <v>147</v>
      </c>
      <c r="B148" s="5" t="s">
        <v>62</v>
      </c>
      <c r="C148" s="6" t="s">
        <v>447</v>
      </c>
      <c r="D148" s="7" t="s">
        <v>448</v>
      </c>
      <c r="E148" s="7" t="s">
        <v>449</v>
      </c>
      <c r="F148" s="4">
        <v>2</v>
      </c>
      <c r="G148" s="4">
        <v>2</v>
      </c>
    </row>
    <row r="149" spans="1:7" ht="25.5">
      <c r="A149" s="9">
        <v>148</v>
      </c>
      <c r="B149" s="10" t="s">
        <v>62</v>
      </c>
      <c r="C149" s="11" t="s">
        <v>450</v>
      </c>
      <c r="D149" s="12" t="s">
        <v>451</v>
      </c>
      <c r="E149" s="12" t="s">
        <v>452</v>
      </c>
      <c r="F149" s="9">
        <v>2</v>
      </c>
      <c r="G149" s="9">
        <v>2</v>
      </c>
    </row>
    <row r="150" spans="1:7" ht="25.5">
      <c r="A150" s="4">
        <v>149</v>
      </c>
      <c r="B150" s="5" t="s">
        <v>62</v>
      </c>
      <c r="C150" s="6" t="s">
        <v>453</v>
      </c>
      <c r="D150" s="7" t="s">
        <v>454</v>
      </c>
      <c r="E150" s="7" t="s">
        <v>455</v>
      </c>
      <c r="F150" s="4">
        <v>2</v>
      </c>
      <c r="G150" s="4">
        <v>2</v>
      </c>
    </row>
    <row r="151" spans="1:7" ht="25.5">
      <c r="A151" s="9">
        <v>150</v>
      </c>
      <c r="B151" s="10" t="s">
        <v>62</v>
      </c>
      <c r="C151" s="11" t="s">
        <v>456</v>
      </c>
      <c r="D151" s="12" t="s">
        <v>457</v>
      </c>
      <c r="E151" s="12" t="s">
        <v>458</v>
      </c>
      <c r="F151" s="9">
        <v>2</v>
      </c>
      <c r="G151" s="9">
        <v>2</v>
      </c>
    </row>
    <row r="152" spans="1:7" ht="25.5">
      <c r="A152" s="4">
        <v>151</v>
      </c>
      <c r="B152" s="5" t="s">
        <v>62</v>
      </c>
      <c r="C152" s="6" t="s">
        <v>459</v>
      </c>
      <c r="D152" s="7" t="s">
        <v>460</v>
      </c>
      <c r="E152" s="7" t="s">
        <v>461</v>
      </c>
      <c r="F152" s="4">
        <v>2</v>
      </c>
      <c r="G152" s="4">
        <v>2</v>
      </c>
    </row>
    <row r="153" spans="1:7" ht="25.5">
      <c r="A153" s="9">
        <v>152</v>
      </c>
      <c r="B153" s="10" t="s">
        <v>62</v>
      </c>
      <c r="C153" s="11" t="s">
        <v>462</v>
      </c>
      <c r="D153" s="12" t="s">
        <v>463</v>
      </c>
      <c r="E153" s="12" t="s">
        <v>464</v>
      </c>
      <c r="F153" s="9">
        <v>2</v>
      </c>
      <c r="G153" s="9">
        <v>2</v>
      </c>
    </row>
    <row r="154" spans="1:7" ht="25.5">
      <c r="A154" s="4">
        <v>153</v>
      </c>
      <c r="B154" s="5" t="s">
        <v>62</v>
      </c>
      <c r="C154" s="6" t="s">
        <v>465</v>
      </c>
      <c r="D154" s="7" t="s">
        <v>466</v>
      </c>
      <c r="E154" s="7" t="s">
        <v>467</v>
      </c>
      <c r="F154" s="4">
        <v>2</v>
      </c>
      <c r="G154" s="4">
        <v>2</v>
      </c>
    </row>
    <row r="155" spans="1:7" ht="25.5">
      <c r="A155" s="9">
        <v>154</v>
      </c>
      <c r="B155" s="10" t="s">
        <v>62</v>
      </c>
      <c r="C155" s="11" t="s">
        <v>468</v>
      </c>
      <c r="D155" s="12" t="s">
        <v>469</v>
      </c>
      <c r="E155" s="12" t="s">
        <v>470</v>
      </c>
      <c r="F155" s="9">
        <v>2</v>
      </c>
      <c r="G155" s="9">
        <v>2</v>
      </c>
    </row>
    <row r="156" spans="1:7" ht="25.5">
      <c r="A156" s="4">
        <v>155</v>
      </c>
      <c r="B156" s="5" t="s">
        <v>62</v>
      </c>
      <c r="C156" s="6" t="s">
        <v>471</v>
      </c>
      <c r="D156" s="7" t="s">
        <v>472</v>
      </c>
      <c r="E156" s="7" t="s">
        <v>473</v>
      </c>
      <c r="F156" s="4">
        <v>2</v>
      </c>
      <c r="G156" s="4">
        <v>2</v>
      </c>
    </row>
    <row r="157" spans="1:7" ht="25.5">
      <c r="A157" s="9">
        <v>156</v>
      </c>
      <c r="B157" s="10" t="s">
        <v>62</v>
      </c>
      <c r="C157" s="11" t="s">
        <v>474</v>
      </c>
      <c r="D157" s="12" t="s">
        <v>475</v>
      </c>
      <c r="E157" s="12" t="s">
        <v>476</v>
      </c>
      <c r="F157" s="9">
        <v>2</v>
      </c>
      <c r="G157" s="9">
        <v>2</v>
      </c>
    </row>
    <row r="158" spans="1:7" ht="25.5">
      <c r="A158" s="4">
        <v>157</v>
      </c>
      <c r="B158" s="5" t="s">
        <v>62</v>
      </c>
      <c r="C158" s="6" t="s">
        <v>477</v>
      </c>
      <c r="D158" s="7" t="s">
        <v>478</v>
      </c>
      <c r="E158" s="7" t="s">
        <v>479</v>
      </c>
      <c r="F158" s="4">
        <v>2</v>
      </c>
      <c r="G158" s="4">
        <v>2</v>
      </c>
    </row>
    <row r="159" spans="1:7" ht="25.5">
      <c r="A159" s="9">
        <v>158</v>
      </c>
      <c r="B159" s="10" t="s">
        <v>62</v>
      </c>
      <c r="C159" s="11" t="s">
        <v>480</v>
      </c>
      <c r="D159" s="12" t="s">
        <v>481</v>
      </c>
      <c r="E159" s="12" t="s">
        <v>482</v>
      </c>
      <c r="F159" s="9">
        <v>2</v>
      </c>
      <c r="G159" s="9">
        <v>2</v>
      </c>
    </row>
    <row r="160" spans="1:7" ht="25.5">
      <c r="A160" s="4">
        <v>159</v>
      </c>
      <c r="B160" s="5" t="s">
        <v>62</v>
      </c>
      <c r="C160" s="6" t="s">
        <v>483</v>
      </c>
      <c r="D160" s="7" t="s">
        <v>484</v>
      </c>
      <c r="E160" s="7" t="s">
        <v>485</v>
      </c>
      <c r="F160" s="4">
        <v>2</v>
      </c>
      <c r="G160" s="4">
        <v>2</v>
      </c>
    </row>
    <row r="161" spans="1:7" ht="25.5">
      <c r="A161" s="9">
        <v>160</v>
      </c>
      <c r="B161" s="10" t="s">
        <v>62</v>
      </c>
      <c r="C161" s="11" t="s">
        <v>486</v>
      </c>
      <c r="D161" s="12" t="s">
        <v>487</v>
      </c>
      <c r="E161" s="12" t="s">
        <v>488</v>
      </c>
      <c r="F161" s="9">
        <v>2</v>
      </c>
      <c r="G161" s="9">
        <v>2</v>
      </c>
    </row>
    <row r="162" spans="1:7" ht="25.5">
      <c r="A162" s="4">
        <v>161</v>
      </c>
      <c r="B162" s="5" t="s">
        <v>62</v>
      </c>
      <c r="C162" s="6" t="s">
        <v>489</v>
      </c>
      <c r="D162" s="7" t="s">
        <v>490</v>
      </c>
      <c r="E162" s="7" t="s">
        <v>491</v>
      </c>
      <c r="F162" s="4">
        <v>2</v>
      </c>
      <c r="G162" s="4">
        <v>2</v>
      </c>
    </row>
    <row r="163" spans="1:7" ht="25.5">
      <c r="A163" s="9">
        <v>162</v>
      </c>
      <c r="B163" s="10" t="s">
        <v>62</v>
      </c>
      <c r="C163" s="11" t="s">
        <v>492</v>
      </c>
      <c r="D163" s="12" t="s">
        <v>493</v>
      </c>
      <c r="E163" s="12" t="s">
        <v>494</v>
      </c>
      <c r="F163" s="9">
        <v>2</v>
      </c>
      <c r="G163" s="9">
        <v>2</v>
      </c>
    </row>
    <row r="164" spans="1:7" ht="25.5">
      <c r="A164" s="4">
        <v>163</v>
      </c>
      <c r="B164" s="5" t="s">
        <v>62</v>
      </c>
      <c r="C164" s="6" t="s">
        <v>495</v>
      </c>
      <c r="D164" s="7" t="s">
        <v>496</v>
      </c>
      <c r="E164" s="7" t="s">
        <v>497</v>
      </c>
      <c r="F164" s="4">
        <v>2</v>
      </c>
      <c r="G164" s="4">
        <v>2</v>
      </c>
    </row>
    <row r="165" spans="1:7" ht="25.5">
      <c r="A165" s="9">
        <v>164</v>
      </c>
      <c r="B165" s="10" t="s">
        <v>62</v>
      </c>
      <c r="C165" s="11" t="s">
        <v>498</v>
      </c>
      <c r="D165" s="12" t="s">
        <v>499</v>
      </c>
      <c r="E165" s="12" t="s">
        <v>500</v>
      </c>
      <c r="F165" s="9">
        <v>2</v>
      </c>
      <c r="G165" s="9">
        <v>2</v>
      </c>
    </row>
    <row r="166" spans="1:7" ht="25.5">
      <c r="A166" s="4">
        <v>165</v>
      </c>
      <c r="B166" s="5" t="s">
        <v>62</v>
      </c>
      <c r="C166" s="6" t="s">
        <v>501</v>
      </c>
      <c r="D166" s="7" t="s">
        <v>502</v>
      </c>
      <c r="E166" s="7" t="s">
        <v>503</v>
      </c>
      <c r="F166" s="4">
        <v>2</v>
      </c>
      <c r="G166" s="4">
        <v>2</v>
      </c>
    </row>
    <row r="167" spans="1:7" ht="25.5">
      <c r="A167" s="9">
        <v>166</v>
      </c>
      <c r="B167" s="10" t="s">
        <v>62</v>
      </c>
      <c r="C167" s="11" t="s">
        <v>504</v>
      </c>
      <c r="D167" s="12" t="s">
        <v>505</v>
      </c>
      <c r="E167" s="12" t="s">
        <v>506</v>
      </c>
      <c r="F167" s="9">
        <v>2</v>
      </c>
      <c r="G167" s="9">
        <v>2</v>
      </c>
    </row>
    <row r="168" spans="1:7" ht="25.5">
      <c r="A168" s="4">
        <v>167</v>
      </c>
      <c r="B168" s="5" t="s">
        <v>62</v>
      </c>
      <c r="C168" s="6" t="s">
        <v>507</v>
      </c>
      <c r="D168" s="7" t="s">
        <v>508</v>
      </c>
      <c r="E168" s="7" t="s">
        <v>509</v>
      </c>
      <c r="F168" s="4">
        <v>2</v>
      </c>
      <c r="G168" s="4">
        <v>2</v>
      </c>
    </row>
    <row r="169" spans="1:7" ht="25.5">
      <c r="A169" s="9">
        <v>168</v>
      </c>
      <c r="B169" s="10" t="s">
        <v>62</v>
      </c>
      <c r="C169" s="11" t="s">
        <v>510</v>
      </c>
      <c r="D169" s="12" t="s">
        <v>511</v>
      </c>
      <c r="E169" s="12" t="s">
        <v>512</v>
      </c>
      <c r="F169" s="9">
        <v>2</v>
      </c>
      <c r="G169" s="9">
        <v>2</v>
      </c>
    </row>
    <row r="170" spans="1:7" ht="25.5">
      <c r="A170" s="4">
        <v>169</v>
      </c>
      <c r="B170" s="5" t="s">
        <v>62</v>
      </c>
      <c r="C170" s="6" t="s">
        <v>513</v>
      </c>
      <c r="D170" s="7" t="s">
        <v>514</v>
      </c>
      <c r="E170" s="7" t="s">
        <v>515</v>
      </c>
      <c r="F170" s="4">
        <v>2</v>
      </c>
      <c r="G170" s="4">
        <v>2</v>
      </c>
    </row>
    <row r="171" spans="1:7" ht="25.5">
      <c r="A171" s="9">
        <v>170</v>
      </c>
      <c r="B171" s="10" t="s">
        <v>62</v>
      </c>
      <c r="C171" s="11" t="s">
        <v>516</v>
      </c>
      <c r="D171" s="12" t="s">
        <v>517</v>
      </c>
      <c r="E171" s="12" t="s">
        <v>518</v>
      </c>
      <c r="F171" s="9">
        <v>2</v>
      </c>
      <c r="G171" s="9">
        <v>2</v>
      </c>
    </row>
    <row r="172" spans="1:7" ht="25.5">
      <c r="A172" s="4">
        <v>171</v>
      </c>
      <c r="B172" s="5" t="s">
        <v>62</v>
      </c>
      <c r="C172" s="6" t="s">
        <v>519</v>
      </c>
      <c r="D172" s="7" t="s">
        <v>520</v>
      </c>
      <c r="E172" s="7" t="s">
        <v>521</v>
      </c>
      <c r="F172" s="4">
        <v>2</v>
      </c>
      <c r="G172" s="4">
        <v>2</v>
      </c>
    </row>
    <row r="173" spans="1:7" ht="25.5">
      <c r="A173" s="9">
        <v>172</v>
      </c>
      <c r="B173" s="10" t="s">
        <v>62</v>
      </c>
      <c r="C173" s="11" t="s">
        <v>522</v>
      </c>
      <c r="D173" s="12" t="s">
        <v>523</v>
      </c>
      <c r="E173" s="12" t="s">
        <v>524</v>
      </c>
      <c r="F173" s="9">
        <v>2</v>
      </c>
      <c r="G173" s="9">
        <v>2</v>
      </c>
    </row>
    <row r="174" spans="1:7" ht="25.5">
      <c r="A174" s="4">
        <v>173</v>
      </c>
      <c r="B174" s="5" t="s">
        <v>62</v>
      </c>
      <c r="C174" s="6" t="s">
        <v>525</v>
      </c>
      <c r="D174" s="7" t="s">
        <v>526</v>
      </c>
      <c r="E174" s="7" t="s">
        <v>527</v>
      </c>
      <c r="F174" s="4">
        <v>2</v>
      </c>
      <c r="G174" s="4">
        <v>2</v>
      </c>
    </row>
    <row r="175" spans="1:7" ht="25.5">
      <c r="A175" s="9">
        <v>174</v>
      </c>
      <c r="B175" s="10" t="s">
        <v>62</v>
      </c>
      <c r="C175" s="11" t="s">
        <v>528</v>
      </c>
      <c r="D175" s="12" t="s">
        <v>529</v>
      </c>
      <c r="E175" s="12" t="s">
        <v>530</v>
      </c>
      <c r="F175" s="9">
        <v>2</v>
      </c>
      <c r="G175" s="9">
        <v>2</v>
      </c>
    </row>
    <row r="176" spans="1:7" ht="25.5">
      <c r="A176" s="4">
        <v>175</v>
      </c>
      <c r="B176" s="5" t="s">
        <v>62</v>
      </c>
      <c r="C176" s="6" t="s">
        <v>531</v>
      </c>
      <c r="D176" s="7" t="s">
        <v>532</v>
      </c>
      <c r="E176" s="7" t="s">
        <v>533</v>
      </c>
      <c r="F176" s="4">
        <v>2</v>
      </c>
      <c r="G176" s="4">
        <v>2</v>
      </c>
    </row>
    <row r="177" spans="1:7" ht="25.5">
      <c r="A177" s="9">
        <v>176</v>
      </c>
      <c r="B177" s="10" t="s">
        <v>62</v>
      </c>
      <c r="C177" s="11" t="s">
        <v>534</v>
      </c>
      <c r="D177" s="12" t="s">
        <v>535</v>
      </c>
      <c r="E177" s="12" t="s">
        <v>536</v>
      </c>
      <c r="F177" s="9">
        <v>2</v>
      </c>
      <c r="G177" s="9">
        <v>2</v>
      </c>
    </row>
    <row r="178" spans="1:7" ht="25.5">
      <c r="A178" s="4">
        <v>177</v>
      </c>
      <c r="B178" s="5" t="s">
        <v>62</v>
      </c>
      <c r="C178" s="6" t="s">
        <v>537</v>
      </c>
      <c r="D178" s="7" t="s">
        <v>538</v>
      </c>
      <c r="E178" s="7" t="s">
        <v>539</v>
      </c>
      <c r="F178" s="4">
        <v>2</v>
      </c>
      <c r="G178" s="4">
        <v>2</v>
      </c>
    </row>
    <row r="179" spans="1:7" ht="25.5">
      <c r="A179" s="9">
        <v>178</v>
      </c>
      <c r="B179" s="10" t="s">
        <v>62</v>
      </c>
      <c r="C179" s="11" t="s">
        <v>540</v>
      </c>
      <c r="D179" s="12" t="s">
        <v>541</v>
      </c>
      <c r="E179" s="12" t="s">
        <v>542</v>
      </c>
      <c r="F179" s="9">
        <v>2</v>
      </c>
      <c r="G179" s="9">
        <v>2</v>
      </c>
    </row>
    <row r="180" spans="1:7" ht="25.5">
      <c r="A180" s="4">
        <v>179</v>
      </c>
      <c r="B180" s="5" t="s">
        <v>62</v>
      </c>
      <c r="C180" s="6" t="s">
        <v>543</v>
      </c>
      <c r="D180" s="7" t="s">
        <v>544</v>
      </c>
      <c r="E180" s="7" t="s">
        <v>545</v>
      </c>
      <c r="F180" s="4">
        <v>2</v>
      </c>
      <c r="G180" s="4">
        <v>2</v>
      </c>
    </row>
    <row r="181" spans="1:7" ht="25.5">
      <c r="A181" s="9">
        <v>180</v>
      </c>
      <c r="B181" s="10" t="s">
        <v>62</v>
      </c>
      <c r="C181" s="11" t="s">
        <v>546</v>
      </c>
      <c r="D181" s="12" t="s">
        <v>547</v>
      </c>
      <c r="E181" s="12" t="s">
        <v>548</v>
      </c>
      <c r="F181" s="9">
        <v>2</v>
      </c>
      <c r="G181" s="9">
        <v>2</v>
      </c>
    </row>
    <row r="182" spans="1:7" ht="25.5">
      <c r="A182" s="4">
        <v>181</v>
      </c>
      <c r="B182" s="5" t="s">
        <v>62</v>
      </c>
      <c r="C182" s="6" t="s">
        <v>549</v>
      </c>
      <c r="D182" s="7" t="s">
        <v>550</v>
      </c>
      <c r="E182" s="7" t="s">
        <v>551</v>
      </c>
      <c r="F182" s="4">
        <v>2</v>
      </c>
      <c r="G182" s="4">
        <v>2</v>
      </c>
    </row>
    <row r="183" spans="1:7" ht="25.5">
      <c r="A183" s="9">
        <v>182</v>
      </c>
      <c r="B183" s="10" t="s">
        <v>62</v>
      </c>
      <c r="C183" s="11" t="s">
        <v>552</v>
      </c>
      <c r="D183" s="12" t="s">
        <v>553</v>
      </c>
      <c r="E183" s="12" t="s">
        <v>554</v>
      </c>
      <c r="F183" s="9">
        <v>2</v>
      </c>
      <c r="G183" s="9">
        <v>2</v>
      </c>
    </row>
    <row r="184" spans="1:7" ht="25.5">
      <c r="A184" s="4">
        <v>183</v>
      </c>
      <c r="B184" s="5" t="s">
        <v>62</v>
      </c>
      <c r="C184" s="6" t="s">
        <v>555</v>
      </c>
      <c r="D184" s="7" t="s">
        <v>556</v>
      </c>
      <c r="E184" s="7" t="s">
        <v>557</v>
      </c>
      <c r="F184" s="4">
        <v>2</v>
      </c>
      <c r="G184" s="4">
        <v>2</v>
      </c>
    </row>
    <row r="185" spans="1:7" ht="25.5">
      <c r="A185" s="9">
        <v>184</v>
      </c>
      <c r="B185" s="10" t="s">
        <v>62</v>
      </c>
      <c r="C185" s="11" t="s">
        <v>558</v>
      </c>
      <c r="D185" s="12" t="s">
        <v>559</v>
      </c>
      <c r="E185" s="12" t="s">
        <v>560</v>
      </c>
      <c r="F185" s="9">
        <v>2</v>
      </c>
      <c r="G185" s="9">
        <v>2</v>
      </c>
    </row>
    <row r="186" spans="1:7" ht="25.5">
      <c r="A186" s="4">
        <v>185</v>
      </c>
      <c r="B186" s="5" t="s">
        <v>62</v>
      </c>
      <c r="C186" s="6" t="s">
        <v>561</v>
      </c>
      <c r="D186" s="7" t="s">
        <v>562</v>
      </c>
      <c r="E186" s="7" t="s">
        <v>563</v>
      </c>
      <c r="F186" s="4">
        <v>2</v>
      </c>
      <c r="G186" s="4">
        <v>2</v>
      </c>
    </row>
    <row r="187" spans="1:7" ht="25.5">
      <c r="A187" s="9">
        <v>186</v>
      </c>
      <c r="B187" s="10" t="s">
        <v>62</v>
      </c>
      <c r="C187" s="11" t="s">
        <v>564</v>
      </c>
      <c r="D187" s="12" t="s">
        <v>565</v>
      </c>
      <c r="E187" s="12" t="s">
        <v>566</v>
      </c>
      <c r="F187" s="9">
        <v>2</v>
      </c>
      <c r="G187" s="9">
        <v>2</v>
      </c>
    </row>
    <row r="188" spans="1:7" ht="25.5">
      <c r="A188" s="4">
        <v>187</v>
      </c>
      <c r="B188" s="5" t="s">
        <v>62</v>
      </c>
      <c r="C188" s="6" t="s">
        <v>567</v>
      </c>
      <c r="D188" s="7" t="s">
        <v>568</v>
      </c>
      <c r="E188" s="7" t="s">
        <v>569</v>
      </c>
      <c r="F188" s="4">
        <v>2</v>
      </c>
      <c r="G188" s="4">
        <v>2</v>
      </c>
    </row>
    <row r="189" spans="1:7" ht="25.5">
      <c r="A189" s="9">
        <v>188</v>
      </c>
      <c r="B189" s="10" t="s">
        <v>62</v>
      </c>
      <c r="C189" s="11" t="s">
        <v>570</v>
      </c>
      <c r="D189" s="12" t="s">
        <v>571</v>
      </c>
      <c r="E189" s="12" t="s">
        <v>572</v>
      </c>
      <c r="F189" s="9">
        <v>2</v>
      </c>
      <c r="G189" s="9">
        <v>2</v>
      </c>
    </row>
    <row r="190" spans="1:7" ht="25.5">
      <c r="A190" s="4">
        <v>189</v>
      </c>
      <c r="B190" s="5" t="s">
        <v>62</v>
      </c>
      <c r="C190" s="6" t="s">
        <v>573</v>
      </c>
      <c r="D190" s="7" t="s">
        <v>574</v>
      </c>
      <c r="E190" s="7" t="s">
        <v>575</v>
      </c>
      <c r="F190" s="4">
        <v>2</v>
      </c>
      <c r="G190" s="4">
        <v>2</v>
      </c>
    </row>
    <row r="191" spans="1:7" ht="25.5">
      <c r="A191" s="9">
        <v>190</v>
      </c>
      <c r="B191" s="10" t="s">
        <v>62</v>
      </c>
      <c r="C191" s="11" t="s">
        <v>576</v>
      </c>
      <c r="D191" s="12" t="s">
        <v>577</v>
      </c>
      <c r="E191" s="12" t="s">
        <v>578</v>
      </c>
      <c r="F191" s="9">
        <v>2</v>
      </c>
      <c r="G191" s="9">
        <v>2</v>
      </c>
    </row>
    <row r="192" spans="1:7" ht="25.5">
      <c r="A192" s="4">
        <v>191</v>
      </c>
      <c r="B192" s="5" t="s">
        <v>62</v>
      </c>
      <c r="C192" s="6" t="s">
        <v>579</v>
      </c>
      <c r="D192" s="7" t="s">
        <v>580</v>
      </c>
      <c r="E192" s="7" t="s">
        <v>581</v>
      </c>
      <c r="F192" s="4">
        <v>2</v>
      </c>
      <c r="G192" s="4">
        <v>2</v>
      </c>
    </row>
    <row r="193" spans="1:7" ht="25.5">
      <c r="A193" s="9">
        <v>192</v>
      </c>
      <c r="B193" s="10" t="s">
        <v>62</v>
      </c>
      <c r="C193" s="11" t="s">
        <v>582</v>
      </c>
      <c r="D193" s="12" t="s">
        <v>583</v>
      </c>
      <c r="E193" s="12" t="s">
        <v>584</v>
      </c>
      <c r="F193" s="9">
        <v>2</v>
      </c>
      <c r="G193" s="9">
        <v>2</v>
      </c>
    </row>
    <row r="194" spans="1:7" ht="25.5">
      <c r="A194" s="4">
        <v>193</v>
      </c>
      <c r="B194" s="5" t="s">
        <v>62</v>
      </c>
      <c r="C194" s="6" t="s">
        <v>585</v>
      </c>
      <c r="D194" s="7" t="s">
        <v>586</v>
      </c>
      <c r="E194" s="7" t="s">
        <v>587</v>
      </c>
      <c r="F194" s="4">
        <v>2</v>
      </c>
      <c r="G194" s="4">
        <v>2</v>
      </c>
    </row>
    <row r="195" spans="1:7" ht="25.5">
      <c r="A195" s="9">
        <v>194</v>
      </c>
      <c r="B195" s="10" t="s">
        <v>62</v>
      </c>
      <c r="C195" s="11" t="s">
        <v>588</v>
      </c>
      <c r="D195" s="12" t="s">
        <v>589</v>
      </c>
      <c r="E195" s="12" t="s">
        <v>590</v>
      </c>
      <c r="F195" s="9">
        <v>2</v>
      </c>
      <c r="G195" s="9">
        <v>2</v>
      </c>
    </row>
    <row r="196" spans="1:7" ht="25.5">
      <c r="A196" s="4">
        <v>195</v>
      </c>
      <c r="B196" s="5" t="s">
        <v>62</v>
      </c>
      <c r="C196" s="6" t="s">
        <v>591</v>
      </c>
      <c r="D196" s="7" t="s">
        <v>592</v>
      </c>
      <c r="E196" s="7" t="s">
        <v>593</v>
      </c>
      <c r="F196" s="4">
        <v>2</v>
      </c>
      <c r="G196" s="4">
        <v>2</v>
      </c>
    </row>
    <row r="197" spans="1:7" ht="25.5">
      <c r="A197" s="9">
        <v>196</v>
      </c>
      <c r="B197" s="10" t="s">
        <v>62</v>
      </c>
      <c r="C197" s="11" t="s">
        <v>594</v>
      </c>
      <c r="D197" s="12" t="s">
        <v>595</v>
      </c>
      <c r="E197" s="12" t="s">
        <v>596</v>
      </c>
      <c r="F197" s="9">
        <v>2</v>
      </c>
      <c r="G197" s="9">
        <v>2</v>
      </c>
    </row>
    <row r="198" spans="1:7" ht="25.5">
      <c r="A198" s="4">
        <v>197</v>
      </c>
      <c r="B198" s="5" t="s">
        <v>62</v>
      </c>
      <c r="C198" s="6" t="s">
        <v>597</v>
      </c>
      <c r="D198" s="7" t="s">
        <v>598</v>
      </c>
      <c r="E198" s="7" t="s">
        <v>599</v>
      </c>
      <c r="F198" s="4">
        <v>2</v>
      </c>
      <c r="G198" s="4">
        <v>2</v>
      </c>
    </row>
    <row r="199" spans="1:7" ht="25.5">
      <c r="A199" s="9">
        <v>198</v>
      </c>
      <c r="B199" s="10" t="s">
        <v>62</v>
      </c>
      <c r="C199" s="11" t="s">
        <v>600</v>
      </c>
      <c r="D199" s="12" t="s">
        <v>601</v>
      </c>
      <c r="E199" s="12" t="s">
        <v>602</v>
      </c>
      <c r="F199" s="9">
        <v>2</v>
      </c>
      <c r="G199" s="9">
        <v>2</v>
      </c>
    </row>
    <row r="200" spans="1:7" ht="25.5">
      <c r="A200" s="4">
        <v>199</v>
      </c>
      <c r="B200" s="5" t="s">
        <v>62</v>
      </c>
      <c r="C200" s="6" t="s">
        <v>603</v>
      </c>
      <c r="D200" s="7" t="s">
        <v>604</v>
      </c>
      <c r="E200" s="7" t="s">
        <v>605</v>
      </c>
      <c r="F200" s="4">
        <v>2</v>
      </c>
      <c r="G200" s="4">
        <v>2</v>
      </c>
    </row>
    <row r="201" spans="1:7" ht="25.5">
      <c r="A201" s="9">
        <v>200</v>
      </c>
      <c r="B201" s="10" t="s">
        <v>62</v>
      </c>
      <c r="C201" s="11" t="s">
        <v>606</v>
      </c>
      <c r="D201" s="12" t="s">
        <v>607</v>
      </c>
      <c r="E201" s="12" t="s">
        <v>608</v>
      </c>
      <c r="F201" s="9">
        <v>2</v>
      </c>
      <c r="G201" s="9">
        <v>2</v>
      </c>
    </row>
    <row r="202" spans="1:7" ht="25.5">
      <c r="A202" s="4">
        <v>201</v>
      </c>
      <c r="B202" s="5" t="s">
        <v>62</v>
      </c>
      <c r="C202" s="6" t="s">
        <v>609</v>
      </c>
      <c r="D202" s="7" t="s">
        <v>610</v>
      </c>
      <c r="E202" s="7" t="s">
        <v>611</v>
      </c>
      <c r="F202" s="4">
        <v>2</v>
      </c>
      <c r="G202" s="4">
        <v>2</v>
      </c>
    </row>
    <row r="203" spans="1:7" ht="25.5">
      <c r="A203" s="9">
        <v>202</v>
      </c>
      <c r="B203" s="10" t="s">
        <v>62</v>
      </c>
      <c r="C203" s="11" t="s">
        <v>612</v>
      </c>
      <c r="D203" s="12" t="s">
        <v>613</v>
      </c>
      <c r="E203" s="12" t="s">
        <v>614</v>
      </c>
      <c r="F203" s="9">
        <v>2</v>
      </c>
      <c r="G203" s="9">
        <v>2</v>
      </c>
    </row>
    <row r="204" spans="1:7" ht="25.5">
      <c r="A204" s="4">
        <v>203</v>
      </c>
      <c r="B204" s="5" t="s">
        <v>62</v>
      </c>
      <c r="C204" s="6" t="s">
        <v>615</v>
      </c>
      <c r="D204" s="7" t="s">
        <v>616</v>
      </c>
      <c r="E204" s="7" t="s">
        <v>617</v>
      </c>
      <c r="F204" s="4">
        <v>2</v>
      </c>
      <c r="G204" s="4">
        <v>2</v>
      </c>
    </row>
    <row r="205" spans="1:7" ht="25.5">
      <c r="A205" s="9">
        <v>204</v>
      </c>
      <c r="B205" s="10" t="s">
        <v>62</v>
      </c>
      <c r="C205" s="11" t="s">
        <v>618</v>
      </c>
      <c r="D205" s="12" t="s">
        <v>619</v>
      </c>
      <c r="E205" s="12" t="s">
        <v>620</v>
      </c>
      <c r="F205" s="9">
        <v>2</v>
      </c>
      <c r="G205" s="9">
        <v>2</v>
      </c>
    </row>
    <row r="206" spans="1:7" ht="25.5">
      <c r="A206" s="4">
        <v>205</v>
      </c>
      <c r="B206" s="5" t="s">
        <v>62</v>
      </c>
      <c r="C206" s="6" t="s">
        <v>621</v>
      </c>
      <c r="D206" s="7" t="s">
        <v>622</v>
      </c>
      <c r="E206" s="7" t="s">
        <v>623</v>
      </c>
      <c r="F206" s="4">
        <v>2</v>
      </c>
      <c r="G206" s="4">
        <v>2</v>
      </c>
    </row>
    <row r="207" spans="1:7" ht="25.5">
      <c r="A207" s="9">
        <v>206</v>
      </c>
      <c r="B207" s="10" t="s">
        <v>62</v>
      </c>
      <c r="C207" s="11" t="s">
        <v>624</v>
      </c>
      <c r="D207" s="12" t="s">
        <v>625</v>
      </c>
      <c r="E207" s="12" t="s">
        <v>626</v>
      </c>
      <c r="F207" s="9">
        <v>2</v>
      </c>
      <c r="G207" s="9">
        <v>2</v>
      </c>
    </row>
    <row r="208" spans="1:7" ht="25.5">
      <c r="A208" s="4">
        <v>207</v>
      </c>
      <c r="B208" s="5" t="s">
        <v>62</v>
      </c>
      <c r="C208" s="6" t="s">
        <v>627</v>
      </c>
      <c r="D208" s="7" t="s">
        <v>628</v>
      </c>
      <c r="E208" s="7" t="s">
        <v>629</v>
      </c>
      <c r="F208" s="4">
        <v>2</v>
      </c>
      <c r="G208" s="4">
        <v>2</v>
      </c>
    </row>
    <row r="209" spans="1:7" ht="25.5">
      <c r="A209" s="9">
        <v>208</v>
      </c>
      <c r="B209" s="10" t="s">
        <v>62</v>
      </c>
      <c r="C209" s="11" t="s">
        <v>630</v>
      </c>
      <c r="D209" s="12" t="s">
        <v>631</v>
      </c>
      <c r="E209" s="12" t="s">
        <v>632</v>
      </c>
      <c r="F209" s="9">
        <v>2</v>
      </c>
      <c r="G209" s="9">
        <v>2</v>
      </c>
    </row>
    <row r="210" spans="1:7" ht="25.5">
      <c r="A210" s="4">
        <v>209</v>
      </c>
      <c r="B210" s="5" t="s">
        <v>62</v>
      </c>
      <c r="C210" s="6" t="s">
        <v>633</v>
      </c>
      <c r="D210" s="7" t="s">
        <v>634</v>
      </c>
      <c r="E210" s="7" t="s">
        <v>635</v>
      </c>
      <c r="F210" s="4">
        <v>2</v>
      </c>
      <c r="G210" s="4">
        <v>2</v>
      </c>
    </row>
    <row r="211" spans="1:7" ht="25.5">
      <c r="A211" s="9">
        <v>210</v>
      </c>
      <c r="B211" s="10" t="s">
        <v>62</v>
      </c>
      <c r="C211" s="11" t="s">
        <v>636</v>
      </c>
      <c r="D211" s="12" t="s">
        <v>637</v>
      </c>
      <c r="E211" s="12" t="s">
        <v>638</v>
      </c>
      <c r="F211" s="9">
        <v>2</v>
      </c>
      <c r="G211" s="9">
        <v>2</v>
      </c>
    </row>
    <row r="212" spans="1:7" ht="25.5">
      <c r="A212" s="4">
        <v>211</v>
      </c>
      <c r="B212" s="5" t="s">
        <v>62</v>
      </c>
      <c r="C212" s="6" t="s">
        <v>639</v>
      </c>
      <c r="D212" s="7" t="s">
        <v>640</v>
      </c>
      <c r="E212" s="7" t="s">
        <v>641</v>
      </c>
      <c r="F212" s="4">
        <v>2</v>
      </c>
      <c r="G212" s="4">
        <v>2</v>
      </c>
    </row>
    <row r="213" spans="1:7" ht="25.5">
      <c r="A213" s="9">
        <v>212</v>
      </c>
      <c r="B213" s="10" t="s">
        <v>62</v>
      </c>
      <c r="C213" s="11" t="s">
        <v>642</v>
      </c>
      <c r="D213" s="12" t="s">
        <v>643</v>
      </c>
      <c r="E213" s="12" t="s">
        <v>644</v>
      </c>
      <c r="F213" s="9">
        <v>2</v>
      </c>
      <c r="G213" s="9">
        <v>2</v>
      </c>
    </row>
    <row r="214" spans="1:7" ht="25.5">
      <c r="A214" s="4">
        <v>213</v>
      </c>
      <c r="B214" s="5" t="s">
        <v>62</v>
      </c>
      <c r="C214" s="6" t="s">
        <v>645</v>
      </c>
      <c r="D214" s="7" t="s">
        <v>646</v>
      </c>
      <c r="E214" s="7" t="s">
        <v>647</v>
      </c>
      <c r="F214" s="4">
        <v>2</v>
      </c>
      <c r="G214" s="4">
        <v>2</v>
      </c>
    </row>
    <row r="215" spans="1:7" ht="25.5">
      <c r="A215" s="9">
        <v>214</v>
      </c>
      <c r="B215" s="10" t="s">
        <v>62</v>
      </c>
      <c r="C215" s="11" t="s">
        <v>648</v>
      </c>
      <c r="D215" s="12" t="s">
        <v>649</v>
      </c>
      <c r="E215" s="12" t="s">
        <v>650</v>
      </c>
      <c r="F215" s="9">
        <v>2</v>
      </c>
      <c r="G215" s="9">
        <v>2</v>
      </c>
    </row>
    <row r="216" spans="1:7" ht="25.5">
      <c r="A216" s="4">
        <v>215</v>
      </c>
      <c r="B216" s="5" t="s">
        <v>62</v>
      </c>
      <c r="C216" s="6" t="s">
        <v>651</v>
      </c>
      <c r="D216" s="7" t="s">
        <v>652</v>
      </c>
      <c r="E216" s="7" t="s">
        <v>653</v>
      </c>
      <c r="F216" s="4">
        <v>2</v>
      </c>
      <c r="G216" s="4">
        <v>2</v>
      </c>
    </row>
    <row r="217" spans="1:7" ht="25.5">
      <c r="A217" s="9">
        <v>216</v>
      </c>
      <c r="B217" s="10" t="s">
        <v>62</v>
      </c>
      <c r="C217" s="11" t="s">
        <v>654</v>
      </c>
      <c r="D217" s="12" t="s">
        <v>655</v>
      </c>
      <c r="E217" s="12" t="s">
        <v>656</v>
      </c>
      <c r="F217" s="9">
        <v>2</v>
      </c>
      <c r="G217" s="9">
        <v>2</v>
      </c>
    </row>
    <row r="218" spans="1:7" ht="25.5">
      <c r="A218" s="4">
        <v>217</v>
      </c>
      <c r="B218" s="5" t="s">
        <v>62</v>
      </c>
      <c r="C218" s="6" t="s">
        <v>657</v>
      </c>
      <c r="D218" s="7" t="s">
        <v>658</v>
      </c>
      <c r="E218" s="7" t="s">
        <v>659</v>
      </c>
      <c r="F218" s="4">
        <v>2</v>
      </c>
      <c r="G218" s="4">
        <v>2</v>
      </c>
    </row>
    <row r="219" spans="1:7" ht="25.5">
      <c r="A219" s="9">
        <v>218</v>
      </c>
      <c r="B219" s="10" t="s">
        <v>62</v>
      </c>
      <c r="C219" s="11" t="s">
        <v>660</v>
      </c>
      <c r="D219" s="12" t="s">
        <v>661</v>
      </c>
      <c r="E219" s="12" t="s">
        <v>662</v>
      </c>
      <c r="F219" s="9">
        <v>2</v>
      </c>
      <c r="G219" s="9">
        <v>2</v>
      </c>
    </row>
    <row r="220" spans="1:7" ht="25.5">
      <c r="A220" s="4">
        <v>219</v>
      </c>
      <c r="B220" s="5" t="s">
        <v>62</v>
      </c>
      <c r="C220" s="6" t="s">
        <v>663</v>
      </c>
      <c r="D220" s="7" t="s">
        <v>664</v>
      </c>
      <c r="E220" s="7" t="s">
        <v>665</v>
      </c>
      <c r="F220" s="4">
        <v>2</v>
      </c>
      <c r="G220" s="4">
        <v>2</v>
      </c>
    </row>
    <row r="221" spans="1:7" ht="25.5">
      <c r="A221" s="9">
        <v>220</v>
      </c>
      <c r="B221" s="10" t="s">
        <v>62</v>
      </c>
      <c r="C221" s="11" t="s">
        <v>666</v>
      </c>
      <c r="D221" s="12" t="s">
        <v>667</v>
      </c>
      <c r="E221" s="12" t="s">
        <v>668</v>
      </c>
      <c r="F221" s="9">
        <v>2</v>
      </c>
      <c r="G221" s="9">
        <v>2</v>
      </c>
    </row>
    <row r="222" spans="1:7" ht="25.5">
      <c r="A222" s="4">
        <v>221</v>
      </c>
      <c r="B222" s="5" t="s">
        <v>62</v>
      </c>
      <c r="C222" s="6" t="s">
        <v>669</v>
      </c>
      <c r="D222" s="7" t="s">
        <v>670</v>
      </c>
      <c r="E222" s="7" t="s">
        <v>671</v>
      </c>
      <c r="F222" s="4">
        <v>2</v>
      </c>
      <c r="G222" s="4">
        <v>2</v>
      </c>
    </row>
    <row r="223" spans="1:7" ht="25.5">
      <c r="A223" s="9">
        <v>222</v>
      </c>
      <c r="B223" s="10" t="s">
        <v>62</v>
      </c>
      <c r="C223" s="11" t="s">
        <v>672</v>
      </c>
      <c r="D223" s="12" t="s">
        <v>673</v>
      </c>
      <c r="E223" s="12" t="s">
        <v>674</v>
      </c>
      <c r="F223" s="9">
        <v>2</v>
      </c>
      <c r="G223" s="9">
        <v>2</v>
      </c>
    </row>
    <row r="224" spans="1:7" ht="25.5">
      <c r="A224" s="4">
        <v>223</v>
      </c>
      <c r="B224" s="5" t="s">
        <v>62</v>
      </c>
      <c r="C224" s="6" t="s">
        <v>675</v>
      </c>
      <c r="D224" s="7" t="s">
        <v>676</v>
      </c>
      <c r="E224" s="7" t="s">
        <v>677</v>
      </c>
      <c r="F224" s="4">
        <v>2</v>
      </c>
      <c r="G224" s="4">
        <v>2</v>
      </c>
    </row>
    <row r="225" spans="1:7" ht="25.5">
      <c r="A225" s="9">
        <v>224</v>
      </c>
      <c r="B225" s="10" t="s">
        <v>62</v>
      </c>
      <c r="C225" s="11" t="s">
        <v>678</v>
      </c>
      <c r="D225" s="12" t="s">
        <v>679</v>
      </c>
      <c r="E225" s="12" t="s">
        <v>680</v>
      </c>
      <c r="F225" s="9">
        <v>2</v>
      </c>
      <c r="G225" s="9">
        <v>2</v>
      </c>
    </row>
    <row r="226" spans="1:7" ht="25.5">
      <c r="A226" s="4">
        <v>225</v>
      </c>
      <c r="B226" s="5" t="s">
        <v>62</v>
      </c>
      <c r="C226" s="6" t="s">
        <v>681</v>
      </c>
      <c r="D226" s="7" t="s">
        <v>682</v>
      </c>
      <c r="E226" s="7" t="s">
        <v>683</v>
      </c>
      <c r="F226" s="4">
        <v>2</v>
      </c>
      <c r="G226" s="4">
        <v>2</v>
      </c>
    </row>
    <row r="227" spans="1:7" ht="25.5">
      <c r="A227" s="9">
        <v>226</v>
      </c>
      <c r="B227" s="10" t="s">
        <v>62</v>
      </c>
      <c r="C227" s="11" t="s">
        <v>684</v>
      </c>
      <c r="D227" s="12" t="s">
        <v>685</v>
      </c>
      <c r="E227" s="12" t="s">
        <v>686</v>
      </c>
      <c r="F227" s="9">
        <v>2</v>
      </c>
      <c r="G227" s="9">
        <v>2</v>
      </c>
    </row>
    <row r="228" spans="1:7" ht="25.5">
      <c r="A228" s="4">
        <v>227</v>
      </c>
      <c r="B228" s="5" t="s">
        <v>62</v>
      </c>
      <c r="C228" s="6" t="s">
        <v>687</v>
      </c>
      <c r="D228" s="7" t="s">
        <v>688</v>
      </c>
      <c r="E228" s="7" t="s">
        <v>689</v>
      </c>
      <c r="F228" s="4">
        <v>2</v>
      </c>
      <c r="G228" s="4">
        <v>2</v>
      </c>
    </row>
    <row r="229" spans="1:7" ht="25.5">
      <c r="A229" s="9">
        <v>228</v>
      </c>
      <c r="B229" s="10" t="s">
        <v>62</v>
      </c>
      <c r="C229" s="11" t="s">
        <v>690</v>
      </c>
      <c r="D229" s="12" t="s">
        <v>691</v>
      </c>
      <c r="E229" s="12" t="s">
        <v>692</v>
      </c>
      <c r="F229" s="9">
        <v>2</v>
      </c>
      <c r="G229" s="9">
        <v>2</v>
      </c>
    </row>
    <row r="230" spans="1:7" ht="25.5">
      <c r="A230" s="4">
        <v>229</v>
      </c>
      <c r="B230" s="5" t="s">
        <v>62</v>
      </c>
      <c r="C230" s="6" t="s">
        <v>693</v>
      </c>
      <c r="D230" s="7" t="s">
        <v>694</v>
      </c>
      <c r="E230" s="7" t="s">
        <v>695</v>
      </c>
      <c r="F230" s="4">
        <v>2</v>
      </c>
      <c r="G230" s="4">
        <v>2</v>
      </c>
    </row>
    <row r="231" spans="1:7" ht="25.5">
      <c r="A231" s="9">
        <v>230</v>
      </c>
      <c r="B231" s="10" t="s">
        <v>62</v>
      </c>
      <c r="C231" s="11" t="s">
        <v>696</v>
      </c>
      <c r="D231" s="12" t="s">
        <v>697</v>
      </c>
      <c r="E231" s="12" t="s">
        <v>698</v>
      </c>
      <c r="F231" s="9">
        <v>2</v>
      </c>
      <c r="G231" s="9">
        <v>2</v>
      </c>
    </row>
    <row r="232" spans="1:7" ht="25.5">
      <c r="A232" s="4">
        <v>231</v>
      </c>
      <c r="B232" s="5" t="s">
        <v>62</v>
      </c>
      <c r="C232" s="6" t="s">
        <v>699</v>
      </c>
      <c r="D232" s="7" t="s">
        <v>700</v>
      </c>
      <c r="E232" s="7" t="s">
        <v>701</v>
      </c>
      <c r="F232" s="4">
        <v>2</v>
      </c>
      <c r="G232" s="4">
        <v>2</v>
      </c>
    </row>
    <row r="233" spans="1:7" ht="25.5">
      <c r="A233" s="9">
        <v>232</v>
      </c>
      <c r="B233" s="10" t="s">
        <v>62</v>
      </c>
      <c r="C233" s="11" t="s">
        <v>702</v>
      </c>
      <c r="D233" s="12" t="s">
        <v>703</v>
      </c>
      <c r="E233" s="12" t="s">
        <v>704</v>
      </c>
      <c r="F233" s="9">
        <v>2</v>
      </c>
      <c r="G233" s="9">
        <v>2</v>
      </c>
    </row>
    <row r="234" spans="1:7" ht="25.5">
      <c r="A234" s="4">
        <v>233</v>
      </c>
      <c r="B234" s="5" t="s">
        <v>62</v>
      </c>
      <c r="C234" s="6" t="s">
        <v>705</v>
      </c>
      <c r="D234" s="7" t="s">
        <v>706</v>
      </c>
      <c r="E234" s="7" t="s">
        <v>707</v>
      </c>
      <c r="F234" s="4">
        <v>2</v>
      </c>
      <c r="G234" s="4">
        <v>2</v>
      </c>
    </row>
    <row r="235" spans="1:7" ht="25.5">
      <c r="A235" s="9">
        <v>234</v>
      </c>
      <c r="B235" s="10" t="s">
        <v>62</v>
      </c>
      <c r="C235" s="11" t="s">
        <v>708</v>
      </c>
      <c r="D235" s="12" t="s">
        <v>709</v>
      </c>
      <c r="E235" s="12" t="s">
        <v>710</v>
      </c>
      <c r="F235" s="9">
        <v>2</v>
      </c>
      <c r="G235" s="9">
        <v>2</v>
      </c>
    </row>
    <row r="236" spans="1:7" ht="25.5">
      <c r="A236" s="4">
        <v>235</v>
      </c>
      <c r="B236" s="5" t="s">
        <v>62</v>
      </c>
      <c r="C236" s="6" t="s">
        <v>711</v>
      </c>
      <c r="D236" s="7" t="s">
        <v>712</v>
      </c>
      <c r="E236" s="7" t="s">
        <v>713</v>
      </c>
      <c r="F236" s="4">
        <v>2</v>
      </c>
      <c r="G236" s="4">
        <v>2</v>
      </c>
    </row>
    <row r="237" spans="1:7" ht="25.5">
      <c r="A237" s="9">
        <v>236</v>
      </c>
      <c r="B237" s="10" t="s">
        <v>62</v>
      </c>
      <c r="C237" s="11" t="s">
        <v>714</v>
      </c>
      <c r="D237" s="12" t="s">
        <v>715</v>
      </c>
      <c r="E237" s="12" t="s">
        <v>716</v>
      </c>
      <c r="F237" s="9">
        <v>2</v>
      </c>
      <c r="G237" s="9">
        <v>2</v>
      </c>
    </row>
    <row r="238" spans="1:7" ht="25.5">
      <c r="A238" s="4">
        <v>237</v>
      </c>
      <c r="B238" s="5" t="s">
        <v>62</v>
      </c>
      <c r="C238" s="6" t="s">
        <v>717</v>
      </c>
      <c r="D238" s="7" t="s">
        <v>718</v>
      </c>
      <c r="E238" s="7" t="s">
        <v>719</v>
      </c>
      <c r="F238" s="4">
        <v>2</v>
      </c>
      <c r="G238" s="4">
        <v>2</v>
      </c>
    </row>
    <row r="239" spans="1:7" ht="25.5">
      <c r="A239" s="9">
        <v>238</v>
      </c>
      <c r="B239" s="10" t="s">
        <v>62</v>
      </c>
      <c r="C239" s="11" t="s">
        <v>720</v>
      </c>
      <c r="D239" s="12" t="s">
        <v>721</v>
      </c>
      <c r="E239" s="12" t="s">
        <v>722</v>
      </c>
      <c r="F239" s="9">
        <v>2</v>
      </c>
      <c r="G239" s="9">
        <v>2</v>
      </c>
    </row>
    <row r="240" spans="1:7" ht="25.5">
      <c r="A240" s="4">
        <v>239</v>
      </c>
      <c r="B240" s="5" t="s">
        <v>62</v>
      </c>
      <c r="C240" s="6" t="s">
        <v>723</v>
      </c>
      <c r="D240" s="7" t="s">
        <v>724</v>
      </c>
      <c r="E240" s="7" t="s">
        <v>725</v>
      </c>
      <c r="F240" s="4">
        <v>2</v>
      </c>
      <c r="G240" s="4">
        <v>2</v>
      </c>
    </row>
    <row r="241" spans="1:7" ht="25.5">
      <c r="A241" s="9">
        <v>240</v>
      </c>
      <c r="B241" s="10" t="s">
        <v>62</v>
      </c>
      <c r="C241" s="11" t="s">
        <v>726</v>
      </c>
      <c r="D241" s="12" t="s">
        <v>727</v>
      </c>
      <c r="E241" s="12" t="s">
        <v>728</v>
      </c>
      <c r="F241" s="9">
        <v>2</v>
      </c>
      <c r="G241" s="9">
        <v>2</v>
      </c>
    </row>
    <row r="242" spans="1:7" ht="25.5">
      <c r="A242" s="4">
        <v>241</v>
      </c>
      <c r="B242" s="5" t="s">
        <v>62</v>
      </c>
      <c r="C242" s="6" t="s">
        <v>729</v>
      </c>
      <c r="D242" s="7" t="s">
        <v>730</v>
      </c>
      <c r="E242" s="7" t="s">
        <v>731</v>
      </c>
      <c r="F242" s="4">
        <v>2</v>
      </c>
      <c r="G242" s="4">
        <v>2</v>
      </c>
    </row>
    <row r="243" spans="1:7" ht="25.5">
      <c r="A243" s="9">
        <v>242</v>
      </c>
      <c r="B243" s="10" t="s">
        <v>62</v>
      </c>
      <c r="C243" s="11" t="s">
        <v>732</v>
      </c>
      <c r="D243" s="12" t="s">
        <v>733</v>
      </c>
      <c r="E243" s="12" t="s">
        <v>734</v>
      </c>
      <c r="F243" s="9">
        <v>2</v>
      </c>
      <c r="G243" s="9">
        <v>2</v>
      </c>
    </row>
    <row r="244" spans="1:7" ht="38.25">
      <c r="A244" s="4">
        <v>243</v>
      </c>
      <c r="B244" s="5" t="s">
        <v>62</v>
      </c>
      <c r="C244" s="6" t="s">
        <v>735</v>
      </c>
      <c r="D244" s="7" t="s">
        <v>736</v>
      </c>
      <c r="E244" s="7" t="s">
        <v>737</v>
      </c>
      <c r="F244" s="4">
        <v>2</v>
      </c>
      <c r="G244" s="4">
        <v>2</v>
      </c>
    </row>
    <row r="245" spans="1:7" ht="25.5">
      <c r="A245" s="9">
        <v>244</v>
      </c>
      <c r="B245" s="10" t="s">
        <v>62</v>
      </c>
      <c r="C245" s="11" t="s">
        <v>738</v>
      </c>
      <c r="D245" s="12" t="s">
        <v>739</v>
      </c>
      <c r="E245" s="12" t="s">
        <v>740</v>
      </c>
      <c r="F245" s="9">
        <v>2</v>
      </c>
      <c r="G245" s="9">
        <v>2</v>
      </c>
    </row>
    <row r="246" spans="1:7" ht="25.5">
      <c r="A246" s="4">
        <v>245</v>
      </c>
      <c r="B246" s="5" t="s">
        <v>62</v>
      </c>
      <c r="C246" s="6" t="s">
        <v>741</v>
      </c>
      <c r="D246" s="7" t="s">
        <v>742</v>
      </c>
      <c r="E246" s="7" t="s">
        <v>743</v>
      </c>
      <c r="F246" s="4">
        <v>2</v>
      </c>
      <c r="G246" s="4">
        <v>2</v>
      </c>
    </row>
    <row r="247" spans="1:7" ht="25.5">
      <c r="A247" s="9">
        <v>246</v>
      </c>
      <c r="B247" s="10" t="s">
        <v>62</v>
      </c>
      <c r="C247" s="11" t="s">
        <v>744</v>
      </c>
      <c r="D247" s="12" t="s">
        <v>745</v>
      </c>
      <c r="E247" s="12" t="s">
        <v>746</v>
      </c>
      <c r="F247" s="9">
        <v>2</v>
      </c>
      <c r="G247" s="9">
        <v>2</v>
      </c>
    </row>
    <row r="248" spans="1:7" ht="25.5">
      <c r="A248" s="4">
        <v>247</v>
      </c>
      <c r="B248" s="5" t="s">
        <v>62</v>
      </c>
      <c r="C248" s="6" t="s">
        <v>747</v>
      </c>
      <c r="D248" s="7" t="s">
        <v>748</v>
      </c>
      <c r="E248" s="7" t="s">
        <v>749</v>
      </c>
      <c r="F248" s="4">
        <v>2</v>
      </c>
      <c r="G248" s="4">
        <v>2</v>
      </c>
    </row>
    <row r="249" spans="1:7" ht="25.5">
      <c r="A249" s="9">
        <v>248</v>
      </c>
      <c r="B249" s="10" t="s">
        <v>62</v>
      </c>
      <c r="C249" s="11" t="s">
        <v>750</v>
      </c>
      <c r="D249" s="12" t="s">
        <v>751</v>
      </c>
      <c r="E249" s="12" t="s">
        <v>752</v>
      </c>
      <c r="F249" s="9">
        <v>2</v>
      </c>
      <c r="G249" s="9">
        <v>2</v>
      </c>
    </row>
    <row r="250" spans="1:7" ht="25.5">
      <c r="A250" s="4">
        <v>249</v>
      </c>
      <c r="B250" s="5" t="s">
        <v>62</v>
      </c>
      <c r="C250" s="6" t="s">
        <v>753</v>
      </c>
      <c r="D250" s="7" t="s">
        <v>754</v>
      </c>
      <c r="E250" s="7" t="s">
        <v>755</v>
      </c>
      <c r="F250" s="4">
        <v>2</v>
      </c>
      <c r="G250" s="4">
        <v>2</v>
      </c>
    </row>
    <row r="251" spans="1:7" ht="25.5">
      <c r="A251" s="9">
        <v>250</v>
      </c>
      <c r="B251" s="10" t="s">
        <v>62</v>
      </c>
      <c r="C251" s="11" t="s">
        <v>756</v>
      </c>
      <c r="D251" s="12" t="s">
        <v>757</v>
      </c>
      <c r="E251" s="12" t="s">
        <v>758</v>
      </c>
      <c r="F251" s="9">
        <v>2</v>
      </c>
      <c r="G251" s="9">
        <v>2</v>
      </c>
    </row>
    <row r="252" spans="1:7" ht="25.5">
      <c r="A252" s="4">
        <v>251</v>
      </c>
      <c r="B252" s="5" t="s">
        <v>759</v>
      </c>
      <c r="C252" s="6" t="s">
        <v>760</v>
      </c>
      <c r="D252" s="7" t="s">
        <v>761</v>
      </c>
      <c r="E252" s="7" t="s">
        <v>762</v>
      </c>
      <c r="F252" s="4">
        <v>1</v>
      </c>
      <c r="G252" s="4">
        <v>2</v>
      </c>
    </row>
    <row r="253" spans="1:7" ht="25.5">
      <c r="A253" s="9">
        <v>252</v>
      </c>
      <c r="B253" s="10" t="s">
        <v>759</v>
      </c>
      <c r="C253" s="11" t="s">
        <v>763</v>
      </c>
      <c r="D253" s="12" t="s">
        <v>764</v>
      </c>
      <c r="E253" s="12" t="s">
        <v>765</v>
      </c>
      <c r="F253" s="9">
        <v>1</v>
      </c>
      <c r="G253" s="9">
        <v>2</v>
      </c>
    </row>
    <row r="254" spans="1:7" ht="25.5">
      <c r="A254" s="4">
        <v>253</v>
      </c>
      <c r="B254" s="5" t="s">
        <v>759</v>
      </c>
      <c r="C254" s="6" t="s">
        <v>766</v>
      </c>
      <c r="D254" s="7" t="s">
        <v>767</v>
      </c>
      <c r="E254" s="7" t="s">
        <v>768</v>
      </c>
      <c r="F254" s="4">
        <v>1</v>
      </c>
      <c r="G254" s="4">
        <v>2</v>
      </c>
    </row>
    <row r="255" spans="1:7" ht="25.5">
      <c r="A255" s="9">
        <v>254</v>
      </c>
      <c r="B255" s="10" t="s">
        <v>759</v>
      </c>
      <c r="C255" s="11" t="s">
        <v>769</v>
      </c>
      <c r="D255" s="12" t="s">
        <v>770</v>
      </c>
      <c r="E255" s="12" t="s">
        <v>771</v>
      </c>
      <c r="F255" s="9">
        <v>1</v>
      </c>
      <c r="G255" s="9">
        <v>2</v>
      </c>
    </row>
    <row r="256" spans="1:7" ht="25.5">
      <c r="A256" s="4">
        <v>255</v>
      </c>
      <c r="B256" s="5" t="s">
        <v>759</v>
      </c>
      <c r="C256" s="6" t="s">
        <v>772</v>
      </c>
      <c r="D256" s="7" t="s">
        <v>773</v>
      </c>
      <c r="E256" s="7" t="s">
        <v>774</v>
      </c>
      <c r="F256" s="4">
        <v>1</v>
      </c>
      <c r="G256" s="4">
        <v>2</v>
      </c>
    </row>
    <row r="257" spans="1:7" ht="25.5">
      <c r="A257" s="9">
        <v>256</v>
      </c>
      <c r="B257" s="10" t="s">
        <v>759</v>
      </c>
      <c r="C257" s="11" t="s">
        <v>775</v>
      </c>
      <c r="D257" s="12" t="s">
        <v>776</v>
      </c>
      <c r="E257" s="12" t="s">
        <v>777</v>
      </c>
      <c r="F257" s="9">
        <v>1</v>
      </c>
      <c r="G257" s="9">
        <v>2</v>
      </c>
    </row>
    <row r="258" spans="1:7" ht="25.5">
      <c r="A258" s="4">
        <v>257</v>
      </c>
      <c r="B258" s="5" t="s">
        <v>759</v>
      </c>
      <c r="C258" s="6" t="s">
        <v>778</v>
      </c>
      <c r="D258" s="7" t="s">
        <v>779</v>
      </c>
      <c r="E258" s="7" t="s">
        <v>780</v>
      </c>
      <c r="F258" s="4">
        <v>1</v>
      </c>
      <c r="G258" s="4">
        <v>2</v>
      </c>
    </row>
    <row r="259" spans="1:7" ht="25.5">
      <c r="A259" s="9">
        <v>258</v>
      </c>
      <c r="B259" s="10" t="s">
        <v>759</v>
      </c>
      <c r="C259" s="11" t="s">
        <v>781</v>
      </c>
      <c r="D259" s="12" t="s">
        <v>782</v>
      </c>
      <c r="E259" s="12" t="s">
        <v>783</v>
      </c>
      <c r="F259" s="9">
        <v>1</v>
      </c>
      <c r="G259" s="9">
        <v>2</v>
      </c>
    </row>
    <row r="260" spans="1:7" ht="25.5">
      <c r="A260" s="4">
        <v>259</v>
      </c>
      <c r="B260" s="5" t="s">
        <v>759</v>
      </c>
      <c r="C260" s="6" t="s">
        <v>784</v>
      </c>
      <c r="D260" s="7" t="s">
        <v>785</v>
      </c>
      <c r="E260" s="7" t="s">
        <v>786</v>
      </c>
      <c r="F260" s="4">
        <v>1</v>
      </c>
      <c r="G260" s="4">
        <v>2</v>
      </c>
    </row>
    <row r="261" spans="1:7" ht="25.5">
      <c r="A261" s="9">
        <v>260</v>
      </c>
      <c r="B261" s="10" t="s">
        <v>759</v>
      </c>
      <c r="C261" s="11" t="s">
        <v>787</v>
      </c>
      <c r="D261" s="12" t="s">
        <v>788</v>
      </c>
      <c r="E261" s="12" t="s">
        <v>789</v>
      </c>
      <c r="F261" s="9">
        <v>1</v>
      </c>
      <c r="G261" s="9">
        <v>2</v>
      </c>
    </row>
    <row r="262" spans="1:7" ht="25.5">
      <c r="A262" s="4">
        <v>261</v>
      </c>
      <c r="B262" s="5" t="s">
        <v>759</v>
      </c>
      <c r="C262" s="6" t="s">
        <v>790</v>
      </c>
      <c r="D262" s="7" t="s">
        <v>791</v>
      </c>
      <c r="E262" s="7" t="s">
        <v>792</v>
      </c>
      <c r="F262" s="4">
        <v>1</v>
      </c>
      <c r="G262" s="4">
        <v>2</v>
      </c>
    </row>
    <row r="263" spans="1:7" ht="25.5">
      <c r="A263" s="9">
        <v>262</v>
      </c>
      <c r="B263" s="10" t="s">
        <v>759</v>
      </c>
      <c r="C263" s="11" t="s">
        <v>793</v>
      </c>
      <c r="D263" s="12" t="s">
        <v>794</v>
      </c>
      <c r="E263" s="12" t="s">
        <v>795</v>
      </c>
      <c r="F263" s="9">
        <v>1</v>
      </c>
      <c r="G263" s="9">
        <v>2</v>
      </c>
    </row>
    <row r="264" spans="1:7" ht="25.5">
      <c r="A264" s="4">
        <v>263</v>
      </c>
      <c r="B264" s="5" t="s">
        <v>759</v>
      </c>
      <c r="C264" s="6" t="s">
        <v>796</v>
      </c>
      <c r="D264" s="7" t="s">
        <v>797</v>
      </c>
      <c r="E264" s="7" t="s">
        <v>798</v>
      </c>
      <c r="F264" s="4">
        <v>1</v>
      </c>
      <c r="G264" s="4">
        <v>2</v>
      </c>
    </row>
    <row r="265" spans="1:7" ht="25.5">
      <c r="A265" s="9">
        <v>264</v>
      </c>
      <c r="B265" s="10" t="s">
        <v>759</v>
      </c>
      <c r="C265" s="11" t="s">
        <v>799</v>
      </c>
      <c r="D265" s="12" t="s">
        <v>800</v>
      </c>
      <c r="E265" s="12" t="s">
        <v>801</v>
      </c>
      <c r="F265" s="9">
        <v>1</v>
      </c>
      <c r="G265" s="9">
        <v>2</v>
      </c>
    </row>
    <row r="266" spans="1:7" ht="25.5">
      <c r="A266" s="4">
        <v>265</v>
      </c>
      <c r="B266" s="5" t="s">
        <v>759</v>
      </c>
      <c r="C266" s="6" t="s">
        <v>802</v>
      </c>
      <c r="D266" s="7" t="s">
        <v>803</v>
      </c>
      <c r="E266" s="7" t="s">
        <v>804</v>
      </c>
      <c r="F266" s="4">
        <v>1</v>
      </c>
      <c r="G266" s="4">
        <v>2</v>
      </c>
    </row>
    <row r="267" spans="1:7" ht="25.5">
      <c r="A267" s="9">
        <v>266</v>
      </c>
      <c r="B267" s="10" t="s">
        <v>759</v>
      </c>
      <c r="C267" s="11" t="s">
        <v>805</v>
      </c>
      <c r="D267" s="12" t="s">
        <v>806</v>
      </c>
      <c r="E267" s="12" t="s">
        <v>807</v>
      </c>
      <c r="F267" s="9">
        <v>1</v>
      </c>
      <c r="G267" s="9">
        <v>2</v>
      </c>
    </row>
    <row r="268" spans="1:7" ht="25.5">
      <c r="A268" s="4">
        <v>267</v>
      </c>
      <c r="B268" s="5" t="s">
        <v>759</v>
      </c>
      <c r="C268" s="6" t="s">
        <v>808</v>
      </c>
      <c r="D268" s="7" t="s">
        <v>809</v>
      </c>
      <c r="E268" s="7" t="s">
        <v>810</v>
      </c>
      <c r="F268" s="4">
        <v>1</v>
      </c>
      <c r="G268" s="4">
        <v>2</v>
      </c>
    </row>
    <row r="269" spans="1:7" ht="25.5">
      <c r="A269" s="9">
        <v>268</v>
      </c>
      <c r="B269" s="10" t="s">
        <v>759</v>
      </c>
      <c r="C269" s="11" t="s">
        <v>811</v>
      </c>
      <c r="D269" s="12" t="s">
        <v>812</v>
      </c>
      <c r="E269" s="12" t="s">
        <v>813</v>
      </c>
      <c r="F269" s="9">
        <v>1</v>
      </c>
      <c r="G269" s="9">
        <v>2</v>
      </c>
    </row>
    <row r="270" spans="1:7" ht="25.5">
      <c r="A270" s="4">
        <v>269</v>
      </c>
      <c r="B270" s="5" t="s">
        <v>759</v>
      </c>
      <c r="C270" s="6" t="s">
        <v>814</v>
      </c>
      <c r="D270" s="7" t="s">
        <v>815</v>
      </c>
      <c r="E270" s="7" t="s">
        <v>816</v>
      </c>
      <c r="F270" s="4">
        <v>1</v>
      </c>
      <c r="G270" s="4">
        <v>2</v>
      </c>
    </row>
    <row r="271" spans="1:7" ht="25.5">
      <c r="A271" s="9">
        <v>270</v>
      </c>
      <c r="B271" s="10" t="s">
        <v>759</v>
      </c>
      <c r="C271" s="11" t="s">
        <v>817</v>
      </c>
      <c r="D271" s="12" t="s">
        <v>818</v>
      </c>
      <c r="E271" s="12" t="s">
        <v>819</v>
      </c>
      <c r="F271" s="9">
        <v>1</v>
      </c>
      <c r="G271" s="9">
        <v>2</v>
      </c>
    </row>
    <row r="272" spans="1:7" ht="25.5">
      <c r="A272" s="4">
        <v>271</v>
      </c>
      <c r="B272" s="5" t="s">
        <v>759</v>
      </c>
      <c r="C272" s="6" t="s">
        <v>820</v>
      </c>
      <c r="D272" s="7" t="s">
        <v>821</v>
      </c>
      <c r="E272" s="7" t="s">
        <v>822</v>
      </c>
      <c r="F272" s="4">
        <v>1</v>
      </c>
      <c r="G272" s="4">
        <v>2</v>
      </c>
    </row>
    <row r="273" spans="1:7" ht="25.5">
      <c r="A273" s="9">
        <v>272</v>
      </c>
      <c r="B273" s="10" t="s">
        <v>759</v>
      </c>
      <c r="C273" s="11" t="s">
        <v>823</v>
      </c>
      <c r="D273" s="12" t="s">
        <v>824</v>
      </c>
      <c r="E273" s="12" t="s">
        <v>825</v>
      </c>
      <c r="F273" s="9">
        <v>1</v>
      </c>
      <c r="G273" s="9">
        <v>2</v>
      </c>
    </row>
    <row r="274" spans="1:7" ht="25.5">
      <c r="A274" s="4">
        <v>273</v>
      </c>
      <c r="B274" s="5" t="s">
        <v>759</v>
      </c>
      <c r="C274" s="6" t="s">
        <v>826</v>
      </c>
      <c r="D274" s="7" t="s">
        <v>827</v>
      </c>
      <c r="E274" s="7" t="s">
        <v>828</v>
      </c>
      <c r="F274" s="4">
        <v>1</v>
      </c>
      <c r="G274" s="4">
        <v>2</v>
      </c>
    </row>
    <row r="275" spans="1:7" ht="25.5">
      <c r="A275" s="9">
        <v>274</v>
      </c>
      <c r="B275" s="10" t="s">
        <v>759</v>
      </c>
      <c r="C275" s="11" t="s">
        <v>829</v>
      </c>
      <c r="D275" s="12" t="s">
        <v>830</v>
      </c>
      <c r="E275" s="12" t="s">
        <v>831</v>
      </c>
      <c r="F275" s="9">
        <v>1</v>
      </c>
      <c r="G275" s="9">
        <v>2</v>
      </c>
    </row>
    <row r="276" spans="1:7" ht="25.5">
      <c r="A276" s="4">
        <v>275</v>
      </c>
      <c r="B276" s="5" t="s">
        <v>759</v>
      </c>
      <c r="C276" s="6" t="s">
        <v>832</v>
      </c>
      <c r="D276" s="7" t="s">
        <v>833</v>
      </c>
      <c r="E276" s="7" t="s">
        <v>834</v>
      </c>
      <c r="F276" s="4">
        <v>1</v>
      </c>
      <c r="G276" s="4">
        <v>2</v>
      </c>
    </row>
    <row r="277" spans="1:7" ht="25.5">
      <c r="A277" s="9">
        <v>276</v>
      </c>
      <c r="B277" s="10" t="s">
        <v>759</v>
      </c>
      <c r="C277" s="11" t="s">
        <v>835</v>
      </c>
      <c r="D277" s="12" t="s">
        <v>836</v>
      </c>
      <c r="E277" s="12" t="s">
        <v>837</v>
      </c>
      <c r="F277" s="9">
        <v>1</v>
      </c>
      <c r="G277" s="9">
        <v>2</v>
      </c>
    </row>
    <row r="278" spans="1:7" ht="25.5">
      <c r="A278" s="4">
        <v>277</v>
      </c>
      <c r="B278" s="5" t="s">
        <v>759</v>
      </c>
      <c r="C278" s="6" t="s">
        <v>838</v>
      </c>
      <c r="D278" s="7" t="s">
        <v>839</v>
      </c>
      <c r="E278" s="7" t="s">
        <v>840</v>
      </c>
      <c r="F278" s="4">
        <v>1</v>
      </c>
      <c r="G278" s="4">
        <v>2</v>
      </c>
    </row>
    <row r="279" spans="1:7" ht="25.5">
      <c r="A279" s="9">
        <v>278</v>
      </c>
      <c r="B279" s="10" t="s">
        <v>759</v>
      </c>
      <c r="C279" s="11" t="s">
        <v>841</v>
      </c>
      <c r="D279" s="12" t="s">
        <v>842</v>
      </c>
      <c r="E279" s="12" t="s">
        <v>843</v>
      </c>
      <c r="F279" s="9">
        <v>1</v>
      </c>
      <c r="G279" s="9">
        <v>2</v>
      </c>
    </row>
    <row r="280" spans="1:7" ht="25.5">
      <c r="A280" s="4">
        <v>279</v>
      </c>
      <c r="B280" s="5" t="s">
        <v>759</v>
      </c>
      <c r="C280" s="6" t="s">
        <v>844</v>
      </c>
      <c r="D280" s="7" t="s">
        <v>845</v>
      </c>
      <c r="E280" s="7" t="s">
        <v>846</v>
      </c>
      <c r="F280" s="4">
        <v>1</v>
      </c>
      <c r="G280" s="4">
        <v>2</v>
      </c>
    </row>
    <row r="281" spans="1:7" ht="25.5">
      <c r="A281" s="9">
        <v>280</v>
      </c>
      <c r="B281" s="10" t="s">
        <v>759</v>
      </c>
      <c r="C281" s="11" t="s">
        <v>847</v>
      </c>
      <c r="D281" s="12" t="s">
        <v>848</v>
      </c>
      <c r="E281" s="12" t="s">
        <v>849</v>
      </c>
      <c r="F281" s="9">
        <v>1</v>
      </c>
      <c r="G281" s="9">
        <v>2</v>
      </c>
    </row>
    <row r="282" spans="1:7" ht="38.25">
      <c r="A282" s="4">
        <v>281</v>
      </c>
      <c r="B282" s="5" t="s">
        <v>759</v>
      </c>
      <c r="C282" s="6" t="s">
        <v>850</v>
      </c>
      <c r="D282" s="7" t="s">
        <v>851</v>
      </c>
      <c r="E282" s="7" t="s">
        <v>852</v>
      </c>
      <c r="F282" s="4">
        <v>1</v>
      </c>
      <c r="G282" s="4">
        <v>1</v>
      </c>
    </row>
    <row r="283" spans="1:7" ht="25.5">
      <c r="A283" s="9">
        <v>282</v>
      </c>
      <c r="B283" s="10" t="s">
        <v>759</v>
      </c>
      <c r="C283" s="11" t="s">
        <v>853</v>
      </c>
      <c r="D283" s="12" t="s">
        <v>854</v>
      </c>
      <c r="E283" s="12" t="s">
        <v>855</v>
      </c>
      <c r="F283" s="9">
        <v>1</v>
      </c>
      <c r="G283" s="9">
        <v>1</v>
      </c>
    </row>
    <row r="284" spans="1:7" ht="25.5">
      <c r="A284" s="4">
        <v>283</v>
      </c>
      <c r="B284" s="5" t="s">
        <v>759</v>
      </c>
      <c r="C284" s="6" t="s">
        <v>856</v>
      </c>
      <c r="D284" s="7" t="s">
        <v>857</v>
      </c>
      <c r="E284" s="7" t="s">
        <v>858</v>
      </c>
      <c r="F284" s="4">
        <v>1</v>
      </c>
      <c r="G284" s="4">
        <v>1</v>
      </c>
    </row>
    <row r="285" spans="1:7" ht="25.5">
      <c r="A285" s="9">
        <v>284</v>
      </c>
      <c r="B285" s="10" t="s">
        <v>759</v>
      </c>
      <c r="C285" s="11" t="s">
        <v>859</v>
      </c>
      <c r="D285" s="12" t="s">
        <v>860</v>
      </c>
      <c r="E285" s="12" t="s">
        <v>861</v>
      </c>
      <c r="F285" s="9">
        <v>1</v>
      </c>
      <c r="G285" s="9">
        <v>1</v>
      </c>
    </row>
    <row r="286" spans="1:7" ht="25.5">
      <c r="A286" s="4">
        <v>285</v>
      </c>
      <c r="B286" s="5" t="s">
        <v>759</v>
      </c>
      <c r="C286" s="6" t="s">
        <v>862</v>
      </c>
      <c r="D286" s="7" t="s">
        <v>863</v>
      </c>
      <c r="E286" s="7" t="s">
        <v>864</v>
      </c>
      <c r="F286" s="4">
        <v>1</v>
      </c>
      <c r="G286" s="4">
        <v>1</v>
      </c>
    </row>
    <row r="287" spans="1:7" ht="25.5">
      <c r="A287" s="9">
        <v>286</v>
      </c>
      <c r="B287" s="10" t="s">
        <v>759</v>
      </c>
      <c r="C287" s="11" t="s">
        <v>865</v>
      </c>
      <c r="D287" s="12" t="s">
        <v>866</v>
      </c>
      <c r="E287" s="12" t="s">
        <v>867</v>
      </c>
      <c r="F287" s="9">
        <v>1</v>
      </c>
      <c r="G287" s="9">
        <v>1</v>
      </c>
    </row>
    <row r="288" spans="1:7" ht="25.5">
      <c r="A288" s="4">
        <v>287</v>
      </c>
      <c r="B288" s="5" t="s">
        <v>759</v>
      </c>
      <c r="C288" s="6" t="s">
        <v>868</v>
      </c>
      <c r="D288" s="7" t="s">
        <v>869</v>
      </c>
      <c r="E288" s="7" t="s">
        <v>870</v>
      </c>
      <c r="F288" s="4">
        <v>1</v>
      </c>
      <c r="G288" s="4">
        <v>1</v>
      </c>
    </row>
    <row r="289" spans="1:7" ht="25.5">
      <c r="A289" s="9">
        <v>288</v>
      </c>
      <c r="B289" s="10" t="s">
        <v>759</v>
      </c>
      <c r="C289" s="11" t="s">
        <v>871</v>
      </c>
      <c r="D289" s="12" t="s">
        <v>872</v>
      </c>
      <c r="E289" s="12" t="s">
        <v>873</v>
      </c>
      <c r="F289" s="9">
        <v>1</v>
      </c>
      <c r="G289" s="9">
        <v>1</v>
      </c>
    </row>
    <row r="290" spans="1:7" ht="25.5">
      <c r="A290" s="4">
        <v>289</v>
      </c>
      <c r="B290" s="5" t="s">
        <v>759</v>
      </c>
      <c r="C290" s="6" t="s">
        <v>874</v>
      </c>
      <c r="D290" s="7" t="s">
        <v>875</v>
      </c>
      <c r="E290" s="7" t="s">
        <v>876</v>
      </c>
      <c r="F290" s="4">
        <v>1</v>
      </c>
      <c r="G290" s="4">
        <v>1</v>
      </c>
    </row>
    <row r="291" spans="1:7" ht="25.5">
      <c r="A291" s="9">
        <v>290</v>
      </c>
      <c r="B291" s="10" t="s">
        <v>759</v>
      </c>
      <c r="C291" s="11" t="s">
        <v>877</v>
      </c>
      <c r="D291" s="12" t="s">
        <v>878</v>
      </c>
      <c r="E291" s="12" t="s">
        <v>879</v>
      </c>
      <c r="F291" s="9">
        <v>1</v>
      </c>
      <c r="G291" s="9">
        <v>1</v>
      </c>
    </row>
    <row r="292" spans="1:7" ht="25.5">
      <c r="A292" s="4">
        <v>291</v>
      </c>
      <c r="B292" s="5" t="s">
        <v>759</v>
      </c>
      <c r="C292" s="6" t="s">
        <v>880</v>
      </c>
      <c r="D292" s="7" t="s">
        <v>881</v>
      </c>
      <c r="E292" s="7" t="s">
        <v>882</v>
      </c>
      <c r="F292" s="4">
        <v>1</v>
      </c>
      <c r="G292" s="4">
        <v>1</v>
      </c>
    </row>
    <row r="293" spans="1:7" ht="25.5">
      <c r="A293" s="9">
        <v>292</v>
      </c>
      <c r="B293" s="10" t="s">
        <v>759</v>
      </c>
      <c r="C293" s="11" t="s">
        <v>883</v>
      </c>
      <c r="D293" s="12" t="s">
        <v>884</v>
      </c>
      <c r="E293" s="12" t="s">
        <v>885</v>
      </c>
      <c r="F293" s="9">
        <v>1</v>
      </c>
      <c r="G293" s="9">
        <v>1</v>
      </c>
    </row>
    <row r="294" spans="1:7" ht="25.5">
      <c r="A294" s="4">
        <v>293</v>
      </c>
      <c r="B294" s="5" t="s">
        <v>759</v>
      </c>
      <c r="C294" s="6" t="s">
        <v>886</v>
      </c>
      <c r="D294" s="7" t="s">
        <v>887</v>
      </c>
      <c r="E294" s="7" t="s">
        <v>888</v>
      </c>
      <c r="F294" s="4">
        <v>1</v>
      </c>
      <c r="G294" s="4">
        <v>1</v>
      </c>
    </row>
    <row r="295" spans="1:7" ht="25.5">
      <c r="A295" s="9">
        <v>294</v>
      </c>
      <c r="B295" s="10" t="s">
        <v>759</v>
      </c>
      <c r="C295" s="11" t="s">
        <v>889</v>
      </c>
      <c r="D295" s="12" t="s">
        <v>890</v>
      </c>
      <c r="E295" s="12" t="s">
        <v>891</v>
      </c>
      <c r="F295" s="9">
        <v>1</v>
      </c>
      <c r="G295" s="9">
        <v>1</v>
      </c>
    </row>
    <row r="296" spans="1:7" ht="25.5">
      <c r="A296" s="4">
        <v>295</v>
      </c>
      <c r="B296" s="5" t="s">
        <v>759</v>
      </c>
      <c r="C296" s="6" t="s">
        <v>892</v>
      </c>
      <c r="D296" s="7" t="s">
        <v>893</v>
      </c>
      <c r="E296" s="7" t="s">
        <v>894</v>
      </c>
      <c r="F296" s="4">
        <v>1</v>
      </c>
      <c r="G296" s="4">
        <v>1</v>
      </c>
    </row>
    <row r="297" spans="1:7" ht="25.5">
      <c r="A297" s="9">
        <v>296</v>
      </c>
      <c r="B297" s="10" t="s">
        <v>759</v>
      </c>
      <c r="C297" s="11" t="s">
        <v>895</v>
      </c>
      <c r="D297" s="12" t="s">
        <v>896</v>
      </c>
      <c r="E297" s="12" t="s">
        <v>897</v>
      </c>
      <c r="F297" s="9">
        <v>1</v>
      </c>
      <c r="G297" s="9">
        <v>1</v>
      </c>
    </row>
    <row r="298" spans="1:7" ht="25.5">
      <c r="A298" s="4">
        <v>297</v>
      </c>
      <c r="B298" s="5" t="s">
        <v>759</v>
      </c>
      <c r="C298" s="6" t="s">
        <v>898</v>
      </c>
      <c r="D298" s="7" t="s">
        <v>899</v>
      </c>
      <c r="E298" s="7" t="s">
        <v>900</v>
      </c>
      <c r="F298" s="4">
        <v>1</v>
      </c>
      <c r="G298" s="4">
        <v>1</v>
      </c>
    </row>
    <row r="299" spans="1:7" ht="38.25">
      <c r="A299" s="9">
        <v>298</v>
      </c>
      <c r="B299" s="10" t="s">
        <v>759</v>
      </c>
      <c r="C299" s="11" t="s">
        <v>901</v>
      </c>
      <c r="D299" s="12" t="s">
        <v>902</v>
      </c>
      <c r="E299" s="12" t="s">
        <v>903</v>
      </c>
      <c r="F299" s="9">
        <v>1</v>
      </c>
      <c r="G299" s="9">
        <v>1</v>
      </c>
    </row>
    <row r="300" spans="1:7" ht="25.5">
      <c r="A300" s="4">
        <v>299</v>
      </c>
      <c r="B300" s="5" t="s">
        <v>759</v>
      </c>
      <c r="C300" s="6" t="s">
        <v>904</v>
      </c>
      <c r="D300" s="7" t="s">
        <v>905</v>
      </c>
      <c r="E300" s="7" t="s">
        <v>906</v>
      </c>
      <c r="F300" s="4">
        <v>1</v>
      </c>
      <c r="G300" s="4">
        <v>1</v>
      </c>
    </row>
    <row r="301" spans="1:7" ht="25.5">
      <c r="A301" s="9">
        <v>300</v>
      </c>
      <c r="B301" s="10" t="s">
        <v>759</v>
      </c>
      <c r="C301" s="11" t="s">
        <v>907</v>
      </c>
      <c r="D301" s="12" t="s">
        <v>908</v>
      </c>
      <c r="E301" s="12" t="s">
        <v>909</v>
      </c>
      <c r="F301" s="9">
        <v>1</v>
      </c>
      <c r="G301" s="9">
        <v>1</v>
      </c>
    </row>
    <row r="302" spans="1:7" ht="25.5">
      <c r="A302" s="4">
        <v>301</v>
      </c>
      <c r="B302" s="5" t="s">
        <v>759</v>
      </c>
      <c r="C302" s="6" t="s">
        <v>910</v>
      </c>
      <c r="D302" s="7" t="s">
        <v>911</v>
      </c>
      <c r="E302" s="7" t="s">
        <v>912</v>
      </c>
      <c r="F302" s="4">
        <v>1</v>
      </c>
      <c r="G302" s="4">
        <v>1</v>
      </c>
    </row>
    <row r="303" spans="1:7" ht="25.5">
      <c r="A303" s="9">
        <v>302</v>
      </c>
      <c r="B303" s="10" t="s">
        <v>759</v>
      </c>
      <c r="C303" s="11" t="s">
        <v>913</v>
      </c>
      <c r="D303" s="12" t="s">
        <v>914</v>
      </c>
      <c r="E303" s="12" t="s">
        <v>915</v>
      </c>
      <c r="F303" s="9">
        <v>1</v>
      </c>
      <c r="G303" s="9">
        <v>1</v>
      </c>
    </row>
    <row r="304" spans="1:7" ht="25.5">
      <c r="A304" s="4">
        <v>303</v>
      </c>
      <c r="B304" s="5" t="s">
        <v>759</v>
      </c>
      <c r="C304" s="6" t="s">
        <v>916</v>
      </c>
      <c r="D304" s="7" t="s">
        <v>917</v>
      </c>
      <c r="E304" s="7" t="s">
        <v>918</v>
      </c>
      <c r="F304" s="4">
        <v>1</v>
      </c>
      <c r="G304" s="4">
        <v>1</v>
      </c>
    </row>
    <row r="305" spans="1:7" ht="25.5">
      <c r="A305" s="9">
        <v>304</v>
      </c>
      <c r="B305" s="10" t="s">
        <v>759</v>
      </c>
      <c r="C305" s="11" t="s">
        <v>919</v>
      </c>
      <c r="D305" s="12" t="s">
        <v>920</v>
      </c>
      <c r="E305" s="12" t="s">
        <v>921</v>
      </c>
      <c r="F305" s="9">
        <v>1</v>
      </c>
      <c r="G305" s="9">
        <v>1</v>
      </c>
    </row>
    <row r="306" spans="1:7" ht="25.5">
      <c r="A306" s="4">
        <v>305</v>
      </c>
      <c r="B306" s="5" t="s">
        <v>759</v>
      </c>
      <c r="C306" s="6" t="s">
        <v>922</v>
      </c>
      <c r="D306" s="7" t="s">
        <v>923</v>
      </c>
      <c r="E306" s="7" t="s">
        <v>924</v>
      </c>
      <c r="F306" s="4">
        <v>1</v>
      </c>
      <c r="G306" s="4">
        <v>1</v>
      </c>
    </row>
    <row r="307" spans="1:7" ht="25.5">
      <c r="A307" s="9">
        <v>306</v>
      </c>
      <c r="B307" s="10" t="s">
        <v>759</v>
      </c>
      <c r="C307" s="11" t="s">
        <v>925</v>
      </c>
      <c r="D307" s="12" t="s">
        <v>926</v>
      </c>
      <c r="E307" s="12" t="s">
        <v>927</v>
      </c>
      <c r="F307" s="9">
        <v>1</v>
      </c>
      <c r="G307" s="9">
        <v>1</v>
      </c>
    </row>
    <row r="308" spans="1:7" ht="25.5">
      <c r="A308" s="4">
        <v>307</v>
      </c>
      <c r="B308" s="5" t="s">
        <v>759</v>
      </c>
      <c r="C308" s="6" t="s">
        <v>928</v>
      </c>
      <c r="D308" s="7" t="s">
        <v>929</v>
      </c>
      <c r="E308" s="7" t="s">
        <v>930</v>
      </c>
      <c r="F308" s="4">
        <v>1</v>
      </c>
      <c r="G308" s="4">
        <v>1</v>
      </c>
    </row>
    <row r="309" spans="1:7" ht="25.5">
      <c r="A309" s="9">
        <v>308</v>
      </c>
      <c r="B309" s="10" t="s">
        <v>759</v>
      </c>
      <c r="C309" s="11" t="s">
        <v>931</v>
      </c>
      <c r="D309" s="12" t="s">
        <v>932</v>
      </c>
      <c r="E309" s="12" t="s">
        <v>933</v>
      </c>
      <c r="F309" s="9">
        <v>1</v>
      </c>
      <c r="G309" s="9">
        <v>1</v>
      </c>
    </row>
    <row r="310" spans="1:7" ht="25.5">
      <c r="A310" s="4">
        <v>309</v>
      </c>
      <c r="B310" s="5" t="s">
        <v>759</v>
      </c>
      <c r="C310" s="6" t="s">
        <v>934</v>
      </c>
      <c r="D310" s="7" t="s">
        <v>935</v>
      </c>
      <c r="E310" s="7" t="s">
        <v>936</v>
      </c>
      <c r="F310" s="4">
        <v>1</v>
      </c>
      <c r="G310" s="4">
        <v>1</v>
      </c>
    </row>
    <row r="311" spans="1:7" ht="25.5">
      <c r="A311" s="9">
        <v>310</v>
      </c>
      <c r="B311" s="10" t="s">
        <v>759</v>
      </c>
      <c r="C311" s="11" t="s">
        <v>937</v>
      </c>
      <c r="D311" s="12" t="s">
        <v>938</v>
      </c>
      <c r="E311" s="12" t="s">
        <v>939</v>
      </c>
      <c r="F311" s="9">
        <v>1</v>
      </c>
      <c r="G311" s="9">
        <v>1</v>
      </c>
    </row>
    <row r="312" spans="1:7" ht="25.5">
      <c r="A312" s="4">
        <v>311</v>
      </c>
      <c r="B312" s="5" t="s">
        <v>759</v>
      </c>
      <c r="C312" s="6" t="s">
        <v>940</v>
      </c>
      <c r="D312" s="7" t="s">
        <v>941</v>
      </c>
      <c r="E312" s="7" t="s">
        <v>942</v>
      </c>
      <c r="F312" s="4">
        <v>1</v>
      </c>
      <c r="G312" s="4">
        <v>1</v>
      </c>
    </row>
    <row r="313" spans="1:7" ht="25.5">
      <c r="A313" s="9">
        <v>312</v>
      </c>
      <c r="B313" s="10" t="s">
        <v>759</v>
      </c>
      <c r="C313" s="11" t="s">
        <v>943</v>
      </c>
      <c r="D313" s="12" t="s">
        <v>944</v>
      </c>
      <c r="E313" s="12" t="s">
        <v>945</v>
      </c>
      <c r="F313" s="9">
        <v>1</v>
      </c>
      <c r="G313" s="9">
        <v>1</v>
      </c>
    </row>
    <row r="314" spans="1:7" ht="25.5">
      <c r="A314" s="4">
        <v>313</v>
      </c>
      <c r="B314" s="5" t="s">
        <v>759</v>
      </c>
      <c r="C314" s="6" t="s">
        <v>946</v>
      </c>
      <c r="D314" s="7" t="s">
        <v>947</v>
      </c>
      <c r="E314" s="7" t="s">
        <v>948</v>
      </c>
      <c r="F314" s="4">
        <v>1</v>
      </c>
      <c r="G314" s="4">
        <v>1</v>
      </c>
    </row>
    <row r="315" spans="1:7" ht="25.5">
      <c r="A315" s="9">
        <v>314</v>
      </c>
      <c r="B315" s="10" t="s">
        <v>759</v>
      </c>
      <c r="C315" s="11" t="s">
        <v>949</v>
      </c>
      <c r="D315" s="12" t="s">
        <v>950</v>
      </c>
      <c r="E315" s="12" t="s">
        <v>951</v>
      </c>
      <c r="F315" s="9">
        <v>1</v>
      </c>
      <c r="G315" s="9">
        <v>1</v>
      </c>
    </row>
    <row r="316" spans="1:7" ht="25.5">
      <c r="A316" s="4">
        <v>315</v>
      </c>
      <c r="B316" s="5" t="s">
        <v>759</v>
      </c>
      <c r="C316" s="6" t="s">
        <v>952</v>
      </c>
      <c r="D316" s="7" t="s">
        <v>953</v>
      </c>
      <c r="E316" s="7" t="s">
        <v>954</v>
      </c>
      <c r="F316" s="4">
        <v>1</v>
      </c>
      <c r="G316" s="4">
        <v>1</v>
      </c>
    </row>
    <row r="317" spans="1:7" ht="25.5">
      <c r="A317" s="9">
        <v>316</v>
      </c>
      <c r="B317" s="10" t="s">
        <v>759</v>
      </c>
      <c r="C317" s="11" t="s">
        <v>955</v>
      </c>
      <c r="D317" s="12" t="s">
        <v>956</v>
      </c>
      <c r="E317" s="12" t="s">
        <v>957</v>
      </c>
      <c r="F317" s="9">
        <v>1</v>
      </c>
      <c r="G317" s="9">
        <v>1</v>
      </c>
    </row>
    <row r="318" spans="1:7" ht="25.5">
      <c r="A318" s="4">
        <v>317</v>
      </c>
      <c r="B318" s="5" t="s">
        <v>759</v>
      </c>
      <c r="C318" s="6" t="s">
        <v>958</v>
      </c>
      <c r="D318" s="7" t="s">
        <v>959</v>
      </c>
      <c r="E318" s="7" t="s">
        <v>960</v>
      </c>
      <c r="F318" s="4">
        <v>1</v>
      </c>
      <c r="G318" s="4">
        <v>1</v>
      </c>
    </row>
    <row r="319" spans="1:7" ht="25.5">
      <c r="A319" s="9">
        <v>318</v>
      </c>
      <c r="B319" s="10" t="s">
        <v>759</v>
      </c>
      <c r="C319" s="11" t="s">
        <v>961</v>
      </c>
      <c r="D319" s="12" t="s">
        <v>962</v>
      </c>
      <c r="E319" s="12" t="s">
        <v>963</v>
      </c>
      <c r="F319" s="9">
        <v>1</v>
      </c>
      <c r="G319" s="9">
        <v>1</v>
      </c>
    </row>
    <row r="320" spans="1:7" ht="25.5">
      <c r="A320" s="4">
        <v>319</v>
      </c>
      <c r="B320" s="5" t="s">
        <v>759</v>
      </c>
      <c r="C320" s="6" t="s">
        <v>964</v>
      </c>
      <c r="D320" s="7" t="s">
        <v>965</v>
      </c>
      <c r="E320" s="7" t="s">
        <v>966</v>
      </c>
      <c r="F320" s="4">
        <v>1</v>
      </c>
      <c r="G320" s="4">
        <v>1</v>
      </c>
    </row>
    <row r="321" spans="1:7" ht="25.5">
      <c r="A321" s="9">
        <v>320</v>
      </c>
      <c r="B321" s="10" t="s">
        <v>759</v>
      </c>
      <c r="C321" s="11" t="s">
        <v>967</v>
      </c>
      <c r="D321" s="12" t="s">
        <v>968</v>
      </c>
      <c r="E321" s="12" t="s">
        <v>969</v>
      </c>
      <c r="F321" s="9">
        <v>1</v>
      </c>
      <c r="G321" s="9">
        <v>1</v>
      </c>
    </row>
    <row r="322" spans="1:7" ht="25.5">
      <c r="A322" s="4">
        <v>321</v>
      </c>
      <c r="B322" s="5" t="s">
        <v>759</v>
      </c>
      <c r="C322" s="6" t="s">
        <v>970</v>
      </c>
      <c r="D322" s="7" t="s">
        <v>971</v>
      </c>
      <c r="E322" s="7" t="s">
        <v>972</v>
      </c>
      <c r="F322" s="4">
        <v>1</v>
      </c>
      <c r="G322" s="4">
        <v>1</v>
      </c>
    </row>
    <row r="323" spans="1:7" ht="25.5">
      <c r="A323" s="9">
        <v>322</v>
      </c>
      <c r="B323" s="10" t="s">
        <v>759</v>
      </c>
      <c r="C323" s="11" t="s">
        <v>973</v>
      </c>
      <c r="D323" s="12" t="s">
        <v>974</v>
      </c>
      <c r="E323" s="12" t="s">
        <v>975</v>
      </c>
      <c r="F323" s="9">
        <v>1</v>
      </c>
      <c r="G323" s="9">
        <v>1</v>
      </c>
    </row>
    <row r="324" spans="1:7" ht="25.5">
      <c r="A324" s="4">
        <v>323</v>
      </c>
      <c r="B324" s="5" t="s">
        <v>759</v>
      </c>
      <c r="C324" s="6" t="s">
        <v>976</v>
      </c>
      <c r="D324" s="7" t="s">
        <v>977</v>
      </c>
      <c r="E324" s="7" t="s">
        <v>978</v>
      </c>
      <c r="F324" s="4">
        <v>1</v>
      </c>
      <c r="G324" s="4">
        <v>1</v>
      </c>
    </row>
    <row r="325" spans="1:7" ht="25.5">
      <c r="A325" s="9">
        <v>324</v>
      </c>
      <c r="B325" s="10" t="s">
        <v>759</v>
      </c>
      <c r="C325" s="11" t="s">
        <v>979</v>
      </c>
      <c r="D325" s="12" t="s">
        <v>980</v>
      </c>
      <c r="E325" s="12" t="s">
        <v>981</v>
      </c>
      <c r="F325" s="9">
        <v>1</v>
      </c>
      <c r="G325" s="9">
        <v>1</v>
      </c>
    </row>
    <row r="326" spans="1:7" ht="25.5">
      <c r="A326" s="4">
        <v>325</v>
      </c>
      <c r="B326" s="5" t="s">
        <v>759</v>
      </c>
      <c r="C326" s="6" t="s">
        <v>982</v>
      </c>
      <c r="D326" s="7" t="s">
        <v>983</v>
      </c>
      <c r="E326" s="7" t="s">
        <v>984</v>
      </c>
      <c r="F326" s="4">
        <v>1</v>
      </c>
      <c r="G326" s="4">
        <v>1</v>
      </c>
    </row>
    <row r="327" spans="1:7" ht="25.5">
      <c r="A327" s="9">
        <v>326</v>
      </c>
      <c r="B327" s="10" t="s">
        <v>759</v>
      </c>
      <c r="C327" s="11" t="s">
        <v>985</v>
      </c>
      <c r="D327" s="12" t="s">
        <v>986</v>
      </c>
      <c r="E327" s="12" t="s">
        <v>987</v>
      </c>
      <c r="F327" s="9">
        <v>1</v>
      </c>
      <c r="G327" s="9">
        <v>1</v>
      </c>
    </row>
    <row r="328" spans="1:7" ht="25.5">
      <c r="A328" s="4">
        <v>327</v>
      </c>
      <c r="B328" s="5" t="s">
        <v>759</v>
      </c>
      <c r="C328" s="6" t="s">
        <v>988</v>
      </c>
      <c r="D328" s="7" t="s">
        <v>989</v>
      </c>
      <c r="E328" s="7" t="s">
        <v>990</v>
      </c>
      <c r="F328" s="4">
        <v>1</v>
      </c>
      <c r="G328" s="4">
        <v>1</v>
      </c>
    </row>
    <row r="329" spans="1:7" ht="25.5">
      <c r="A329" s="9">
        <v>328</v>
      </c>
      <c r="B329" s="10" t="s">
        <v>759</v>
      </c>
      <c r="C329" s="11" t="s">
        <v>991</v>
      </c>
      <c r="D329" s="12" t="s">
        <v>992</v>
      </c>
      <c r="E329" s="12" t="s">
        <v>993</v>
      </c>
      <c r="F329" s="9">
        <v>1</v>
      </c>
      <c r="G329" s="9">
        <v>1</v>
      </c>
    </row>
    <row r="330" spans="1:7" ht="25.5">
      <c r="A330" s="4">
        <v>329</v>
      </c>
      <c r="B330" s="5" t="s">
        <v>759</v>
      </c>
      <c r="C330" s="6" t="s">
        <v>994</v>
      </c>
      <c r="D330" s="7" t="s">
        <v>995</v>
      </c>
      <c r="E330" s="7" t="s">
        <v>996</v>
      </c>
      <c r="F330" s="4">
        <v>1</v>
      </c>
      <c r="G330" s="4">
        <v>1</v>
      </c>
    </row>
    <row r="331" spans="1:7" ht="25.5">
      <c r="A331" s="9">
        <v>330</v>
      </c>
      <c r="B331" s="10" t="s">
        <v>759</v>
      </c>
      <c r="C331" s="11" t="s">
        <v>997</v>
      </c>
      <c r="D331" s="12" t="s">
        <v>998</v>
      </c>
      <c r="E331" s="12" t="s">
        <v>999</v>
      </c>
      <c r="F331" s="9">
        <v>1</v>
      </c>
      <c r="G331" s="9">
        <v>1</v>
      </c>
    </row>
    <row r="332" spans="1:7" ht="25.5">
      <c r="A332" s="4">
        <v>331</v>
      </c>
      <c r="B332" s="5" t="s">
        <v>759</v>
      </c>
      <c r="C332" s="6" t="s">
        <v>1000</v>
      </c>
      <c r="D332" s="7" t="s">
        <v>1001</v>
      </c>
      <c r="E332" s="7" t="s">
        <v>1002</v>
      </c>
      <c r="F332" s="4">
        <v>1</v>
      </c>
      <c r="G332" s="4">
        <v>1</v>
      </c>
    </row>
    <row r="333" spans="1:7" ht="25.5">
      <c r="A333" s="9">
        <v>332</v>
      </c>
      <c r="B333" s="10" t="s">
        <v>759</v>
      </c>
      <c r="C333" s="11" t="s">
        <v>1003</v>
      </c>
      <c r="D333" s="12" t="s">
        <v>1004</v>
      </c>
      <c r="E333" s="12" t="s">
        <v>1005</v>
      </c>
      <c r="F333" s="9">
        <v>1</v>
      </c>
      <c r="G333" s="9">
        <v>1</v>
      </c>
    </row>
    <row r="334" spans="1:7" ht="25.5">
      <c r="A334" s="4">
        <v>333</v>
      </c>
      <c r="B334" s="5" t="s">
        <v>759</v>
      </c>
      <c r="C334" s="6" t="s">
        <v>1006</v>
      </c>
      <c r="D334" s="7" t="s">
        <v>1007</v>
      </c>
      <c r="E334" s="7" t="s">
        <v>1008</v>
      </c>
      <c r="F334" s="4">
        <v>1</v>
      </c>
      <c r="G334" s="4">
        <v>1</v>
      </c>
    </row>
    <row r="335" spans="1:7" ht="25.5">
      <c r="A335" s="9">
        <v>334</v>
      </c>
      <c r="B335" s="10" t="s">
        <v>759</v>
      </c>
      <c r="C335" s="11" t="s">
        <v>1009</v>
      </c>
      <c r="D335" s="12" t="s">
        <v>1010</v>
      </c>
      <c r="E335" s="12" t="s">
        <v>1011</v>
      </c>
      <c r="F335" s="9">
        <v>1</v>
      </c>
      <c r="G335" s="9">
        <v>1</v>
      </c>
    </row>
    <row r="336" spans="1:7" ht="25.5">
      <c r="A336" s="4">
        <v>335</v>
      </c>
      <c r="B336" s="5" t="s">
        <v>759</v>
      </c>
      <c r="C336" s="6" t="s">
        <v>1012</v>
      </c>
      <c r="D336" s="7" t="s">
        <v>1013</v>
      </c>
      <c r="E336" s="7" t="s">
        <v>1014</v>
      </c>
      <c r="F336" s="4">
        <v>1</v>
      </c>
      <c r="G336" s="4">
        <v>1</v>
      </c>
    </row>
    <row r="337" spans="1:7" ht="25.5">
      <c r="A337" s="9">
        <v>336</v>
      </c>
      <c r="B337" s="10" t="s">
        <v>759</v>
      </c>
      <c r="C337" s="11" t="s">
        <v>1015</v>
      </c>
      <c r="D337" s="12" t="s">
        <v>1016</v>
      </c>
      <c r="E337" s="12" t="s">
        <v>1017</v>
      </c>
      <c r="F337" s="9">
        <v>1</v>
      </c>
      <c r="G337" s="9">
        <v>1</v>
      </c>
    </row>
    <row r="338" spans="1:7" ht="25.5">
      <c r="A338" s="4">
        <v>337</v>
      </c>
      <c r="B338" s="5" t="s">
        <v>759</v>
      </c>
      <c r="C338" s="6" t="s">
        <v>1018</v>
      </c>
      <c r="D338" s="7" t="s">
        <v>1019</v>
      </c>
      <c r="E338" s="7" t="s">
        <v>1020</v>
      </c>
      <c r="F338" s="4">
        <v>1</v>
      </c>
      <c r="G338" s="4">
        <v>1</v>
      </c>
    </row>
    <row r="339" spans="1:7" ht="25.5">
      <c r="A339" s="9">
        <v>338</v>
      </c>
      <c r="B339" s="10" t="s">
        <v>759</v>
      </c>
      <c r="C339" s="11" t="s">
        <v>1021</v>
      </c>
      <c r="D339" s="12" t="s">
        <v>1022</v>
      </c>
      <c r="E339" s="12" t="s">
        <v>1023</v>
      </c>
      <c r="F339" s="9">
        <v>1</v>
      </c>
      <c r="G339" s="9">
        <v>1</v>
      </c>
    </row>
    <row r="340" spans="1:7" ht="25.5">
      <c r="A340" s="4">
        <v>339</v>
      </c>
      <c r="B340" s="5" t="s">
        <v>759</v>
      </c>
      <c r="C340" s="6" t="s">
        <v>1024</v>
      </c>
      <c r="D340" s="7" t="s">
        <v>1025</v>
      </c>
      <c r="E340" s="7" t="s">
        <v>1026</v>
      </c>
      <c r="F340" s="4">
        <v>1</v>
      </c>
      <c r="G340" s="4">
        <v>1</v>
      </c>
    </row>
    <row r="341" spans="1:7" ht="25.5">
      <c r="A341" s="9">
        <v>340</v>
      </c>
      <c r="B341" s="10" t="s">
        <v>759</v>
      </c>
      <c r="C341" s="11" t="s">
        <v>1027</v>
      </c>
      <c r="D341" s="12" t="s">
        <v>1028</v>
      </c>
      <c r="E341" s="12" t="s">
        <v>1029</v>
      </c>
      <c r="F341" s="9">
        <v>1</v>
      </c>
      <c r="G341" s="9">
        <v>1</v>
      </c>
    </row>
    <row r="342" spans="1:7" ht="25.5">
      <c r="A342" s="4">
        <v>341</v>
      </c>
      <c r="B342" s="5" t="s">
        <v>759</v>
      </c>
      <c r="C342" s="6" t="s">
        <v>1030</v>
      </c>
      <c r="D342" s="7" t="s">
        <v>1031</v>
      </c>
      <c r="E342" s="7" t="s">
        <v>1032</v>
      </c>
      <c r="F342" s="4">
        <v>1</v>
      </c>
      <c r="G342" s="4">
        <v>1</v>
      </c>
    </row>
    <row r="343" spans="1:7" ht="25.5">
      <c r="A343" s="9">
        <v>342</v>
      </c>
      <c r="B343" s="10" t="s">
        <v>759</v>
      </c>
      <c r="C343" s="11" t="s">
        <v>1033</v>
      </c>
      <c r="D343" s="12" t="s">
        <v>1034</v>
      </c>
      <c r="E343" s="12" t="s">
        <v>1035</v>
      </c>
      <c r="F343" s="9">
        <v>1</v>
      </c>
      <c r="G343" s="9">
        <v>1</v>
      </c>
    </row>
    <row r="344" spans="1:7" ht="25.5">
      <c r="A344" s="4">
        <v>343</v>
      </c>
      <c r="B344" s="5" t="s">
        <v>759</v>
      </c>
      <c r="C344" s="6" t="s">
        <v>1036</v>
      </c>
      <c r="D344" s="7" t="s">
        <v>1037</v>
      </c>
      <c r="E344" s="7" t="s">
        <v>1038</v>
      </c>
      <c r="F344" s="4">
        <v>1</v>
      </c>
      <c r="G344" s="4">
        <v>1</v>
      </c>
    </row>
    <row r="345" spans="1:7" ht="25.5">
      <c r="A345" s="9">
        <v>344</v>
      </c>
      <c r="B345" s="10" t="s">
        <v>759</v>
      </c>
      <c r="C345" s="11" t="s">
        <v>1039</v>
      </c>
      <c r="D345" s="12" t="s">
        <v>1040</v>
      </c>
      <c r="E345" s="12" t="s">
        <v>1041</v>
      </c>
      <c r="F345" s="9">
        <v>1</v>
      </c>
      <c r="G345" s="9">
        <v>1</v>
      </c>
    </row>
    <row r="346" spans="1:7" ht="25.5">
      <c r="A346" s="4">
        <v>345</v>
      </c>
      <c r="B346" s="5" t="s">
        <v>759</v>
      </c>
      <c r="C346" s="6" t="s">
        <v>1042</v>
      </c>
      <c r="D346" s="7" t="s">
        <v>1043</v>
      </c>
      <c r="E346" s="7" t="s">
        <v>1044</v>
      </c>
      <c r="F346" s="4">
        <v>1</v>
      </c>
      <c r="G346" s="4">
        <v>1</v>
      </c>
    </row>
    <row r="347" spans="1:7" ht="25.5">
      <c r="A347" s="9">
        <v>346</v>
      </c>
      <c r="B347" s="10" t="s">
        <v>759</v>
      </c>
      <c r="C347" s="11" t="s">
        <v>1045</v>
      </c>
      <c r="D347" s="12" t="s">
        <v>1046</v>
      </c>
      <c r="E347" s="12" t="s">
        <v>1047</v>
      </c>
      <c r="F347" s="9">
        <v>1</v>
      </c>
      <c r="G347" s="9">
        <v>1</v>
      </c>
    </row>
    <row r="348" spans="1:7" ht="25.5">
      <c r="A348" s="4">
        <v>347</v>
      </c>
      <c r="B348" s="5" t="s">
        <v>759</v>
      </c>
      <c r="C348" s="6" t="s">
        <v>1048</v>
      </c>
      <c r="D348" s="7" t="s">
        <v>1049</v>
      </c>
      <c r="E348" s="7" t="s">
        <v>1050</v>
      </c>
      <c r="F348" s="4">
        <v>1</v>
      </c>
      <c r="G348" s="4">
        <v>1</v>
      </c>
    </row>
    <row r="349" spans="1:7" ht="25.5">
      <c r="A349" s="9">
        <v>348</v>
      </c>
      <c r="B349" s="10" t="s">
        <v>759</v>
      </c>
      <c r="C349" s="11" t="s">
        <v>1051</v>
      </c>
      <c r="D349" s="12" t="s">
        <v>1052</v>
      </c>
      <c r="E349" s="12" t="s">
        <v>1053</v>
      </c>
      <c r="F349" s="9">
        <v>1</v>
      </c>
      <c r="G349" s="9">
        <v>1</v>
      </c>
    </row>
    <row r="350" spans="1:7" ht="25.5">
      <c r="A350" s="4">
        <v>349</v>
      </c>
      <c r="B350" s="5" t="s">
        <v>759</v>
      </c>
      <c r="C350" s="6" t="s">
        <v>1054</v>
      </c>
      <c r="D350" s="7" t="s">
        <v>1055</v>
      </c>
      <c r="E350" s="7" t="s">
        <v>1056</v>
      </c>
      <c r="F350" s="4">
        <v>1</v>
      </c>
      <c r="G350" s="4">
        <v>1</v>
      </c>
    </row>
    <row r="351" spans="1:7" ht="25.5">
      <c r="A351" s="9">
        <v>350</v>
      </c>
      <c r="B351" s="10" t="s">
        <v>759</v>
      </c>
      <c r="C351" s="11" t="s">
        <v>1057</v>
      </c>
      <c r="D351" s="12" t="s">
        <v>1058</v>
      </c>
      <c r="E351" s="12" t="s">
        <v>1059</v>
      </c>
      <c r="F351" s="9">
        <v>1</v>
      </c>
      <c r="G351" s="9">
        <v>1</v>
      </c>
    </row>
    <row r="352" spans="1:7" ht="25.5">
      <c r="A352" s="4">
        <v>351</v>
      </c>
      <c r="B352" s="5" t="s">
        <v>759</v>
      </c>
      <c r="C352" s="6" t="s">
        <v>1060</v>
      </c>
      <c r="D352" s="7" t="s">
        <v>1061</v>
      </c>
      <c r="E352" s="7" t="s">
        <v>1062</v>
      </c>
      <c r="F352" s="4">
        <v>1</v>
      </c>
      <c r="G352" s="4">
        <v>1</v>
      </c>
    </row>
    <row r="353" spans="1:7" ht="25.5">
      <c r="A353" s="9">
        <v>352</v>
      </c>
      <c r="B353" s="10" t="s">
        <v>759</v>
      </c>
      <c r="C353" s="11" t="s">
        <v>1063</v>
      </c>
      <c r="D353" s="12" t="s">
        <v>1064</v>
      </c>
      <c r="E353" s="12" t="s">
        <v>1065</v>
      </c>
      <c r="F353" s="9">
        <v>1</v>
      </c>
      <c r="G353" s="9">
        <v>1</v>
      </c>
    </row>
    <row r="354" spans="1:7" ht="25.5">
      <c r="A354" s="4">
        <v>353</v>
      </c>
      <c r="B354" s="5" t="s">
        <v>759</v>
      </c>
      <c r="C354" s="6" t="s">
        <v>1066</v>
      </c>
      <c r="D354" s="7" t="s">
        <v>1067</v>
      </c>
      <c r="E354" s="7" t="s">
        <v>1068</v>
      </c>
      <c r="F354" s="4">
        <v>1</v>
      </c>
      <c r="G354" s="4">
        <v>1</v>
      </c>
    </row>
    <row r="355" spans="1:7" ht="25.5">
      <c r="A355" s="9">
        <v>354</v>
      </c>
      <c r="B355" s="10" t="s">
        <v>759</v>
      </c>
      <c r="C355" s="11" t="s">
        <v>1069</v>
      </c>
      <c r="D355" s="12" t="s">
        <v>1070</v>
      </c>
      <c r="E355" s="12" t="s">
        <v>1071</v>
      </c>
      <c r="F355" s="9">
        <v>1</v>
      </c>
      <c r="G355" s="9">
        <v>1</v>
      </c>
    </row>
    <row r="356" spans="1:7" ht="25.5">
      <c r="A356" s="4">
        <v>355</v>
      </c>
      <c r="B356" s="5" t="s">
        <v>759</v>
      </c>
      <c r="C356" s="6" t="s">
        <v>1072</v>
      </c>
      <c r="D356" s="7" t="s">
        <v>1073</v>
      </c>
      <c r="E356" s="7" t="s">
        <v>1074</v>
      </c>
      <c r="F356" s="4">
        <v>1</v>
      </c>
      <c r="G356" s="4">
        <v>1</v>
      </c>
    </row>
    <row r="357" spans="1:7" ht="25.5">
      <c r="A357" s="9">
        <v>356</v>
      </c>
      <c r="B357" s="10" t="s">
        <v>759</v>
      </c>
      <c r="C357" s="11" t="s">
        <v>1075</v>
      </c>
      <c r="D357" s="12" t="s">
        <v>1076</v>
      </c>
      <c r="E357" s="12" t="s">
        <v>1077</v>
      </c>
      <c r="F357" s="9">
        <v>1</v>
      </c>
      <c r="G357" s="9">
        <v>1</v>
      </c>
    </row>
    <row r="358" spans="1:7" ht="25.5">
      <c r="A358" s="4">
        <v>357</v>
      </c>
      <c r="B358" s="5" t="s">
        <v>759</v>
      </c>
      <c r="C358" s="6" t="s">
        <v>1078</v>
      </c>
      <c r="D358" s="7" t="s">
        <v>1079</v>
      </c>
      <c r="E358" s="7" t="s">
        <v>1080</v>
      </c>
      <c r="F358" s="4">
        <v>1</v>
      </c>
      <c r="G358" s="4">
        <v>1</v>
      </c>
    </row>
    <row r="359" spans="1:7" ht="25.5">
      <c r="A359" s="9">
        <v>358</v>
      </c>
      <c r="B359" s="10" t="s">
        <v>759</v>
      </c>
      <c r="C359" s="11" t="s">
        <v>1081</v>
      </c>
      <c r="D359" s="12" t="s">
        <v>1082</v>
      </c>
      <c r="E359" s="12" t="s">
        <v>1083</v>
      </c>
      <c r="F359" s="9">
        <v>1</v>
      </c>
      <c r="G359" s="9">
        <v>1</v>
      </c>
    </row>
    <row r="360" spans="1:7" ht="25.5">
      <c r="A360" s="4">
        <v>359</v>
      </c>
      <c r="B360" s="5" t="s">
        <v>759</v>
      </c>
      <c r="C360" s="6" t="s">
        <v>1084</v>
      </c>
      <c r="D360" s="7" t="s">
        <v>1085</v>
      </c>
      <c r="E360" s="7" t="s">
        <v>1086</v>
      </c>
      <c r="F360" s="4">
        <v>1</v>
      </c>
      <c r="G360" s="4">
        <v>1</v>
      </c>
    </row>
    <row r="361" spans="1:7" ht="25.5">
      <c r="A361" s="9">
        <v>360</v>
      </c>
      <c r="B361" s="10" t="s">
        <v>759</v>
      </c>
      <c r="C361" s="11" t="s">
        <v>1087</v>
      </c>
      <c r="D361" s="10" t="s">
        <v>1088</v>
      </c>
      <c r="E361" s="10" t="s">
        <v>1089</v>
      </c>
      <c r="F361" s="9">
        <v>1</v>
      </c>
      <c r="G361" s="9">
        <v>1</v>
      </c>
    </row>
    <row r="362" spans="1:7" ht="25.5">
      <c r="A362" s="4">
        <v>361</v>
      </c>
      <c r="B362" s="5" t="s">
        <v>759</v>
      </c>
      <c r="C362" s="6" t="s">
        <v>1090</v>
      </c>
      <c r="D362" s="5" t="s">
        <v>1091</v>
      </c>
      <c r="E362" s="5" t="s">
        <v>1092</v>
      </c>
      <c r="F362" s="4">
        <v>1</v>
      </c>
      <c r="G362" s="4">
        <v>1</v>
      </c>
    </row>
    <row r="363" spans="1:7" ht="25.5">
      <c r="A363" s="9">
        <v>362</v>
      </c>
      <c r="B363" s="10" t="s">
        <v>759</v>
      </c>
      <c r="C363" s="11" t="s">
        <v>1093</v>
      </c>
      <c r="D363" s="10" t="s">
        <v>1094</v>
      </c>
      <c r="E363" s="10" t="s">
        <v>1095</v>
      </c>
      <c r="F363" s="9">
        <v>1</v>
      </c>
      <c r="G363" s="9">
        <v>1</v>
      </c>
    </row>
    <row r="364" spans="1:7" ht="25.5">
      <c r="A364" s="4">
        <v>363</v>
      </c>
      <c r="B364" s="5" t="s">
        <v>759</v>
      </c>
      <c r="C364" s="6" t="s">
        <v>1096</v>
      </c>
      <c r="D364" s="5" t="s">
        <v>1097</v>
      </c>
      <c r="E364" s="5" t="s">
        <v>1098</v>
      </c>
      <c r="F364" s="4">
        <v>1</v>
      </c>
      <c r="G364" s="4">
        <v>1</v>
      </c>
    </row>
    <row r="365" spans="1:7" ht="25.5">
      <c r="A365" s="9">
        <v>364</v>
      </c>
      <c r="B365" s="10" t="s">
        <v>759</v>
      </c>
      <c r="C365" s="11" t="s">
        <v>1099</v>
      </c>
      <c r="D365" s="10" t="s">
        <v>1100</v>
      </c>
      <c r="E365" s="10" t="s">
        <v>1101</v>
      </c>
      <c r="F365" s="9">
        <v>1</v>
      </c>
      <c r="G365" s="9">
        <v>1</v>
      </c>
    </row>
    <row r="366" spans="1:7" ht="25.5">
      <c r="A366" s="4">
        <v>365</v>
      </c>
      <c r="B366" s="5" t="s">
        <v>759</v>
      </c>
      <c r="C366" s="6" t="s">
        <v>1102</v>
      </c>
      <c r="D366" s="5" t="s">
        <v>1103</v>
      </c>
      <c r="E366" s="5" t="s">
        <v>1104</v>
      </c>
      <c r="F366" s="4">
        <v>1</v>
      </c>
      <c r="G366" s="4">
        <v>1</v>
      </c>
    </row>
    <row r="367" spans="1:7" ht="25.5">
      <c r="A367" s="9">
        <v>366</v>
      </c>
      <c r="B367" s="10" t="s">
        <v>759</v>
      </c>
      <c r="C367" s="11" t="s">
        <v>1105</v>
      </c>
      <c r="D367" s="10" t="s">
        <v>1106</v>
      </c>
      <c r="E367" s="10" t="s">
        <v>1107</v>
      </c>
      <c r="F367" s="9">
        <v>1</v>
      </c>
      <c r="G367" s="9">
        <v>1</v>
      </c>
    </row>
    <row r="368" spans="1:7" ht="25.5">
      <c r="A368" s="4">
        <v>367</v>
      </c>
      <c r="B368" s="5" t="s">
        <v>759</v>
      </c>
      <c r="C368" s="6" t="s">
        <v>1108</v>
      </c>
      <c r="D368" s="5" t="s">
        <v>1109</v>
      </c>
      <c r="E368" s="5" t="s">
        <v>1110</v>
      </c>
      <c r="F368" s="4">
        <v>1</v>
      </c>
      <c r="G368" s="4">
        <v>1</v>
      </c>
    </row>
    <row r="369" spans="1:7" ht="25.5">
      <c r="A369" s="9">
        <v>368</v>
      </c>
      <c r="B369" s="10" t="s">
        <v>759</v>
      </c>
      <c r="C369" s="11" t="s">
        <v>1111</v>
      </c>
      <c r="D369" s="10" t="s">
        <v>1112</v>
      </c>
      <c r="E369" s="10" t="s">
        <v>1113</v>
      </c>
      <c r="F369" s="9">
        <v>1</v>
      </c>
      <c r="G369" s="9">
        <v>1</v>
      </c>
    </row>
    <row r="370" spans="1:7" ht="25.5">
      <c r="A370" s="4">
        <v>369</v>
      </c>
      <c r="B370" s="5" t="s">
        <v>759</v>
      </c>
      <c r="C370" s="6" t="s">
        <v>1114</v>
      </c>
      <c r="D370" s="5" t="s">
        <v>1115</v>
      </c>
      <c r="E370" s="5" t="s">
        <v>1116</v>
      </c>
      <c r="F370" s="4">
        <v>1</v>
      </c>
      <c r="G370" s="4">
        <v>1</v>
      </c>
    </row>
    <row r="371" spans="1:7" ht="25.5">
      <c r="A371" s="9">
        <v>370</v>
      </c>
      <c r="B371" s="10" t="s">
        <v>759</v>
      </c>
      <c r="C371" s="11" t="s">
        <v>1117</v>
      </c>
      <c r="D371" s="10" t="s">
        <v>1118</v>
      </c>
      <c r="E371" s="10" t="s">
        <v>1119</v>
      </c>
      <c r="F371" s="9">
        <v>1</v>
      </c>
      <c r="G371" s="9">
        <v>1</v>
      </c>
    </row>
    <row r="372" spans="1:7" ht="25.5">
      <c r="A372" s="4">
        <v>371</v>
      </c>
      <c r="B372" s="5" t="s">
        <v>759</v>
      </c>
      <c r="C372" s="6" t="s">
        <v>1120</v>
      </c>
      <c r="D372" s="5" t="s">
        <v>1121</v>
      </c>
      <c r="E372" s="5" t="s">
        <v>1122</v>
      </c>
      <c r="F372" s="4">
        <v>1</v>
      </c>
      <c r="G372" s="4">
        <v>1</v>
      </c>
    </row>
    <row r="373" spans="1:7" ht="25.5">
      <c r="A373" s="9">
        <v>372</v>
      </c>
      <c r="B373" s="10" t="s">
        <v>759</v>
      </c>
      <c r="C373" s="11" t="s">
        <v>1123</v>
      </c>
      <c r="D373" s="10" t="s">
        <v>1124</v>
      </c>
      <c r="E373" s="10" t="s">
        <v>1125</v>
      </c>
      <c r="F373" s="9">
        <v>1</v>
      </c>
      <c r="G373" s="9">
        <v>1</v>
      </c>
    </row>
    <row r="374" spans="1:7" ht="25.5">
      <c r="A374" s="4">
        <v>373</v>
      </c>
      <c r="B374" s="5" t="s">
        <v>759</v>
      </c>
      <c r="C374" s="6" t="s">
        <v>1126</v>
      </c>
      <c r="D374" s="5" t="s">
        <v>1127</v>
      </c>
      <c r="E374" s="5" t="s">
        <v>1128</v>
      </c>
      <c r="F374" s="4">
        <v>1</v>
      </c>
      <c r="G374" s="4">
        <v>1</v>
      </c>
    </row>
    <row r="375" spans="1:7" ht="25.5">
      <c r="A375" s="9">
        <v>374</v>
      </c>
      <c r="B375" s="10" t="s">
        <v>759</v>
      </c>
      <c r="C375" s="11" t="s">
        <v>1129</v>
      </c>
      <c r="D375" s="10" t="s">
        <v>1130</v>
      </c>
      <c r="E375" s="10" t="s">
        <v>1131</v>
      </c>
      <c r="F375" s="9">
        <v>1</v>
      </c>
      <c r="G375" s="9">
        <v>1</v>
      </c>
    </row>
    <row r="376" spans="1:7" ht="25.5">
      <c r="A376" s="4">
        <v>375</v>
      </c>
      <c r="B376" s="5" t="s">
        <v>759</v>
      </c>
      <c r="C376" s="6" t="s">
        <v>1132</v>
      </c>
      <c r="D376" s="5" t="s">
        <v>1133</v>
      </c>
      <c r="E376" s="5" t="s">
        <v>1134</v>
      </c>
      <c r="F376" s="4">
        <v>1</v>
      </c>
      <c r="G376" s="4">
        <v>1</v>
      </c>
    </row>
    <row r="377" spans="1:7" ht="25.5">
      <c r="A377" s="9">
        <v>376</v>
      </c>
      <c r="B377" s="10" t="s">
        <v>759</v>
      </c>
      <c r="C377" s="11" t="s">
        <v>1135</v>
      </c>
      <c r="D377" s="10" t="s">
        <v>1136</v>
      </c>
      <c r="E377" s="10" t="s">
        <v>1137</v>
      </c>
      <c r="F377" s="9">
        <v>1</v>
      </c>
      <c r="G377" s="9">
        <v>1</v>
      </c>
    </row>
    <row r="378" spans="1:7" ht="25.5">
      <c r="A378" s="4">
        <v>377</v>
      </c>
      <c r="B378" s="5" t="s">
        <v>759</v>
      </c>
      <c r="C378" s="6" t="s">
        <v>1138</v>
      </c>
      <c r="D378" s="5" t="s">
        <v>1139</v>
      </c>
      <c r="E378" s="5" t="s">
        <v>1140</v>
      </c>
      <c r="F378" s="4">
        <v>1</v>
      </c>
      <c r="G378" s="4">
        <v>1</v>
      </c>
    </row>
    <row r="379" spans="1:7" ht="25.5">
      <c r="A379" s="9">
        <v>378</v>
      </c>
      <c r="B379" s="10" t="s">
        <v>759</v>
      </c>
      <c r="C379" s="11" t="s">
        <v>1141</v>
      </c>
      <c r="D379" s="10" t="s">
        <v>1142</v>
      </c>
      <c r="E379" s="10" t="s">
        <v>1143</v>
      </c>
      <c r="F379" s="9">
        <v>1</v>
      </c>
      <c r="G379" s="9">
        <v>1</v>
      </c>
    </row>
    <row r="380" spans="1:7" ht="25.5">
      <c r="A380" s="4">
        <v>379</v>
      </c>
      <c r="B380" s="5" t="s">
        <v>759</v>
      </c>
      <c r="C380" s="6" t="s">
        <v>1144</v>
      </c>
      <c r="D380" s="5" t="s">
        <v>1145</v>
      </c>
      <c r="E380" s="5" t="s">
        <v>1146</v>
      </c>
      <c r="F380" s="4">
        <v>1</v>
      </c>
      <c r="G380" s="4">
        <v>1</v>
      </c>
    </row>
    <row r="381" spans="1:7" ht="25.5">
      <c r="A381" s="9">
        <v>380</v>
      </c>
      <c r="B381" s="10" t="s">
        <v>759</v>
      </c>
      <c r="C381" s="11" t="s">
        <v>1147</v>
      </c>
      <c r="D381" s="10" t="s">
        <v>1148</v>
      </c>
      <c r="E381" s="10" t="s">
        <v>1149</v>
      </c>
      <c r="F381" s="9">
        <v>1</v>
      </c>
      <c r="G381" s="9">
        <v>1</v>
      </c>
    </row>
    <row r="382" spans="1:7" ht="25.5">
      <c r="A382" s="4">
        <v>381</v>
      </c>
      <c r="B382" s="5" t="s">
        <v>759</v>
      </c>
      <c r="C382" s="6" t="s">
        <v>1150</v>
      </c>
      <c r="D382" s="5" t="s">
        <v>1151</v>
      </c>
      <c r="E382" s="5" t="s">
        <v>1152</v>
      </c>
      <c r="F382" s="4">
        <v>1</v>
      </c>
      <c r="G382" s="4">
        <v>1</v>
      </c>
    </row>
    <row r="383" spans="1:7" ht="25.5">
      <c r="A383" s="9">
        <v>382</v>
      </c>
      <c r="B383" s="10" t="s">
        <v>759</v>
      </c>
      <c r="C383" s="11" t="s">
        <v>1153</v>
      </c>
      <c r="D383" s="10" t="s">
        <v>1154</v>
      </c>
      <c r="E383" s="10" t="s">
        <v>1155</v>
      </c>
      <c r="F383" s="9">
        <v>1</v>
      </c>
      <c r="G383" s="9">
        <v>1</v>
      </c>
    </row>
    <row r="384" spans="1:7" ht="25.5">
      <c r="A384" s="4">
        <v>383</v>
      </c>
      <c r="B384" s="5" t="s">
        <v>759</v>
      </c>
      <c r="C384" s="6" t="s">
        <v>1156</v>
      </c>
      <c r="D384" s="5" t="s">
        <v>1157</v>
      </c>
      <c r="E384" s="5" t="s">
        <v>1158</v>
      </c>
      <c r="F384" s="4">
        <v>1</v>
      </c>
      <c r="G384" s="4">
        <v>1</v>
      </c>
    </row>
    <row r="385" spans="1:7" ht="25.5">
      <c r="A385" s="9">
        <v>384</v>
      </c>
      <c r="B385" s="10" t="s">
        <v>759</v>
      </c>
      <c r="C385" s="11" t="s">
        <v>1159</v>
      </c>
      <c r="D385" s="10" t="s">
        <v>1160</v>
      </c>
      <c r="E385" s="10" t="s">
        <v>1161</v>
      </c>
      <c r="F385" s="9">
        <v>1</v>
      </c>
      <c r="G385" s="9">
        <v>1</v>
      </c>
    </row>
    <row r="386" spans="1:7" ht="25.5">
      <c r="A386" s="4">
        <v>385</v>
      </c>
      <c r="B386" s="5" t="s">
        <v>759</v>
      </c>
      <c r="C386" s="6" t="s">
        <v>1162</v>
      </c>
      <c r="D386" s="5" t="s">
        <v>1163</v>
      </c>
      <c r="E386" s="5" t="s">
        <v>1164</v>
      </c>
      <c r="F386" s="4">
        <v>1</v>
      </c>
      <c r="G386" s="4">
        <v>1</v>
      </c>
    </row>
    <row r="387" spans="1:7" ht="25.5">
      <c r="A387" s="9">
        <v>386</v>
      </c>
      <c r="B387" s="10" t="s">
        <v>759</v>
      </c>
      <c r="C387" s="11" t="s">
        <v>1165</v>
      </c>
      <c r="D387" s="10" t="s">
        <v>1166</v>
      </c>
      <c r="E387" s="10" t="s">
        <v>1167</v>
      </c>
      <c r="F387" s="9">
        <v>1</v>
      </c>
      <c r="G387" s="9">
        <v>1</v>
      </c>
    </row>
    <row r="388" spans="1:7" ht="25.5">
      <c r="A388" s="4">
        <v>387</v>
      </c>
      <c r="B388" s="5" t="s">
        <v>759</v>
      </c>
      <c r="C388" s="6" t="s">
        <v>1168</v>
      </c>
      <c r="D388" s="5" t="s">
        <v>1169</v>
      </c>
      <c r="E388" s="5" t="s">
        <v>1170</v>
      </c>
      <c r="F388" s="4">
        <v>1</v>
      </c>
      <c r="G388" s="4">
        <v>1</v>
      </c>
    </row>
    <row r="389" spans="1:7" ht="25.5">
      <c r="A389" s="9">
        <v>388</v>
      </c>
      <c r="B389" s="10" t="s">
        <v>759</v>
      </c>
      <c r="C389" s="11" t="s">
        <v>1171</v>
      </c>
      <c r="D389" s="10" t="s">
        <v>1172</v>
      </c>
      <c r="E389" s="10" t="s">
        <v>1173</v>
      </c>
      <c r="F389" s="9">
        <v>1</v>
      </c>
      <c r="G389" s="9">
        <v>1</v>
      </c>
    </row>
    <row r="390" spans="1:7" ht="25.5">
      <c r="A390" s="4">
        <v>389</v>
      </c>
      <c r="B390" s="5" t="s">
        <v>759</v>
      </c>
      <c r="C390" s="6" t="s">
        <v>1174</v>
      </c>
      <c r="D390" s="5" t="s">
        <v>1175</v>
      </c>
      <c r="E390" s="5" t="s">
        <v>1176</v>
      </c>
      <c r="F390" s="4">
        <v>1</v>
      </c>
      <c r="G390" s="4">
        <v>1</v>
      </c>
    </row>
    <row r="391" spans="1:7" ht="25.5">
      <c r="A391" s="9">
        <v>390</v>
      </c>
      <c r="B391" s="10" t="s">
        <v>759</v>
      </c>
      <c r="C391" s="11" t="s">
        <v>1177</v>
      </c>
      <c r="D391" s="10" t="s">
        <v>1178</v>
      </c>
      <c r="E391" s="10" t="s">
        <v>1179</v>
      </c>
      <c r="F391" s="9">
        <v>1</v>
      </c>
      <c r="G391" s="9">
        <v>1</v>
      </c>
    </row>
    <row r="392" spans="1:7" ht="25.5">
      <c r="A392" s="4">
        <v>391</v>
      </c>
      <c r="B392" s="5" t="s">
        <v>759</v>
      </c>
      <c r="C392" s="6" t="s">
        <v>1180</v>
      </c>
      <c r="D392" s="5" t="s">
        <v>1181</v>
      </c>
      <c r="E392" s="5" t="s">
        <v>1182</v>
      </c>
      <c r="F392" s="4">
        <v>1</v>
      </c>
      <c r="G392" s="4">
        <v>1</v>
      </c>
    </row>
    <row r="393" spans="1:7" ht="25.5">
      <c r="A393" s="9">
        <v>392</v>
      </c>
      <c r="B393" s="10" t="s">
        <v>759</v>
      </c>
      <c r="C393" s="11" t="s">
        <v>1183</v>
      </c>
      <c r="D393" s="10" t="s">
        <v>1184</v>
      </c>
      <c r="E393" s="10" t="s">
        <v>1185</v>
      </c>
      <c r="F393" s="9">
        <v>1</v>
      </c>
      <c r="G393" s="9">
        <v>1</v>
      </c>
    </row>
    <row r="394" spans="1:7" ht="25.5">
      <c r="A394" s="4">
        <v>393</v>
      </c>
      <c r="B394" s="5" t="s">
        <v>759</v>
      </c>
      <c r="C394" s="6" t="s">
        <v>1186</v>
      </c>
      <c r="D394" s="5" t="s">
        <v>1187</v>
      </c>
      <c r="E394" s="5" t="s">
        <v>1188</v>
      </c>
      <c r="F394" s="4">
        <v>1</v>
      </c>
      <c r="G394" s="4">
        <v>1</v>
      </c>
    </row>
    <row r="395" spans="1:7" ht="25.5">
      <c r="A395" s="9">
        <v>394</v>
      </c>
      <c r="B395" s="10" t="s">
        <v>759</v>
      </c>
      <c r="C395" s="11" t="s">
        <v>1189</v>
      </c>
      <c r="D395" s="10" t="s">
        <v>1190</v>
      </c>
      <c r="E395" s="10" t="s">
        <v>1191</v>
      </c>
      <c r="F395" s="9">
        <v>1</v>
      </c>
      <c r="G395" s="9">
        <v>1</v>
      </c>
    </row>
    <row r="396" spans="1:7" ht="25.5">
      <c r="A396" s="4">
        <v>395</v>
      </c>
      <c r="B396" s="5" t="s">
        <v>759</v>
      </c>
      <c r="C396" s="6" t="s">
        <v>1192</v>
      </c>
      <c r="D396" s="5" t="s">
        <v>1193</v>
      </c>
      <c r="E396" s="5" t="s">
        <v>1194</v>
      </c>
      <c r="F396" s="4">
        <v>1</v>
      </c>
      <c r="G396" s="4">
        <v>1</v>
      </c>
    </row>
    <row r="397" spans="1:7" ht="25.5">
      <c r="A397" s="9">
        <v>396</v>
      </c>
      <c r="B397" s="10" t="s">
        <v>759</v>
      </c>
      <c r="C397" s="11" t="s">
        <v>1195</v>
      </c>
      <c r="D397" s="10" t="s">
        <v>1196</v>
      </c>
      <c r="E397" s="10" t="s">
        <v>1197</v>
      </c>
      <c r="F397" s="9">
        <v>1</v>
      </c>
      <c r="G397" s="9">
        <v>1</v>
      </c>
    </row>
    <row r="398" spans="1:7" ht="25.5">
      <c r="A398" s="4">
        <v>397</v>
      </c>
      <c r="B398" s="5" t="s">
        <v>759</v>
      </c>
      <c r="C398" s="6" t="s">
        <v>1198</v>
      </c>
      <c r="D398" s="5" t="s">
        <v>1199</v>
      </c>
      <c r="E398" s="5" t="s">
        <v>1200</v>
      </c>
      <c r="F398" s="4">
        <v>1</v>
      </c>
      <c r="G398" s="4">
        <v>1</v>
      </c>
    </row>
    <row r="399" spans="1:7" ht="25.5">
      <c r="A399" s="9">
        <v>398</v>
      </c>
      <c r="B399" s="10" t="s">
        <v>759</v>
      </c>
      <c r="C399" s="11" t="s">
        <v>1201</v>
      </c>
      <c r="D399" s="10" t="s">
        <v>1202</v>
      </c>
      <c r="E399" s="10" t="s">
        <v>1203</v>
      </c>
      <c r="F399" s="9">
        <v>1</v>
      </c>
      <c r="G399" s="9">
        <v>1</v>
      </c>
    </row>
    <row r="400" spans="1:7" ht="25.5">
      <c r="A400" s="4">
        <v>399</v>
      </c>
      <c r="B400" s="5" t="s">
        <v>759</v>
      </c>
      <c r="C400" s="6" t="s">
        <v>1204</v>
      </c>
      <c r="D400" s="5" t="s">
        <v>1205</v>
      </c>
      <c r="E400" s="5" t="s">
        <v>1206</v>
      </c>
      <c r="F400" s="4">
        <v>1</v>
      </c>
      <c r="G400" s="4">
        <v>1</v>
      </c>
    </row>
    <row r="401" spans="1:7" ht="25.5">
      <c r="A401" s="9">
        <v>400</v>
      </c>
      <c r="B401" s="10" t="s">
        <v>759</v>
      </c>
      <c r="C401" s="11" t="s">
        <v>1207</v>
      </c>
      <c r="D401" s="10" t="s">
        <v>1208</v>
      </c>
      <c r="E401" s="10" t="s">
        <v>1209</v>
      </c>
      <c r="F401" s="9">
        <v>1</v>
      </c>
      <c r="G401" s="9">
        <v>1</v>
      </c>
    </row>
    <row r="402" spans="1:7" ht="25.5">
      <c r="A402" s="4">
        <v>401</v>
      </c>
      <c r="B402" s="5" t="s">
        <v>759</v>
      </c>
      <c r="C402" s="6" t="s">
        <v>1210</v>
      </c>
      <c r="D402" s="5" t="s">
        <v>1211</v>
      </c>
      <c r="E402" s="5" t="s">
        <v>1212</v>
      </c>
      <c r="F402" s="4">
        <v>1</v>
      </c>
      <c r="G402" s="4">
        <v>1</v>
      </c>
    </row>
    <row r="403" spans="1:7" ht="25.5">
      <c r="A403" s="9">
        <v>402</v>
      </c>
      <c r="B403" s="10" t="s">
        <v>759</v>
      </c>
      <c r="C403" s="11" t="s">
        <v>1213</v>
      </c>
      <c r="D403" s="10" t="s">
        <v>1214</v>
      </c>
      <c r="E403" s="10" t="s">
        <v>1215</v>
      </c>
      <c r="F403" s="9">
        <v>1</v>
      </c>
      <c r="G403" s="9">
        <v>1</v>
      </c>
    </row>
    <row r="404" spans="1:7" ht="25.5">
      <c r="A404" s="4">
        <v>403</v>
      </c>
      <c r="B404" s="5" t="s">
        <v>759</v>
      </c>
      <c r="C404" s="6" t="s">
        <v>1216</v>
      </c>
      <c r="D404" s="5" t="s">
        <v>1217</v>
      </c>
      <c r="E404" s="5" t="s">
        <v>1218</v>
      </c>
      <c r="F404" s="4">
        <v>1</v>
      </c>
      <c r="G404" s="4">
        <v>1</v>
      </c>
    </row>
    <row r="405" spans="1:7" ht="25.5">
      <c r="A405" s="9">
        <v>404</v>
      </c>
      <c r="B405" s="10" t="s">
        <v>759</v>
      </c>
      <c r="C405" s="11" t="s">
        <v>1219</v>
      </c>
      <c r="D405" s="10" t="s">
        <v>1220</v>
      </c>
      <c r="E405" s="10" t="s">
        <v>1221</v>
      </c>
      <c r="F405" s="9">
        <v>1</v>
      </c>
      <c r="G405" s="9">
        <v>1</v>
      </c>
    </row>
    <row r="406" spans="1:7" ht="25.5">
      <c r="A406" s="4">
        <v>405</v>
      </c>
      <c r="B406" s="5" t="s">
        <v>759</v>
      </c>
      <c r="C406" s="6" t="s">
        <v>1222</v>
      </c>
      <c r="D406" s="5" t="s">
        <v>1223</v>
      </c>
      <c r="E406" s="5" t="s">
        <v>1224</v>
      </c>
      <c r="F406" s="4">
        <v>1</v>
      </c>
      <c r="G406" s="4">
        <v>1</v>
      </c>
    </row>
    <row r="407" spans="1:7" ht="25.5">
      <c r="A407" s="9">
        <v>406</v>
      </c>
      <c r="B407" s="10" t="s">
        <v>759</v>
      </c>
      <c r="C407" s="11" t="s">
        <v>1225</v>
      </c>
      <c r="D407" s="10" t="s">
        <v>1226</v>
      </c>
      <c r="E407" s="10" t="s">
        <v>1227</v>
      </c>
      <c r="F407" s="9">
        <v>1</v>
      </c>
      <c r="G407" s="9">
        <v>1</v>
      </c>
    </row>
    <row r="408" spans="1:7" ht="25.5">
      <c r="A408" s="4">
        <v>407</v>
      </c>
      <c r="B408" s="5" t="s">
        <v>759</v>
      </c>
      <c r="C408" s="6" t="s">
        <v>1228</v>
      </c>
      <c r="D408" s="5" t="s">
        <v>1229</v>
      </c>
      <c r="E408" s="5" t="s">
        <v>1230</v>
      </c>
      <c r="F408" s="4">
        <v>1</v>
      </c>
      <c r="G408" s="4">
        <v>1</v>
      </c>
    </row>
    <row r="409" spans="1:7" ht="25.5">
      <c r="A409" s="9">
        <v>408</v>
      </c>
      <c r="B409" s="10" t="s">
        <v>759</v>
      </c>
      <c r="C409" s="11" t="s">
        <v>1231</v>
      </c>
      <c r="D409" s="10" t="s">
        <v>1232</v>
      </c>
      <c r="E409" s="10" t="s">
        <v>1233</v>
      </c>
      <c r="F409" s="9">
        <v>1</v>
      </c>
      <c r="G409" s="9">
        <v>1</v>
      </c>
    </row>
    <row r="410" spans="1:7" ht="25.5">
      <c r="A410" s="4">
        <v>409</v>
      </c>
      <c r="B410" s="5" t="s">
        <v>759</v>
      </c>
      <c r="C410" s="6" t="s">
        <v>1234</v>
      </c>
      <c r="D410" s="5" t="s">
        <v>1235</v>
      </c>
      <c r="E410" s="5" t="s">
        <v>1236</v>
      </c>
      <c r="F410" s="4">
        <v>1</v>
      </c>
      <c r="G410" s="4">
        <v>1</v>
      </c>
    </row>
    <row r="411" spans="1:7" ht="25.5">
      <c r="A411" s="9">
        <v>410</v>
      </c>
      <c r="B411" s="10" t="s">
        <v>759</v>
      </c>
      <c r="C411" s="11" t="s">
        <v>1237</v>
      </c>
      <c r="D411" s="10" t="s">
        <v>1238</v>
      </c>
      <c r="E411" s="10" t="s">
        <v>1239</v>
      </c>
      <c r="F411" s="9">
        <v>1</v>
      </c>
      <c r="G411" s="9">
        <v>1</v>
      </c>
    </row>
    <row r="412" spans="1:7" ht="25.5">
      <c r="A412" s="4">
        <v>411</v>
      </c>
      <c r="B412" s="5" t="s">
        <v>759</v>
      </c>
      <c r="C412" s="6" t="s">
        <v>1240</v>
      </c>
      <c r="D412" s="5" t="s">
        <v>1241</v>
      </c>
      <c r="E412" s="5" t="s">
        <v>1242</v>
      </c>
      <c r="F412" s="4">
        <v>1</v>
      </c>
      <c r="G412" s="4">
        <v>1</v>
      </c>
    </row>
    <row r="413" spans="1:7" ht="25.5">
      <c r="A413" s="9">
        <v>412</v>
      </c>
      <c r="B413" s="10" t="s">
        <v>759</v>
      </c>
      <c r="C413" s="11" t="s">
        <v>1243</v>
      </c>
      <c r="D413" s="10" t="s">
        <v>1244</v>
      </c>
      <c r="E413" s="10" t="s">
        <v>1245</v>
      </c>
      <c r="F413" s="9">
        <v>1</v>
      </c>
      <c r="G413" s="9">
        <v>1</v>
      </c>
    </row>
    <row r="414" spans="1:7" ht="25.5">
      <c r="A414" s="4">
        <v>413</v>
      </c>
      <c r="B414" s="5" t="s">
        <v>759</v>
      </c>
      <c r="C414" s="6" t="s">
        <v>1246</v>
      </c>
      <c r="D414" s="5" t="s">
        <v>1247</v>
      </c>
      <c r="E414" s="5" t="s">
        <v>1248</v>
      </c>
      <c r="F414" s="4">
        <v>1</v>
      </c>
      <c r="G414" s="4">
        <v>1</v>
      </c>
    </row>
    <row r="415" spans="1:7" ht="25.5">
      <c r="A415" s="9">
        <v>414</v>
      </c>
      <c r="B415" s="10" t="s">
        <v>759</v>
      </c>
      <c r="C415" s="11" t="s">
        <v>1249</v>
      </c>
      <c r="D415" s="10" t="s">
        <v>1250</v>
      </c>
      <c r="E415" s="10" t="s">
        <v>1251</v>
      </c>
      <c r="F415" s="9">
        <v>1</v>
      </c>
      <c r="G415" s="9">
        <v>1</v>
      </c>
    </row>
    <row r="416" spans="1:7" ht="25.5">
      <c r="A416" s="4">
        <v>415</v>
      </c>
      <c r="B416" s="5" t="s">
        <v>759</v>
      </c>
      <c r="C416" s="6" t="s">
        <v>1252</v>
      </c>
      <c r="D416" s="5" t="s">
        <v>1253</v>
      </c>
      <c r="E416" s="5" t="s">
        <v>1254</v>
      </c>
      <c r="F416" s="4">
        <v>1</v>
      </c>
      <c r="G416" s="4">
        <v>1</v>
      </c>
    </row>
    <row r="417" spans="1:7" ht="25.5">
      <c r="A417" s="9">
        <v>416</v>
      </c>
      <c r="B417" s="10" t="s">
        <v>759</v>
      </c>
      <c r="C417" s="11" t="s">
        <v>1255</v>
      </c>
      <c r="D417" s="10" t="s">
        <v>1256</v>
      </c>
      <c r="E417" s="10" t="s">
        <v>1257</v>
      </c>
      <c r="F417" s="9">
        <v>1</v>
      </c>
      <c r="G417" s="9">
        <v>1</v>
      </c>
    </row>
    <row r="418" spans="1:7" ht="25.5">
      <c r="A418" s="4">
        <v>417</v>
      </c>
      <c r="B418" s="5" t="s">
        <v>759</v>
      </c>
      <c r="C418" s="6" t="s">
        <v>1258</v>
      </c>
      <c r="D418" s="5" t="s">
        <v>1259</v>
      </c>
      <c r="E418" s="5" t="s">
        <v>1260</v>
      </c>
      <c r="F418" s="4">
        <v>1</v>
      </c>
      <c r="G418" s="4">
        <v>1</v>
      </c>
    </row>
    <row r="419" spans="1:7" ht="25.5">
      <c r="A419" s="9">
        <v>418</v>
      </c>
      <c r="B419" s="10" t="s">
        <v>759</v>
      </c>
      <c r="C419" s="11" t="s">
        <v>1261</v>
      </c>
      <c r="D419" s="10" t="s">
        <v>1262</v>
      </c>
      <c r="E419" s="10" t="s">
        <v>1263</v>
      </c>
      <c r="F419" s="9">
        <v>1</v>
      </c>
      <c r="G419" s="9">
        <v>1</v>
      </c>
    </row>
    <row r="420" spans="1:7" ht="25.5">
      <c r="A420" s="4">
        <v>419</v>
      </c>
      <c r="B420" s="5" t="s">
        <v>759</v>
      </c>
      <c r="C420" s="6" t="s">
        <v>1264</v>
      </c>
      <c r="D420" s="5" t="s">
        <v>1265</v>
      </c>
      <c r="E420" s="5" t="s">
        <v>1266</v>
      </c>
      <c r="F420" s="4">
        <v>1</v>
      </c>
      <c r="G420" s="4">
        <v>1</v>
      </c>
    </row>
    <row r="421" spans="1:7" ht="25.5">
      <c r="A421" s="9">
        <v>420</v>
      </c>
      <c r="B421" s="10" t="s">
        <v>759</v>
      </c>
      <c r="C421" s="11" t="s">
        <v>1267</v>
      </c>
      <c r="D421" s="10" t="s">
        <v>1268</v>
      </c>
      <c r="E421" s="10" t="s">
        <v>1269</v>
      </c>
      <c r="F421" s="9">
        <v>1</v>
      </c>
      <c r="G421" s="9">
        <v>1</v>
      </c>
    </row>
    <row r="422" spans="1:7" ht="25.5">
      <c r="A422" s="4">
        <v>421</v>
      </c>
      <c r="B422" s="5" t="s">
        <v>759</v>
      </c>
      <c r="C422" s="6" t="s">
        <v>1270</v>
      </c>
      <c r="D422" s="5" t="s">
        <v>1271</v>
      </c>
      <c r="E422" s="5" t="s">
        <v>1272</v>
      </c>
      <c r="F422" s="4">
        <v>1</v>
      </c>
      <c r="G422" s="4">
        <v>1</v>
      </c>
    </row>
    <row r="423" spans="1:7" ht="25.5">
      <c r="A423" s="9">
        <v>422</v>
      </c>
      <c r="B423" s="10" t="s">
        <v>759</v>
      </c>
      <c r="C423" s="11" t="s">
        <v>1273</v>
      </c>
      <c r="D423" s="10" t="s">
        <v>1274</v>
      </c>
      <c r="E423" s="10" t="s">
        <v>1275</v>
      </c>
      <c r="F423" s="9">
        <v>1</v>
      </c>
      <c r="G423" s="9">
        <v>1</v>
      </c>
    </row>
    <row r="424" spans="1:7" ht="25.5">
      <c r="A424" s="4">
        <v>423</v>
      </c>
      <c r="B424" s="5" t="s">
        <v>759</v>
      </c>
      <c r="C424" s="6" t="s">
        <v>1276</v>
      </c>
      <c r="D424" s="5" t="s">
        <v>1277</v>
      </c>
      <c r="E424" s="5" t="s">
        <v>1278</v>
      </c>
      <c r="F424" s="4">
        <v>1</v>
      </c>
      <c r="G424" s="4">
        <v>1</v>
      </c>
    </row>
    <row r="425" spans="1:7" ht="25.5">
      <c r="A425" s="9">
        <v>424</v>
      </c>
      <c r="B425" s="10" t="s">
        <v>759</v>
      </c>
      <c r="C425" s="11" t="s">
        <v>1279</v>
      </c>
      <c r="D425" s="10" t="s">
        <v>1280</v>
      </c>
      <c r="E425" s="10" t="s">
        <v>1281</v>
      </c>
      <c r="F425" s="9">
        <v>1</v>
      </c>
      <c r="G425" s="9">
        <v>1</v>
      </c>
    </row>
    <row r="426" spans="1:7" ht="25.5">
      <c r="A426" s="4">
        <v>425</v>
      </c>
      <c r="B426" s="5" t="s">
        <v>759</v>
      </c>
      <c r="C426" s="6" t="s">
        <v>1282</v>
      </c>
      <c r="D426" s="5" t="s">
        <v>1283</v>
      </c>
      <c r="E426" s="5" t="s">
        <v>1284</v>
      </c>
      <c r="F426" s="4">
        <v>1</v>
      </c>
      <c r="G426" s="4">
        <v>1</v>
      </c>
    </row>
    <row r="427" spans="1:7" ht="25.5">
      <c r="A427" s="9">
        <v>426</v>
      </c>
      <c r="B427" s="10" t="s">
        <v>759</v>
      </c>
      <c r="C427" s="11" t="s">
        <v>1285</v>
      </c>
      <c r="D427" s="10" t="s">
        <v>1286</v>
      </c>
      <c r="E427" s="10" t="s">
        <v>1287</v>
      </c>
      <c r="F427" s="9">
        <v>1</v>
      </c>
      <c r="G427" s="9">
        <v>1</v>
      </c>
    </row>
    <row r="428" spans="1:7" ht="25.5">
      <c r="A428" s="4">
        <v>427</v>
      </c>
      <c r="B428" s="5" t="s">
        <v>759</v>
      </c>
      <c r="C428" s="6" t="s">
        <v>1288</v>
      </c>
      <c r="D428" s="5" t="s">
        <v>1289</v>
      </c>
      <c r="E428" s="5" t="s">
        <v>1290</v>
      </c>
      <c r="F428" s="4">
        <v>1</v>
      </c>
      <c r="G428" s="4">
        <v>1</v>
      </c>
    </row>
    <row r="429" spans="1:7" ht="25.5">
      <c r="A429" s="9">
        <v>428</v>
      </c>
      <c r="B429" s="10" t="s">
        <v>759</v>
      </c>
      <c r="C429" s="11" t="s">
        <v>1291</v>
      </c>
      <c r="D429" s="10" t="s">
        <v>1292</v>
      </c>
      <c r="E429" s="10" t="s">
        <v>1293</v>
      </c>
      <c r="F429" s="9">
        <v>1</v>
      </c>
      <c r="G429" s="9">
        <v>1</v>
      </c>
    </row>
    <row r="430" spans="1:7" ht="25.5">
      <c r="A430" s="4">
        <v>429</v>
      </c>
      <c r="B430" s="5" t="s">
        <v>759</v>
      </c>
      <c r="C430" s="6" t="s">
        <v>1294</v>
      </c>
      <c r="D430" s="5" t="s">
        <v>1295</v>
      </c>
      <c r="E430" s="5" t="s">
        <v>1296</v>
      </c>
      <c r="F430" s="4">
        <v>1</v>
      </c>
      <c r="G430" s="4">
        <v>1</v>
      </c>
    </row>
    <row r="431" spans="1:7" ht="25.5">
      <c r="A431" s="9">
        <v>430</v>
      </c>
      <c r="B431" s="10" t="s">
        <v>759</v>
      </c>
      <c r="C431" s="11" t="s">
        <v>1297</v>
      </c>
      <c r="D431" s="10" t="s">
        <v>1298</v>
      </c>
      <c r="E431" s="10" t="s">
        <v>1299</v>
      </c>
      <c r="F431" s="9">
        <v>1</v>
      </c>
      <c r="G431" s="9">
        <v>1</v>
      </c>
    </row>
    <row r="432" spans="1:7" ht="25.5">
      <c r="A432" s="4">
        <v>431</v>
      </c>
      <c r="B432" s="5" t="s">
        <v>759</v>
      </c>
      <c r="C432" s="6" t="s">
        <v>1300</v>
      </c>
      <c r="D432" s="5" t="s">
        <v>1301</v>
      </c>
      <c r="E432" s="5" t="s">
        <v>1302</v>
      </c>
      <c r="F432" s="4">
        <v>1</v>
      </c>
      <c r="G432" s="4">
        <v>1</v>
      </c>
    </row>
    <row r="433" spans="1:7" ht="25.5">
      <c r="A433" s="9">
        <v>432</v>
      </c>
      <c r="B433" s="10" t="s">
        <v>759</v>
      </c>
      <c r="C433" s="11" t="s">
        <v>1303</v>
      </c>
      <c r="D433" s="10" t="s">
        <v>1304</v>
      </c>
      <c r="E433" s="10" t="s">
        <v>1305</v>
      </c>
      <c r="F433" s="9">
        <v>1</v>
      </c>
      <c r="G433" s="9">
        <v>1</v>
      </c>
    </row>
    <row r="434" spans="1:7" ht="25.5">
      <c r="A434" s="4">
        <v>433</v>
      </c>
      <c r="B434" s="5" t="s">
        <v>759</v>
      </c>
      <c r="C434" s="6" t="s">
        <v>1306</v>
      </c>
      <c r="D434" s="5" t="s">
        <v>1307</v>
      </c>
      <c r="E434" s="5" t="s">
        <v>1308</v>
      </c>
      <c r="F434" s="4">
        <v>1</v>
      </c>
      <c r="G434" s="4">
        <v>1</v>
      </c>
    </row>
    <row r="435" spans="1:7" ht="25.5">
      <c r="A435" s="9">
        <v>434</v>
      </c>
      <c r="B435" s="10" t="s">
        <v>759</v>
      </c>
      <c r="C435" s="11" t="s">
        <v>1309</v>
      </c>
      <c r="D435" s="10" t="s">
        <v>1310</v>
      </c>
      <c r="E435" s="10" t="s">
        <v>1311</v>
      </c>
      <c r="F435" s="9">
        <v>1</v>
      </c>
      <c r="G435" s="9">
        <v>1</v>
      </c>
    </row>
    <row r="436" spans="1:7" ht="25.5">
      <c r="A436" s="4">
        <v>435</v>
      </c>
      <c r="B436" s="5" t="s">
        <v>759</v>
      </c>
      <c r="C436" s="6" t="s">
        <v>1312</v>
      </c>
      <c r="D436" s="5" t="s">
        <v>1313</v>
      </c>
      <c r="E436" s="5" t="s">
        <v>1314</v>
      </c>
      <c r="F436" s="4">
        <v>1</v>
      </c>
      <c r="G436" s="4">
        <v>1</v>
      </c>
    </row>
    <row r="437" spans="1:7" ht="25.5">
      <c r="A437" s="9">
        <v>436</v>
      </c>
      <c r="B437" s="10" t="s">
        <v>759</v>
      </c>
      <c r="C437" s="11" t="s">
        <v>1315</v>
      </c>
      <c r="D437" s="10" t="s">
        <v>1316</v>
      </c>
      <c r="E437" s="10" t="s">
        <v>1317</v>
      </c>
      <c r="F437" s="9">
        <v>1</v>
      </c>
      <c r="G437" s="9">
        <v>1</v>
      </c>
    </row>
    <row r="438" spans="1:7" ht="25.5">
      <c r="A438" s="4">
        <v>437</v>
      </c>
      <c r="B438" s="5" t="s">
        <v>759</v>
      </c>
      <c r="C438" s="6" t="s">
        <v>1318</v>
      </c>
      <c r="D438" s="5" t="s">
        <v>1319</v>
      </c>
      <c r="E438" s="5" t="s">
        <v>1320</v>
      </c>
      <c r="F438" s="4">
        <v>1</v>
      </c>
      <c r="G438" s="4">
        <v>1</v>
      </c>
    </row>
    <row r="439" spans="1:7" ht="25.5">
      <c r="A439" s="9">
        <v>438</v>
      </c>
      <c r="B439" s="10" t="s">
        <v>759</v>
      </c>
      <c r="C439" s="11" t="s">
        <v>1321</v>
      </c>
      <c r="D439" s="10" t="s">
        <v>1322</v>
      </c>
      <c r="E439" s="10" t="s">
        <v>1323</v>
      </c>
      <c r="F439" s="9">
        <v>1</v>
      </c>
      <c r="G439" s="9">
        <v>1</v>
      </c>
    </row>
    <row r="440" spans="1:7" ht="25.5">
      <c r="A440" s="4">
        <v>439</v>
      </c>
      <c r="B440" s="5" t="s">
        <v>759</v>
      </c>
      <c r="C440" s="6" t="s">
        <v>1324</v>
      </c>
      <c r="D440" s="5" t="s">
        <v>1325</v>
      </c>
      <c r="E440" s="5" t="s">
        <v>1326</v>
      </c>
      <c r="F440" s="4">
        <v>1</v>
      </c>
      <c r="G440" s="4">
        <v>1</v>
      </c>
    </row>
    <row r="441" spans="1:7" ht="25.5">
      <c r="A441" s="9">
        <v>440</v>
      </c>
      <c r="B441" s="10" t="s">
        <v>759</v>
      </c>
      <c r="C441" s="11" t="s">
        <v>1327</v>
      </c>
      <c r="D441" s="10" t="s">
        <v>1328</v>
      </c>
      <c r="E441" s="10" t="s">
        <v>1329</v>
      </c>
      <c r="F441" s="9">
        <v>1</v>
      </c>
      <c r="G441" s="9">
        <v>1</v>
      </c>
    </row>
    <row r="442" spans="1:7" ht="25.5">
      <c r="A442" s="4">
        <v>441</v>
      </c>
      <c r="B442" s="5" t="s">
        <v>759</v>
      </c>
      <c r="C442" s="6" t="s">
        <v>1330</v>
      </c>
      <c r="D442" s="5" t="s">
        <v>1331</v>
      </c>
      <c r="E442" s="5" t="s">
        <v>1332</v>
      </c>
      <c r="F442" s="4">
        <v>1</v>
      </c>
      <c r="G442" s="4">
        <v>1</v>
      </c>
    </row>
    <row r="443" spans="1:7" ht="25.5">
      <c r="A443" s="9">
        <v>442</v>
      </c>
      <c r="B443" s="10" t="s">
        <v>759</v>
      </c>
      <c r="C443" s="11" t="s">
        <v>1333</v>
      </c>
      <c r="D443" s="10" t="s">
        <v>1334</v>
      </c>
      <c r="E443" s="10" t="s">
        <v>1335</v>
      </c>
      <c r="F443" s="9">
        <v>1</v>
      </c>
      <c r="G443" s="9">
        <v>1</v>
      </c>
    </row>
    <row r="444" spans="1:7" ht="25.5">
      <c r="A444" s="4">
        <v>443</v>
      </c>
      <c r="B444" s="5" t="s">
        <v>759</v>
      </c>
      <c r="C444" s="6" t="s">
        <v>1336</v>
      </c>
      <c r="D444" s="5" t="s">
        <v>1337</v>
      </c>
      <c r="E444" s="5" t="s">
        <v>1338</v>
      </c>
      <c r="F444" s="4">
        <v>1</v>
      </c>
      <c r="G444" s="4">
        <v>1</v>
      </c>
    </row>
    <row r="445" spans="1:7" ht="25.5">
      <c r="A445" s="9">
        <v>444</v>
      </c>
      <c r="B445" s="10" t="s">
        <v>759</v>
      </c>
      <c r="C445" s="11" t="s">
        <v>1339</v>
      </c>
      <c r="D445" s="10" t="s">
        <v>1340</v>
      </c>
      <c r="E445" s="10" t="s">
        <v>1341</v>
      </c>
      <c r="F445" s="9">
        <v>1</v>
      </c>
      <c r="G445" s="9">
        <v>1</v>
      </c>
    </row>
    <row r="446" spans="1:7" ht="25.5">
      <c r="A446" s="4">
        <v>445</v>
      </c>
      <c r="B446" s="5" t="s">
        <v>759</v>
      </c>
      <c r="C446" s="6" t="s">
        <v>1342</v>
      </c>
      <c r="D446" s="5" t="s">
        <v>1343</v>
      </c>
      <c r="E446" s="5" t="s">
        <v>1344</v>
      </c>
      <c r="F446" s="4">
        <v>1</v>
      </c>
      <c r="G446" s="4">
        <v>1</v>
      </c>
    </row>
    <row r="447" spans="1:7" ht="25.5">
      <c r="A447" s="9">
        <v>446</v>
      </c>
      <c r="B447" s="10" t="s">
        <v>759</v>
      </c>
      <c r="C447" s="11" t="s">
        <v>1345</v>
      </c>
      <c r="D447" s="10" t="s">
        <v>1346</v>
      </c>
      <c r="E447" s="10" t="s">
        <v>1347</v>
      </c>
      <c r="F447" s="9">
        <v>1</v>
      </c>
      <c r="G447" s="9">
        <v>1</v>
      </c>
    </row>
    <row r="448" spans="1:7" ht="25.5">
      <c r="A448" s="4">
        <v>447</v>
      </c>
      <c r="B448" s="5" t="s">
        <v>759</v>
      </c>
      <c r="C448" s="6" t="s">
        <v>1348</v>
      </c>
      <c r="D448" s="5" t="s">
        <v>1349</v>
      </c>
      <c r="E448" s="5" t="s">
        <v>1350</v>
      </c>
      <c r="F448" s="4">
        <v>1</v>
      </c>
      <c r="G448" s="4">
        <v>1</v>
      </c>
    </row>
    <row r="449" spans="1:7" ht="25.5">
      <c r="A449" s="9">
        <v>448</v>
      </c>
      <c r="B449" s="10" t="s">
        <v>759</v>
      </c>
      <c r="C449" s="11" t="s">
        <v>1351</v>
      </c>
      <c r="D449" s="10" t="s">
        <v>1352</v>
      </c>
      <c r="E449" s="10" t="s">
        <v>1353</v>
      </c>
      <c r="F449" s="9">
        <v>1</v>
      </c>
      <c r="G449" s="9">
        <v>1</v>
      </c>
    </row>
    <row r="450" spans="1:7" ht="25.5">
      <c r="A450" s="4">
        <v>449</v>
      </c>
      <c r="B450" s="5" t="s">
        <v>759</v>
      </c>
      <c r="C450" s="6" t="s">
        <v>1354</v>
      </c>
      <c r="D450" s="5" t="s">
        <v>1355</v>
      </c>
      <c r="E450" s="5" t="s">
        <v>1356</v>
      </c>
      <c r="F450" s="4">
        <v>1</v>
      </c>
      <c r="G450" s="4">
        <v>1</v>
      </c>
    </row>
    <row r="451" spans="1:7" ht="25.5">
      <c r="A451" s="9">
        <v>450</v>
      </c>
      <c r="B451" s="10" t="s">
        <v>759</v>
      </c>
      <c r="C451" s="11" t="s">
        <v>1357</v>
      </c>
      <c r="D451" s="10" t="s">
        <v>1358</v>
      </c>
      <c r="E451" s="10" t="s">
        <v>1359</v>
      </c>
      <c r="F451" s="9">
        <v>1</v>
      </c>
      <c r="G451" s="9">
        <v>1</v>
      </c>
    </row>
    <row r="452" spans="1:7" ht="25.5">
      <c r="A452" s="4">
        <v>451</v>
      </c>
      <c r="B452" s="5" t="s">
        <v>759</v>
      </c>
      <c r="C452" s="6" t="s">
        <v>1360</v>
      </c>
      <c r="D452" s="5" t="s">
        <v>1361</v>
      </c>
      <c r="E452" s="5" t="s">
        <v>1362</v>
      </c>
      <c r="F452" s="4">
        <v>1</v>
      </c>
      <c r="G452" s="4">
        <v>1</v>
      </c>
    </row>
    <row r="453" spans="1:7" ht="25.5">
      <c r="A453" s="9">
        <v>452</v>
      </c>
      <c r="B453" s="10" t="s">
        <v>759</v>
      </c>
      <c r="C453" s="11" t="s">
        <v>1363</v>
      </c>
      <c r="D453" s="10" t="s">
        <v>1364</v>
      </c>
      <c r="E453" s="10" t="s">
        <v>1365</v>
      </c>
      <c r="F453" s="9">
        <v>1</v>
      </c>
      <c r="G453" s="9">
        <v>1</v>
      </c>
    </row>
    <row r="454" spans="1:7" ht="25.5">
      <c r="A454" s="4">
        <v>453</v>
      </c>
      <c r="B454" s="5" t="s">
        <v>759</v>
      </c>
      <c r="C454" s="6" t="s">
        <v>1366</v>
      </c>
      <c r="D454" s="5" t="s">
        <v>1367</v>
      </c>
      <c r="E454" s="5" t="s">
        <v>1368</v>
      </c>
      <c r="F454" s="4">
        <v>1</v>
      </c>
      <c r="G454" s="4">
        <v>1</v>
      </c>
    </row>
    <row r="455" spans="1:7" ht="25.5">
      <c r="A455" s="9">
        <v>454</v>
      </c>
      <c r="B455" s="10" t="s">
        <v>759</v>
      </c>
      <c r="C455" s="11" t="s">
        <v>1369</v>
      </c>
      <c r="D455" s="10" t="s">
        <v>1370</v>
      </c>
      <c r="E455" s="10" t="s">
        <v>1371</v>
      </c>
      <c r="F455" s="9">
        <v>1</v>
      </c>
      <c r="G455" s="9">
        <v>1</v>
      </c>
    </row>
    <row r="456" spans="1:7" ht="25.5">
      <c r="A456" s="4">
        <v>455</v>
      </c>
      <c r="B456" s="5" t="s">
        <v>759</v>
      </c>
      <c r="C456" s="6" t="s">
        <v>1372</v>
      </c>
      <c r="D456" s="5" t="s">
        <v>1373</v>
      </c>
      <c r="E456" s="5" t="s">
        <v>1374</v>
      </c>
      <c r="F456" s="4">
        <v>1</v>
      </c>
      <c r="G456" s="4">
        <v>1</v>
      </c>
    </row>
    <row r="457" spans="1:7" ht="25.5">
      <c r="A457" s="9">
        <v>456</v>
      </c>
      <c r="B457" s="10" t="s">
        <v>759</v>
      </c>
      <c r="C457" s="11" t="s">
        <v>1375</v>
      </c>
      <c r="D457" s="10" t="s">
        <v>1376</v>
      </c>
      <c r="E457" s="10" t="s">
        <v>1377</v>
      </c>
      <c r="F457" s="9">
        <v>1</v>
      </c>
      <c r="G457" s="9">
        <v>1</v>
      </c>
    </row>
    <row r="458" spans="1:7" ht="25.5">
      <c r="A458" s="4">
        <v>457</v>
      </c>
      <c r="B458" s="5" t="s">
        <v>759</v>
      </c>
      <c r="C458" s="6" t="s">
        <v>1378</v>
      </c>
      <c r="D458" s="5" t="s">
        <v>1379</v>
      </c>
      <c r="E458" s="5" t="s">
        <v>1380</v>
      </c>
      <c r="F458" s="4">
        <v>1</v>
      </c>
      <c r="G458" s="4">
        <v>1</v>
      </c>
    </row>
    <row r="459" spans="1:7" ht="25.5">
      <c r="A459" s="9">
        <v>458</v>
      </c>
      <c r="B459" s="10" t="s">
        <v>759</v>
      </c>
      <c r="C459" s="11" t="s">
        <v>1381</v>
      </c>
      <c r="D459" s="10" t="s">
        <v>1382</v>
      </c>
      <c r="E459" s="10" t="s">
        <v>1383</v>
      </c>
      <c r="F459" s="9">
        <v>1</v>
      </c>
      <c r="G459" s="9">
        <v>1</v>
      </c>
    </row>
    <row r="460" spans="1:7" ht="25.5">
      <c r="A460" s="4">
        <v>459</v>
      </c>
      <c r="B460" s="5" t="s">
        <v>759</v>
      </c>
      <c r="C460" s="6" t="s">
        <v>1384</v>
      </c>
      <c r="D460" s="5" t="s">
        <v>1385</v>
      </c>
      <c r="E460" s="5" t="s">
        <v>1386</v>
      </c>
      <c r="F460" s="4">
        <v>1</v>
      </c>
      <c r="G460" s="4">
        <v>1</v>
      </c>
    </row>
    <row r="461" spans="1:7" ht="25.5">
      <c r="A461" s="9">
        <v>460</v>
      </c>
      <c r="B461" s="10" t="s">
        <v>759</v>
      </c>
      <c r="C461" s="11" t="s">
        <v>1387</v>
      </c>
      <c r="D461" s="10" t="s">
        <v>1388</v>
      </c>
      <c r="E461" s="10" t="s">
        <v>1389</v>
      </c>
      <c r="F461" s="9">
        <v>1</v>
      </c>
      <c r="G461" s="9">
        <v>1</v>
      </c>
    </row>
    <row r="462" spans="1:7" ht="25.5">
      <c r="A462" s="4">
        <v>461</v>
      </c>
      <c r="B462" s="5" t="s">
        <v>759</v>
      </c>
      <c r="C462" s="6" t="s">
        <v>1390</v>
      </c>
      <c r="D462" s="5" t="s">
        <v>1391</v>
      </c>
      <c r="E462" s="5" t="s">
        <v>1392</v>
      </c>
      <c r="F462" s="4">
        <v>1</v>
      </c>
      <c r="G462" s="4">
        <v>1</v>
      </c>
    </row>
    <row r="463" spans="1:7" ht="25.5">
      <c r="A463" s="9">
        <v>462</v>
      </c>
      <c r="B463" s="10" t="s">
        <v>759</v>
      </c>
      <c r="C463" s="11" t="s">
        <v>1393</v>
      </c>
      <c r="D463" s="10" t="s">
        <v>1394</v>
      </c>
      <c r="E463" s="10" t="s">
        <v>1395</v>
      </c>
      <c r="F463" s="9">
        <v>1</v>
      </c>
      <c r="G463" s="9">
        <v>1</v>
      </c>
    </row>
    <row r="464" spans="1:7" ht="25.5">
      <c r="A464" s="4">
        <v>463</v>
      </c>
      <c r="B464" s="5" t="s">
        <v>759</v>
      </c>
      <c r="C464" s="6" t="s">
        <v>1396</v>
      </c>
      <c r="D464" s="5" t="s">
        <v>1397</v>
      </c>
      <c r="E464" s="5" t="s">
        <v>1398</v>
      </c>
      <c r="F464" s="4">
        <v>1</v>
      </c>
      <c r="G464" s="4">
        <v>1</v>
      </c>
    </row>
    <row r="465" spans="1:7" ht="25.5">
      <c r="A465" s="9">
        <v>464</v>
      </c>
      <c r="B465" s="10" t="s">
        <v>759</v>
      </c>
      <c r="C465" s="11" t="s">
        <v>1399</v>
      </c>
      <c r="D465" s="10" t="s">
        <v>1400</v>
      </c>
      <c r="E465" s="10" t="s">
        <v>1401</v>
      </c>
      <c r="F465" s="9">
        <v>1</v>
      </c>
      <c r="G465" s="9">
        <v>1</v>
      </c>
    </row>
    <row r="466" spans="1:7" ht="25.5">
      <c r="A466" s="4">
        <v>465</v>
      </c>
      <c r="B466" s="5" t="s">
        <v>759</v>
      </c>
      <c r="C466" s="6" t="s">
        <v>1402</v>
      </c>
      <c r="D466" s="5" t="s">
        <v>1403</v>
      </c>
      <c r="E466" s="5" t="s">
        <v>1404</v>
      </c>
      <c r="F466" s="4">
        <v>1</v>
      </c>
      <c r="G466" s="4">
        <v>1</v>
      </c>
    </row>
    <row r="467" spans="1:7" ht="25.5">
      <c r="A467" s="9">
        <v>466</v>
      </c>
      <c r="B467" s="10" t="s">
        <v>759</v>
      </c>
      <c r="C467" s="11" t="s">
        <v>1405</v>
      </c>
      <c r="D467" s="10" t="s">
        <v>1406</v>
      </c>
      <c r="E467" s="10" t="s">
        <v>1407</v>
      </c>
      <c r="F467" s="9">
        <v>1</v>
      </c>
      <c r="G467" s="9">
        <v>1</v>
      </c>
    </row>
    <row r="468" spans="1:7" ht="25.5">
      <c r="A468" s="4">
        <v>467</v>
      </c>
      <c r="B468" s="5" t="s">
        <v>759</v>
      </c>
      <c r="C468" s="6" t="s">
        <v>1408</v>
      </c>
      <c r="D468" s="5" t="s">
        <v>1409</v>
      </c>
      <c r="E468" s="5" t="s">
        <v>1410</v>
      </c>
      <c r="F468" s="4">
        <v>1</v>
      </c>
      <c r="G468" s="4">
        <v>1</v>
      </c>
    </row>
    <row r="469" spans="1:7" ht="25.5">
      <c r="A469" s="9">
        <v>468</v>
      </c>
      <c r="B469" s="10" t="s">
        <v>759</v>
      </c>
      <c r="C469" s="11" t="s">
        <v>1411</v>
      </c>
      <c r="D469" s="10" t="s">
        <v>1412</v>
      </c>
      <c r="E469" s="10" t="s">
        <v>1413</v>
      </c>
      <c r="F469" s="9">
        <v>1</v>
      </c>
      <c r="G469" s="9">
        <v>1</v>
      </c>
    </row>
    <row r="470" spans="1:7" ht="25.5">
      <c r="A470" s="4">
        <v>469</v>
      </c>
      <c r="B470" s="5" t="s">
        <v>759</v>
      </c>
      <c r="C470" s="6" t="s">
        <v>1414</v>
      </c>
      <c r="D470" s="5" t="s">
        <v>1415</v>
      </c>
      <c r="E470" s="5" t="s">
        <v>1416</v>
      </c>
      <c r="F470" s="4">
        <v>1</v>
      </c>
      <c r="G470" s="4">
        <v>1</v>
      </c>
    </row>
    <row r="471" spans="1:7" ht="25.5">
      <c r="A471" s="9">
        <v>470</v>
      </c>
      <c r="B471" s="10" t="s">
        <v>759</v>
      </c>
      <c r="C471" s="11" t="s">
        <v>1417</v>
      </c>
      <c r="D471" s="10" t="s">
        <v>1418</v>
      </c>
      <c r="E471" s="10" t="s">
        <v>1419</v>
      </c>
      <c r="F471" s="9">
        <v>1</v>
      </c>
      <c r="G471" s="9">
        <v>1</v>
      </c>
    </row>
    <row r="472" spans="1:7" ht="25.5">
      <c r="A472" s="4">
        <v>471</v>
      </c>
      <c r="B472" s="5" t="s">
        <v>759</v>
      </c>
      <c r="C472" s="6" t="s">
        <v>1420</v>
      </c>
      <c r="D472" s="5" t="s">
        <v>1421</v>
      </c>
      <c r="E472" s="5" t="s">
        <v>1422</v>
      </c>
      <c r="F472" s="4">
        <v>1</v>
      </c>
      <c r="G472" s="4">
        <v>1</v>
      </c>
    </row>
    <row r="473" spans="1:7" ht="25.5">
      <c r="A473" s="9">
        <v>472</v>
      </c>
      <c r="B473" s="10" t="s">
        <v>759</v>
      </c>
      <c r="C473" s="11" t="s">
        <v>1423</v>
      </c>
      <c r="D473" s="10" t="s">
        <v>1424</v>
      </c>
      <c r="E473" s="10" t="s">
        <v>1425</v>
      </c>
      <c r="F473" s="9">
        <v>1</v>
      </c>
      <c r="G473" s="9">
        <v>1</v>
      </c>
    </row>
    <row r="474" spans="1:7" ht="25.5">
      <c r="A474" s="4">
        <v>473</v>
      </c>
      <c r="B474" s="5" t="s">
        <v>759</v>
      </c>
      <c r="C474" s="6" t="s">
        <v>1426</v>
      </c>
      <c r="D474" s="5" t="s">
        <v>1427</v>
      </c>
      <c r="E474" s="5" t="s">
        <v>1428</v>
      </c>
      <c r="F474" s="4">
        <v>1</v>
      </c>
      <c r="G474" s="4">
        <v>1</v>
      </c>
    </row>
    <row r="475" spans="1:7" ht="25.5">
      <c r="A475" s="9">
        <v>474</v>
      </c>
      <c r="B475" s="10" t="s">
        <v>759</v>
      </c>
      <c r="C475" s="11" t="s">
        <v>1429</v>
      </c>
      <c r="D475" s="10" t="s">
        <v>1430</v>
      </c>
      <c r="E475" s="10" t="s">
        <v>1431</v>
      </c>
      <c r="F475" s="9">
        <v>1</v>
      </c>
      <c r="G475" s="9">
        <v>1</v>
      </c>
    </row>
    <row r="476" spans="1:7" ht="25.5">
      <c r="A476" s="4">
        <v>475</v>
      </c>
      <c r="B476" s="5" t="s">
        <v>759</v>
      </c>
      <c r="C476" s="6" t="s">
        <v>1432</v>
      </c>
      <c r="D476" s="5" t="s">
        <v>1433</v>
      </c>
      <c r="E476" s="5" t="s">
        <v>1434</v>
      </c>
      <c r="F476" s="4">
        <v>1</v>
      </c>
      <c r="G476" s="4">
        <v>1</v>
      </c>
    </row>
    <row r="477" spans="1:7" ht="38.25">
      <c r="A477" s="9">
        <v>476</v>
      </c>
      <c r="B477" s="10" t="s">
        <v>759</v>
      </c>
      <c r="C477" s="11" t="s">
        <v>1435</v>
      </c>
      <c r="D477" s="10" t="s">
        <v>1436</v>
      </c>
      <c r="E477" s="10" t="s">
        <v>1437</v>
      </c>
      <c r="F477" s="9">
        <v>1</v>
      </c>
      <c r="G477" s="9">
        <v>1</v>
      </c>
    </row>
    <row r="478" spans="1:7" ht="25.5">
      <c r="A478" s="4">
        <v>477</v>
      </c>
      <c r="B478" s="5" t="s">
        <v>759</v>
      </c>
      <c r="C478" s="6" t="s">
        <v>1438</v>
      </c>
      <c r="D478" s="5" t="s">
        <v>1439</v>
      </c>
      <c r="E478" s="5" t="s">
        <v>1440</v>
      </c>
      <c r="F478" s="4">
        <v>1</v>
      </c>
      <c r="G478" s="4">
        <v>1</v>
      </c>
    </row>
    <row r="479" spans="1:7" ht="25.5">
      <c r="A479" s="9">
        <v>478</v>
      </c>
      <c r="B479" s="10" t="s">
        <v>759</v>
      </c>
      <c r="C479" s="11" t="s">
        <v>1441</v>
      </c>
      <c r="D479" s="10" t="s">
        <v>1442</v>
      </c>
      <c r="E479" s="10" t="s">
        <v>1443</v>
      </c>
      <c r="F479" s="9">
        <v>1</v>
      </c>
      <c r="G479" s="9">
        <v>1</v>
      </c>
    </row>
    <row r="480" spans="1:7" ht="25.5">
      <c r="A480" s="4">
        <v>479</v>
      </c>
      <c r="B480" s="5" t="s">
        <v>759</v>
      </c>
      <c r="C480" s="6" t="s">
        <v>1444</v>
      </c>
      <c r="D480" s="5" t="s">
        <v>1445</v>
      </c>
      <c r="E480" s="5" t="s">
        <v>1446</v>
      </c>
      <c r="F480" s="4">
        <v>1</v>
      </c>
      <c r="G480" s="4">
        <v>1</v>
      </c>
    </row>
    <row r="481" spans="1:7" ht="25.5">
      <c r="A481" s="9">
        <v>480</v>
      </c>
      <c r="B481" s="10" t="s">
        <v>759</v>
      </c>
      <c r="C481" s="11" t="s">
        <v>1447</v>
      </c>
      <c r="D481" s="10" t="s">
        <v>1448</v>
      </c>
      <c r="E481" s="10" t="s">
        <v>1449</v>
      </c>
      <c r="F481" s="9">
        <v>1</v>
      </c>
      <c r="G481" s="9">
        <v>1</v>
      </c>
    </row>
    <row r="482" spans="1:7" ht="25.5">
      <c r="A482" s="4">
        <v>481</v>
      </c>
      <c r="B482" s="5" t="s">
        <v>759</v>
      </c>
      <c r="C482" s="6" t="s">
        <v>1450</v>
      </c>
      <c r="D482" s="5" t="s">
        <v>1451</v>
      </c>
      <c r="E482" s="5" t="s">
        <v>1452</v>
      </c>
      <c r="F482" s="4">
        <v>1</v>
      </c>
      <c r="G482" s="4">
        <v>1</v>
      </c>
    </row>
    <row r="483" spans="1:7" ht="25.5">
      <c r="A483" s="9">
        <v>482</v>
      </c>
      <c r="B483" s="10" t="s">
        <v>759</v>
      </c>
      <c r="C483" s="11" t="s">
        <v>1453</v>
      </c>
      <c r="D483" s="10" t="s">
        <v>1454</v>
      </c>
      <c r="E483" s="10" t="s">
        <v>1455</v>
      </c>
      <c r="F483" s="9">
        <v>1</v>
      </c>
      <c r="G483" s="9">
        <v>1</v>
      </c>
    </row>
    <row r="484" spans="1:7" ht="25.5">
      <c r="A484" s="4">
        <v>483</v>
      </c>
      <c r="B484" s="5" t="s">
        <v>759</v>
      </c>
      <c r="C484" s="6" t="s">
        <v>1456</v>
      </c>
      <c r="D484" s="5" t="s">
        <v>1457</v>
      </c>
      <c r="E484" s="5" t="s">
        <v>1458</v>
      </c>
      <c r="F484" s="4">
        <v>1</v>
      </c>
      <c r="G484" s="4">
        <v>1</v>
      </c>
    </row>
    <row r="485" spans="1:7" ht="25.5">
      <c r="A485" s="9">
        <v>484</v>
      </c>
      <c r="B485" s="10" t="s">
        <v>759</v>
      </c>
      <c r="C485" s="11" t="s">
        <v>1459</v>
      </c>
      <c r="D485" s="10" t="s">
        <v>1460</v>
      </c>
      <c r="E485" s="10" t="s">
        <v>1461</v>
      </c>
      <c r="F485" s="9">
        <v>1</v>
      </c>
      <c r="G485" s="9">
        <v>1</v>
      </c>
    </row>
    <row r="486" spans="1:7" ht="25.5">
      <c r="A486" s="4">
        <v>485</v>
      </c>
      <c r="B486" s="5" t="s">
        <v>759</v>
      </c>
      <c r="C486" s="6" t="s">
        <v>1462</v>
      </c>
      <c r="D486" s="5" t="s">
        <v>1463</v>
      </c>
      <c r="E486" s="5" t="s">
        <v>1464</v>
      </c>
      <c r="F486" s="4">
        <v>1</v>
      </c>
      <c r="G486" s="4">
        <v>1</v>
      </c>
    </row>
    <row r="487" spans="1:7" ht="25.5">
      <c r="A487" s="9">
        <v>486</v>
      </c>
      <c r="B487" s="10" t="s">
        <v>759</v>
      </c>
      <c r="C487" s="11" t="s">
        <v>1465</v>
      </c>
      <c r="D487" s="10" t="s">
        <v>1466</v>
      </c>
      <c r="E487" s="10" t="s">
        <v>1467</v>
      </c>
      <c r="F487" s="9">
        <v>1</v>
      </c>
      <c r="G487" s="9">
        <v>1</v>
      </c>
    </row>
    <row r="488" spans="1:7" ht="25.5">
      <c r="A488" s="4">
        <v>487</v>
      </c>
      <c r="B488" s="5" t="s">
        <v>759</v>
      </c>
      <c r="C488" s="6" t="s">
        <v>1468</v>
      </c>
      <c r="D488" s="5" t="s">
        <v>1469</v>
      </c>
      <c r="E488" s="5" t="s">
        <v>1470</v>
      </c>
      <c r="F488" s="4">
        <v>1</v>
      </c>
      <c r="G488" s="4">
        <v>1</v>
      </c>
    </row>
    <row r="489" spans="1:7" ht="25.5">
      <c r="A489" s="9">
        <v>488</v>
      </c>
      <c r="B489" s="10" t="s">
        <v>759</v>
      </c>
      <c r="C489" s="11" t="s">
        <v>1471</v>
      </c>
      <c r="D489" s="10" t="s">
        <v>1472</v>
      </c>
      <c r="E489" s="10" t="s">
        <v>1473</v>
      </c>
      <c r="F489" s="9">
        <v>1</v>
      </c>
      <c r="G489" s="9">
        <v>1</v>
      </c>
    </row>
    <row r="490" spans="1:7" ht="25.5">
      <c r="A490" s="4">
        <v>489</v>
      </c>
      <c r="B490" s="5" t="s">
        <v>759</v>
      </c>
      <c r="C490" s="6" t="s">
        <v>1474</v>
      </c>
      <c r="D490" s="5" t="s">
        <v>1475</v>
      </c>
      <c r="E490" s="5" t="s">
        <v>1476</v>
      </c>
      <c r="F490" s="4">
        <v>1</v>
      </c>
      <c r="G490" s="4">
        <v>1</v>
      </c>
    </row>
    <row r="491" spans="1:7" ht="25.5">
      <c r="A491" s="9">
        <v>490</v>
      </c>
      <c r="B491" s="10" t="s">
        <v>759</v>
      </c>
      <c r="C491" s="11" t="s">
        <v>1477</v>
      </c>
      <c r="D491" s="10" t="s">
        <v>1478</v>
      </c>
      <c r="E491" s="10" t="s">
        <v>1479</v>
      </c>
      <c r="F491" s="9">
        <v>1</v>
      </c>
      <c r="G491" s="9">
        <v>1</v>
      </c>
    </row>
    <row r="492" spans="1:7" ht="25.5">
      <c r="A492" s="4">
        <v>491</v>
      </c>
      <c r="B492" s="5" t="s">
        <v>759</v>
      </c>
      <c r="C492" s="6" t="s">
        <v>1480</v>
      </c>
      <c r="D492" s="5" t="s">
        <v>1481</v>
      </c>
      <c r="E492" s="5" t="s">
        <v>1482</v>
      </c>
      <c r="F492" s="4">
        <v>1</v>
      </c>
      <c r="G492" s="4">
        <v>1</v>
      </c>
    </row>
    <row r="493" spans="1:7" ht="25.5">
      <c r="A493" s="9">
        <v>492</v>
      </c>
      <c r="B493" s="10" t="s">
        <v>759</v>
      </c>
      <c r="C493" s="11" t="s">
        <v>1483</v>
      </c>
      <c r="D493" s="10" t="s">
        <v>1484</v>
      </c>
      <c r="E493" s="10" t="s">
        <v>1485</v>
      </c>
      <c r="F493" s="9">
        <v>1</v>
      </c>
      <c r="G493" s="9">
        <v>1</v>
      </c>
    </row>
    <row r="494" spans="1:7" ht="25.5">
      <c r="A494" s="4">
        <v>493</v>
      </c>
      <c r="B494" s="5" t="s">
        <v>759</v>
      </c>
      <c r="C494" s="6" t="s">
        <v>1486</v>
      </c>
      <c r="D494" s="5" t="s">
        <v>1487</v>
      </c>
      <c r="E494" s="5" t="s">
        <v>1488</v>
      </c>
      <c r="F494" s="4">
        <v>1</v>
      </c>
      <c r="G494" s="4">
        <v>1</v>
      </c>
    </row>
    <row r="495" spans="1:7" ht="25.5">
      <c r="A495" s="9">
        <v>494</v>
      </c>
      <c r="B495" s="10" t="s">
        <v>759</v>
      </c>
      <c r="C495" s="11" t="s">
        <v>1489</v>
      </c>
      <c r="D495" s="10" t="s">
        <v>1490</v>
      </c>
      <c r="E495" s="10" t="s">
        <v>1491</v>
      </c>
      <c r="F495" s="9">
        <v>1</v>
      </c>
      <c r="G495" s="9">
        <v>1</v>
      </c>
    </row>
    <row r="496" spans="1:7" ht="25.5">
      <c r="A496" s="4">
        <v>495</v>
      </c>
      <c r="B496" s="5" t="s">
        <v>759</v>
      </c>
      <c r="C496" s="6" t="s">
        <v>1492</v>
      </c>
      <c r="D496" s="5" t="s">
        <v>1493</v>
      </c>
      <c r="E496" s="5" t="s">
        <v>1494</v>
      </c>
      <c r="F496" s="4">
        <v>1</v>
      </c>
      <c r="G496" s="4">
        <v>1</v>
      </c>
    </row>
    <row r="497" spans="1:7" ht="25.5">
      <c r="A497" s="9">
        <v>496</v>
      </c>
      <c r="B497" s="10" t="s">
        <v>759</v>
      </c>
      <c r="C497" s="11" t="s">
        <v>1495</v>
      </c>
      <c r="D497" s="10" t="s">
        <v>1496</v>
      </c>
      <c r="E497" s="10" t="s">
        <v>1497</v>
      </c>
      <c r="F497" s="9">
        <v>1</v>
      </c>
      <c r="G497" s="9">
        <v>1</v>
      </c>
    </row>
    <row r="498" spans="1:7" ht="25.5">
      <c r="A498" s="4">
        <v>497</v>
      </c>
      <c r="B498" s="5" t="s">
        <v>759</v>
      </c>
      <c r="C498" s="6" t="s">
        <v>1498</v>
      </c>
      <c r="D498" s="5" t="s">
        <v>1499</v>
      </c>
      <c r="E498" s="5" t="s">
        <v>1500</v>
      </c>
      <c r="F498" s="4">
        <v>1</v>
      </c>
      <c r="G498" s="4">
        <v>1</v>
      </c>
    </row>
    <row r="499" spans="1:7" ht="25.5">
      <c r="A499" s="9">
        <v>498</v>
      </c>
      <c r="B499" s="10" t="s">
        <v>759</v>
      </c>
      <c r="C499" s="11" t="s">
        <v>1501</v>
      </c>
      <c r="D499" s="10" t="s">
        <v>1502</v>
      </c>
      <c r="E499" s="10" t="s">
        <v>1503</v>
      </c>
      <c r="F499" s="9">
        <v>1</v>
      </c>
      <c r="G499" s="9">
        <v>1</v>
      </c>
    </row>
    <row r="500" spans="1:7" ht="38.25">
      <c r="A500" s="4">
        <v>499</v>
      </c>
      <c r="B500" s="5" t="s">
        <v>759</v>
      </c>
      <c r="C500" s="6" t="s">
        <v>1504</v>
      </c>
      <c r="D500" s="5" t="s">
        <v>1505</v>
      </c>
      <c r="E500" s="5" t="s">
        <v>1506</v>
      </c>
      <c r="F500" s="4">
        <v>1</v>
      </c>
      <c r="G500" s="4">
        <v>1</v>
      </c>
    </row>
    <row r="501" spans="1:7" ht="38.25">
      <c r="A501" s="9">
        <v>500</v>
      </c>
      <c r="B501" s="10" t="s">
        <v>759</v>
      </c>
      <c r="C501" s="11" t="s">
        <v>1507</v>
      </c>
      <c r="D501" s="10" t="s">
        <v>1508</v>
      </c>
      <c r="E501" s="10" t="s">
        <v>1509</v>
      </c>
      <c r="F501" s="9">
        <v>1</v>
      </c>
      <c r="G501" s="9">
        <v>1</v>
      </c>
    </row>
    <row r="502" spans="1:7" ht="25.5">
      <c r="A502" s="4">
        <v>501</v>
      </c>
      <c r="B502" s="5" t="s">
        <v>759</v>
      </c>
      <c r="C502" s="6" t="s">
        <v>1510</v>
      </c>
      <c r="D502" s="5" t="s">
        <v>1511</v>
      </c>
      <c r="E502" s="5" t="s">
        <v>1512</v>
      </c>
      <c r="F502" s="4">
        <v>1</v>
      </c>
      <c r="G502" s="4">
        <v>1</v>
      </c>
    </row>
    <row r="503" spans="1:7" ht="25.5">
      <c r="A503" s="9">
        <v>502</v>
      </c>
      <c r="B503" s="10" t="s">
        <v>759</v>
      </c>
      <c r="C503" s="11" t="s">
        <v>1513</v>
      </c>
      <c r="D503" s="10" t="s">
        <v>1514</v>
      </c>
      <c r="E503" s="10" t="s">
        <v>1515</v>
      </c>
      <c r="F503" s="9">
        <v>1</v>
      </c>
      <c r="G503" s="9">
        <v>1</v>
      </c>
    </row>
    <row r="504" spans="1:7" ht="25.5">
      <c r="A504" s="4">
        <v>503</v>
      </c>
      <c r="B504" s="5" t="s">
        <v>759</v>
      </c>
      <c r="C504" s="6" t="s">
        <v>1516</v>
      </c>
      <c r="D504" s="5" t="s">
        <v>1517</v>
      </c>
      <c r="E504" s="5" t="s">
        <v>1518</v>
      </c>
      <c r="F504" s="4">
        <v>1</v>
      </c>
      <c r="G504" s="4">
        <v>1</v>
      </c>
    </row>
    <row r="505" spans="1:7" ht="25.5">
      <c r="A505" s="9">
        <v>504</v>
      </c>
      <c r="B505" s="10" t="s">
        <v>759</v>
      </c>
      <c r="C505" s="11" t="s">
        <v>1519</v>
      </c>
      <c r="D505" s="10" t="s">
        <v>1520</v>
      </c>
      <c r="E505" s="10" t="s">
        <v>1521</v>
      </c>
      <c r="F505" s="9">
        <v>1</v>
      </c>
      <c r="G505" s="9">
        <v>1</v>
      </c>
    </row>
    <row r="506" spans="1:7" ht="25.5">
      <c r="A506" s="4">
        <v>505</v>
      </c>
      <c r="B506" s="5" t="s">
        <v>759</v>
      </c>
      <c r="C506" s="6" t="s">
        <v>1522</v>
      </c>
      <c r="D506" s="5" t="s">
        <v>1523</v>
      </c>
      <c r="E506" s="5" t="s">
        <v>1524</v>
      </c>
      <c r="F506" s="4">
        <v>1</v>
      </c>
      <c r="G506" s="4">
        <v>1</v>
      </c>
    </row>
    <row r="507" spans="1:7" ht="25.5">
      <c r="A507" s="9">
        <v>506</v>
      </c>
      <c r="B507" s="10" t="s">
        <v>759</v>
      </c>
      <c r="C507" s="11" t="s">
        <v>1525</v>
      </c>
      <c r="D507" s="10" t="s">
        <v>1526</v>
      </c>
      <c r="E507" s="10" t="s">
        <v>1527</v>
      </c>
      <c r="F507" s="9">
        <v>1</v>
      </c>
      <c r="G507" s="9">
        <v>1</v>
      </c>
    </row>
    <row r="508" spans="1:7" ht="25.5">
      <c r="A508" s="4">
        <v>507</v>
      </c>
      <c r="B508" s="5" t="s">
        <v>759</v>
      </c>
      <c r="C508" s="6" t="s">
        <v>1528</v>
      </c>
      <c r="D508" s="5" t="s">
        <v>1529</v>
      </c>
      <c r="E508" s="5" t="s">
        <v>1530</v>
      </c>
      <c r="F508" s="4">
        <v>1</v>
      </c>
      <c r="G508" s="4">
        <v>1</v>
      </c>
    </row>
    <row r="509" spans="1:7" ht="25.5">
      <c r="A509" s="9">
        <v>508</v>
      </c>
      <c r="B509" s="10" t="s">
        <v>759</v>
      </c>
      <c r="C509" s="11" t="s">
        <v>1531</v>
      </c>
      <c r="D509" s="10" t="s">
        <v>1532</v>
      </c>
      <c r="E509" s="10" t="s">
        <v>1533</v>
      </c>
      <c r="F509" s="9">
        <v>1</v>
      </c>
      <c r="G509" s="9">
        <v>1</v>
      </c>
    </row>
    <row r="510" spans="1:7" ht="25.5">
      <c r="A510" s="4">
        <v>509</v>
      </c>
      <c r="B510" s="5" t="s">
        <v>759</v>
      </c>
      <c r="C510" s="6" t="s">
        <v>1534</v>
      </c>
      <c r="D510" s="5" t="s">
        <v>1535</v>
      </c>
      <c r="E510" s="5" t="s">
        <v>1536</v>
      </c>
      <c r="F510" s="4">
        <v>1</v>
      </c>
      <c r="G510" s="4">
        <v>1</v>
      </c>
    </row>
    <row r="511" spans="1:7" ht="25.5">
      <c r="A511" s="9">
        <v>510</v>
      </c>
      <c r="B511" s="10" t="s">
        <v>759</v>
      </c>
      <c r="C511" s="11" t="s">
        <v>1537</v>
      </c>
      <c r="D511" s="10" t="s">
        <v>1538</v>
      </c>
      <c r="E511" s="10" t="s">
        <v>1539</v>
      </c>
      <c r="F511" s="9">
        <v>1</v>
      </c>
      <c r="G511" s="9">
        <v>1</v>
      </c>
    </row>
    <row r="512" spans="1:7" ht="25.5">
      <c r="A512" s="4">
        <v>511</v>
      </c>
      <c r="B512" s="5" t="s">
        <v>759</v>
      </c>
      <c r="C512" s="6" t="s">
        <v>1540</v>
      </c>
      <c r="D512" s="5" t="s">
        <v>1541</v>
      </c>
      <c r="E512" s="5" t="s">
        <v>1542</v>
      </c>
      <c r="F512" s="4">
        <v>1</v>
      </c>
      <c r="G512" s="4">
        <v>1</v>
      </c>
    </row>
    <row r="513" spans="1:7" ht="25.5">
      <c r="A513" s="9">
        <v>512</v>
      </c>
      <c r="B513" s="10" t="s">
        <v>759</v>
      </c>
      <c r="C513" s="11" t="s">
        <v>1543</v>
      </c>
      <c r="D513" s="10" t="s">
        <v>1544</v>
      </c>
      <c r="E513" s="10" t="s">
        <v>1545</v>
      </c>
      <c r="F513" s="9">
        <v>1</v>
      </c>
      <c r="G513" s="9">
        <v>1</v>
      </c>
    </row>
    <row r="514" spans="1:7" ht="25.5">
      <c r="A514" s="4">
        <v>513</v>
      </c>
      <c r="B514" s="5" t="s">
        <v>759</v>
      </c>
      <c r="C514" s="6" t="s">
        <v>1546</v>
      </c>
      <c r="D514" s="5" t="s">
        <v>1547</v>
      </c>
      <c r="E514" s="5" t="s">
        <v>1548</v>
      </c>
      <c r="F514" s="4">
        <v>1</v>
      </c>
      <c r="G514" s="4">
        <v>1</v>
      </c>
    </row>
    <row r="515" spans="1:7" ht="25.5">
      <c r="A515" s="9">
        <v>514</v>
      </c>
      <c r="B515" s="10" t="s">
        <v>759</v>
      </c>
      <c r="C515" s="11" t="s">
        <v>1549</v>
      </c>
      <c r="D515" s="10" t="s">
        <v>1550</v>
      </c>
      <c r="E515" s="10" t="s">
        <v>1551</v>
      </c>
      <c r="F515" s="9">
        <v>1</v>
      </c>
      <c r="G515" s="9">
        <v>1</v>
      </c>
    </row>
    <row r="516" spans="1:7" ht="25.5">
      <c r="A516" s="4">
        <v>515</v>
      </c>
      <c r="B516" s="5" t="s">
        <v>759</v>
      </c>
      <c r="C516" s="6" t="s">
        <v>1552</v>
      </c>
      <c r="D516" s="5" t="s">
        <v>1553</v>
      </c>
      <c r="E516" s="5" t="s">
        <v>1554</v>
      </c>
      <c r="F516" s="4">
        <v>1</v>
      </c>
      <c r="G516" s="4">
        <v>1</v>
      </c>
    </row>
    <row r="517" spans="1:7" ht="25.5">
      <c r="A517" s="9">
        <v>516</v>
      </c>
      <c r="B517" s="10" t="s">
        <v>759</v>
      </c>
      <c r="C517" s="11" t="s">
        <v>1555</v>
      </c>
      <c r="D517" s="10" t="s">
        <v>1556</v>
      </c>
      <c r="E517" s="10" t="s">
        <v>1557</v>
      </c>
      <c r="F517" s="9">
        <v>1</v>
      </c>
      <c r="G517" s="9">
        <v>1</v>
      </c>
    </row>
    <row r="518" spans="1:7" ht="25.5">
      <c r="A518" s="4">
        <v>517</v>
      </c>
      <c r="B518" s="5" t="s">
        <v>759</v>
      </c>
      <c r="C518" s="6" t="s">
        <v>1558</v>
      </c>
      <c r="D518" s="5" t="s">
        <v>1559</v>
      </c>
      <c r="E518" s="5" t="s">
        <v>1560</v>
      </c>
      <c r="F518" s="4">
        <v>1</v>
      </c>
      <c r="G518" s="4">
        <v>1</v>
      </c>
    </row>
    <row r="519" spans="1:7" ht="25.5">
      <c r="A519" s="9">
        <v>518</v>
      </c>
      <c r="B519" s="10" t="s">
        <v>759</v>
      </c>
      <c r="C519" s="11" t="s">
        <v>1561</v>
      </c>
      <c r="D519" s="10" t="s">
        <v>1562</v>
      </c>
      <c r="E519" s="10" t="s">
        <v>1563</v>
      </c>
      <c r="F519" s="9">
        <v>1</v>
      </c>
      <c r="G519" s="9">
        <v>1</v>
      </c>
    </row>
    <row r="520" spans="1:7" ht="25.5">
      <c r="A520" s="4">
        <v>519</v>
      </c>
      <c r="B520" s="5" t="s">
        <v>759</v>
      </c>
      <c r="C520" s="6" t="s">
        <v>1564</v>
      </c>
      <c r="D520" s="5" t="s">
        <v>1565</v>
      </c>
      <c r="E520" s="5" t="s">
        <v>1566</v>
      </c>
      <c r="F520" s="4">
        <v>1</v>
      </c>
      <c r="G520" s="4">
        <v>1</v>
      </c>
    </row>
    <row r="521" spans="1:7" ht="25.5">
      <c r="A521" s="9">
        <v>520</v>
      </c>
      <c r="B521" s="10" t="s">
        <v>759</v>
      </c>
      <c r="C521" s="11" t="s">
        <v>1567</v>
      </c>
      <c r="D521" s="10" t="s">
        <v>1568</v>
      </c>
      <c r="E521" s="10" t="s">
        <v>1569</v>
      </c>
      <c r="F521" s="9">
        <v>1</v>
      </c>
      <c r="G521" s="9">
        <v>1</v>
      </c>
    </row>
    <row r="522" spans="1:7" ht="25.5">
      <c r="A522" s="4">
        <v>521</v>
      </c>
      <c r="B522" s="5" t="s">
        <v>759</v>
      </c>
      <c r="C522" s="6" t="s">
        <v>1570</v>
      </c>
      <c r="D522" s="5" t="s">
        <v>1571</v>
      </c>
      <c r="E522" s="5" t="s">
        <v>1572</v>
      </c>
      <c r="F522" s="4">
        <v>1</v>
      </c>
      <c r="G522" s="4">
        <v>1</v>
      </c>
    </row>
    <row r="523" spans="1:7" ht="25.5">
      <c r="A523" s="9">
        <v>522</v>
      </c>
      <c r="B523" s="10" t="s">
        <v>759</v>
      </c>
      <c r="C523" s="11" t="s">
        <v>1573</v>
      </c>
      <c r="D523" s="10" t="s">
        <v>1574</v>
      </c>
      <c r="E523" s="10" t="s">
        <v>1575</v>
      </c>
      <c r="F523" s="9">
        <v>1</v>
      </c>
      <c r="G523" s="9">
        <v>1</v>
      </c>
    </row>
    <row r="524" spans="1:7" ht="25.5">
      <c r="A524" s="4">
        <v>523</v>
      </c>
      <c r="B524" s="5" t="s">
        <v>759</v>
      </c>
      <c r="C524" s="6" t="s">
        <v>1576</v>
      </c>
      <c r="D524" s="5" t="s">
        <v>1577</v>
      </c>
      <c r="E524" s="5" t="s">
        <v>1578</v>
      </c>
      <c r="F524" s="4">
        <v>1</v>
      </c>
      <c r="G524" s="4">
        <v>1</v>
      </c>
    </row>
    <row r="525" spans="1:7" ht="25.5">
      <c r="A525" s="9">
        <v>524</v>
      </c>
      <c r="B525" s="10" t="s">
        <v>759</v>
      </c>
      <c r="C525" s="11" t="s">
        <v>1579</v>
      </c>
      <c r="D525" s="10" t="s">
        <v>1580</v>
      </c>
      <c r="E525" s="10" t="s">
        <v>1581</v>
      </c>
      <c r="F525" s="9">
        <v>1</v>
      </c>
      <c r="G525" s="9">
        <v>1</v>
      </c>
    </row>
    <row r="526" spans="1:7" ht="25.5">
      <c r="A526" s="4">
        <v>525</v>
      </c>
      <c r="B526" s="5" t="s">
        <v>759</v>
      </c>
      <c r="C526" s="6" t="s">
        <v>1582</v>
      </c>
      <c r="D526" s="5" t="s">
        <v>1583</v>
      </c>
      <c r="E526" s="5" t="s">
        <v>1584</v>
      </c>
      <c r="F526" s="4">
        <v>1</v>
      </c>
      <c r="G526" s="4">
        <v>1</v>
      </c>
    </row>
    <row r="527" spans="1:7" ht="25.5">
      <c r="A527" s="9">
        <v>526</v>
      </c>
      <c r="B527" s="10" t="s">
        <v>759</v>
      </c>
      <c r="C527" s="11" t="s">
        <v>1585</v>
      </c>
      <c r="D527" s="10" t="s">
        <v>1586</v>
      </c>
      <c r="E527" s="10" t="s">
        <v>1587</v>
      </c>
      <c r="F527" s="9">
        <v>1</v>
      </c>
      <c r="G527" s="9">
        <v>1</v>
      </c>
    </row>
    <row r="528" spans="1:7" ht="25.5">
      <c r="A528" s="4">
        <v>527</v>
      </c>
      <c r="B528" s="5" t="s">
        <v>759</v>
      </c>
      <c r="C528" s="6" t="s">
        <v>1588</v>
      </c>
      <c r="D528" s="5" t="s">
        <v>1589</v>
      </c>
      <c r="E528" s="5" t="s">
        <v>1590</v>
      </c>
      <c r="F528" s="4">
        <v>1</v>
      </c>
      <c r="G528" s="4">
        <v>1</v>
      </c>
    </row>
    <row r="529" spans="1:7" ht="25.5">
      <c r="A529" s="9">
        <v>528</v>
      </c>
      <c r="B529" s="10" t="s">
        <v>759</v>
      </c>
      <c r="C529" s="11" t="s">
        <v>1591</v>
      </c>
      <c r="D529" s="10" t="s">
        <v>1592</v>
      </c>
      <c r="E529" s="10" t="s">
        <v>1593</v>
      </c>
      <c r="F529" s="9">
        <v>1</v>
      </c>
      <c r="G529" s="9">
        <v>1</v>
      </c>
    </row>
    <row r="530" spans="1:7" ht="25.5">
      <c r="A530" s="4">
        <v>529</v>
      </c>
      <c r="B530" s="5" t="s">
        <v>759</v>
      </c>
      <c r="C530" s="6" t="s">
        <v>1594</v>
      </c>
      <c r="D530" s="5" t="s">
        <v>1595</v>
      </c>
      <c r="E530" s="5" t="s">
        <v>1596</v>
      </c>
      <c r="F530" s="4">
        <v>1</v>
      </c>
      <c r="G530" s="4">
        <v>1</v>
      </c>
    </row>
    <row r="531" spans="1:7" ht="25.5">
      <c r="A531" s="9">
        <v>530</v>
      </c>
      <c r="B531" s="10" t="s">
        <v>759</v>
      </c>
      <c r="C531" s="11" t="s">
        <v>1597</v>
      </c>
      <c r="D531" s="10" t="s">
        <v>1598</v>
      </c>
      <c r="E531" s="10" t="s">
        <v>1599</v>
      </c>
      <c r="F531" s="9">
        <v>1</v>
      </c>
      <c r="G531" s="9">
        <v>1</v>
      </c>
    </row>
    <row r="532" spans="1:7" ht="38.25">
      <c r="A532" s="4">
        <v>531</v>
      </c>
      <c r="B532" s="5" t="s">
        <v>759</v>
      </c>
      <c r="C532" s="6" t="s">
        <v>1600</v>
      </c>
      <c r="D532" s="5" t="s">
        <v>1601</v>
      </c>
      <c r="E532" s="5" t="s">
        <v>1602</v>
      </c>
      <c r="F532" s="4">
        <v>1</v>
      </c>
      <c r="G532" s="4">
        <v>1</v>
      </c>
    </row>
    <row r="533" spans="1:7" ht="25.5">
      <c r="A533" s="9">
        <v>532</v>
      </c>
      <c r="B533" s="10" t="s">
        <v>759</v>
      </c>
      <c r="C533" s="11" t="s">
        <v>1603</v>
      </c>
      <c r="D533" s="10" t="s">
        <v>1604</v>
      </c>
      <c r="E533" s="10" t="s">
        <v>1605</v>
      </c>
      <c r="F533" s="9">
        <v>1</v>
      </c>
      <c r="G533" s="9">
        <v>1</v>
      </c>
    </row>
    <row r="534" spans="1:7" ht="25.5">
      <c r="A534" s="4">
        <v>533</v>
      </c>
      <c r="B534" s="5" t="s">
        <v>759</v>
      </c>
      <c r="C534" s="6" t="s">
        <v>1606</v>
      </c>
      <c r="D534" s="5" t="s">
        <v>1607</v>
      </c>
      <c r="E534" s="5" t="s">
        <v>1608</v>
      </c>
      <c r="F534" s="4">
        <v>1</v>
      </c>
      <c r="G534" s="4">
        <v>1</v>
      </c>
    </row>
    <row r="535" spans="1:7" ht="25.5">
      <c r="A535" s="9">
        <v>534</v>
      </c>
      <c r="B535" s="10" t="s">
        <v>759</v>
      </c>
      <c r="C535" s="11" t="s">
        <v>1609</v>
      </c>
      <c r="D535" s="10" t="s">
        <v>1610</v>
      </c>
      <c r="E535" s="10" t="s">
        <v>1611</v>
      </c>
      <c r="F535" s="9">
        <v>1</v>
      </c>
      <c r="G535" s="9">
        <v>1</v>
      </c>
    </row>
    <row r="536" spans="1:7" ht="25.5">
      <c r="A536" s="4">
        <v>535</v>
      </c>
      <c r="B536" s="5" t="s">
        <v>759</v>
      </c>
      <c r="C536" s="6" t="s">
        <v>1612</v>
      </c>
      <c r="D536" s="5" t="s">
        <v>1613</v>
      </c>
      <c r="E536" s="5" t="s">
        <v>1614</v>
      </c>
      <c r="F536" s="4">
        <v>1</v>
      </c>
      <c r="G536" s="4">
        <v>1</v>
      </c>
    </row>
    <row r="537" spans="1:7" ht="25.5">
      <c r="A537" s="9">
        <v>536</v>
      </c>
      <c r="B537" s="10" t="s">
        <v>759</v>
      </c>
      <c r="C537" s="11" t="s">
        <v>1615</v>
      </c>
      <c r="D537" s="10" t="s">
        <v>1616</v>
      </c>
      <c r="E537" s="10" t="s">
        <v>1617</v>
      </c>
      <c r="F537" s="9">
        <v>1</v>
      </c>
      <c r="G537" s="9">
        <v>1</v>
      </c>
    </row>
    <row r="538" spans="1:7" ht="25.5">
      <c r="A538" s="4">
        <v>537</v>
      </c>
      <c r="B538" s="5" t="s">
        <v>759</v>
      </c>
      <c r="C538" s="6" t="s">
        <v>1618</v>
      </c>
      <c r="D538" s="5" t="s">
        <v>1619</v>
      </c>
      <c r="E538" s="5" t="s">
        <v>1620</v>
      </c>
      <c r="F538" s="4">
        <v>1</v>
      </c>
      <c r="G538" s="4">
        <v>1</v>
      </c>
    </row>
    <row r="539" spans="1:7" ht="25.5">
      <c r="A539" s="9">
        <v>538</v>
      </c>
      <c r="B539" s="10" t="s">
        <v>759</v>
      </c>
      <c r="C539" s="11" t="s">
        <v>1621</v>
      </c>
      <c r="D539" s="10" t="s">
        <v>1622</v>
      </c>
      <c r="E539" s="10" t="s">
        <v>1623</v>
      </c>
      <c r="F539" s="9">
        <v>1</v>
      </c>
      <c r="G539" s="9">
        <v>1</v>
      </c>
    </row>
    <row r="540" spans="1:7" ht="25.5">
      <c r="A540" s="4">
        <v>539</v>
      </c>
      <c r="B540" s="5" t="s">
        <v>759</v>
      </c>
      <c r="C540" s="6" t="s">
        <v>1624</v>
      </c>
      <c r="D540" s="5" t="s">
        <v>1625</v>
      </c>
      <c r="E540" s="5" t="s">
        <v>1626</v>
      </c>
      <c r="F540" s="4">
        <v>1</v>
      </c>
      <c r="G540" s="4">
        <v>1</v>
      </c>
    </row>
    <row r="541" spans="1:7" ht="38.25">
      <c r="A541" s="9">
        <v>540</v>
      </c>
      <c r="B541" s="10" t="s">
        <v>759</v>
      </c>
      <c r="C541" s="11" t="s">
        <v>1627</v>
      </c>
      <c r="D541" s="10" t="s">
        <v>1628</v>
      </c>
      <c r="E541" s="10" t="s">
        <v>1629</v>
      </c>
      <c r="F541" s="9">
        <v>1</v>
      </c>
      <c r="G541" s="9">
        <v>1</v>
      </c>
    </row>
    <row r="542" spans="1:7" ht="25.5">
      <c r="A542" s="4">
        <v>541</v>
      </c>
      <c r="B542" s="5" t="s">
        <v>759</v>
      </c>
      <c r="C542" s="6" t="s">
        <v>1630</v>
      </c>
      <c r="D542" s="5" t="s">
        <v>1631</v>
      </c>
      <c r="E542" s="5" t="s">
        <v>1632</v>
      </c>
      <c r="F542" s="4">
        <v>1</v>
      </c>
      <c r="G542" s="4">
        <v>1</v>
      </c>
    </row>
    <row r="543" spans="1:7" ht="25.5">
      <c r="A543" s="9">
        <v>542</v>
      </c>
      <c r="B543" s="10" t="s">
        <v>759</v>
      </c>
      <c r="C543" s="11" t="s">
        <v>1633</v>
      </c>
      <c r="D543" s="10" t="s">
        <v>1634</v>
      </c>
      <c r="E543" s="10" t="s">
        <v>1635</v>
      </c>
      <c r="F543" s="9">
        <v>1</v>
      </c>
      <c r="G543" s="9">
        <v>1</v>
      </c>
    </row>
    <row r="544" spans="1:7" ht="25.5">
      <c r="A544" s="4">
        <v>543</v>
      </c>
      <c r="B544" s="5" t="s">
        <v>759</v>
      </c>
      <c r="C544" s="6" t="s">
        <v>1636</v>
      </c>
      <c r="D544" s="5" t="s">
        <v>1637</v>
      </c>
      <c r="E544" s="5" t="s">
        <v>1638</v>
      </c>
      <c r="F544" s="4">
        <v>1</v>
      </c>
      <c r="G544" s="4">
        <v>1</v>
      </c>
    </row>
    <row r="545" spans="1:7" ht="25.5">
      <c r="A545" s="9">
        <v>544</v>
      </c>
      <c r="B545" s="10" t="s">
        <v>759</v>
      </c>
      <c r="C545" s="11" t="s">
        <v>1639</v>
      </c>
      <c r="D545" s="10" t="s">
        <v>1640</v>
      </c>
      <c r="E545" s="10" t="s">
        <v>1641</v>
      </c>
      <c r="F545" s="9">
        <v>1</v>
      </c>
      <c r="G545" s="9">
        <v>1</v>
      </c>
    </row>
    <row r="546" spans="1:7" ht="25.5">
      <c r="A546" s="4">
        <v>545</v>
      </c>
      <c r="B546" s="5" t="s">
        <v>759</v>
      </c>
      <c r="C546" s="6" t="s">
        <v>1642</v>
      </c>
      <c r="D546" s="5" t="s">
        <v>1643</v>
      </c>
      <c r="E546" s="5" t="s">
        <v>1644</v>
      </c>
      <c r="F546" s="4">
        <v>1</v>
      </c>
      <c r="G546" s="4">
        <v>1</v>
      </c>
    </row>
    <row r="547" spans="1:7" ht="25.5">
      <c r="A547" s="9">
        <v>546</v>
      </c>
      <c r="B547" s="10" t="s">
        <v>759</v>
      </c>
      <c r="C547" s="11" t="s">
        <v>1645</v>
      </c>
      <c r="D547" s="10" t="s">
        <v>1646</v>
      </c>
      <c r="E547" s="10" t="s">
        <v>1647</v>
      </c>
      <c r="F547" s="9">
        <v>1</v>
      </c>
      <c r="G547" s="9">
        <v>1</v>
      </c>
    </row>
    <row r="548" spans="1:7" ht="25.5">
      <c r="A548" s="4">
        <v>547</v>
      </c>
      <c r="B548" s="5" t="s">
        <v>759</v>
      </c>
      <c r="C548" s="6" t="s">
        <v>1648</v>
      </c>
      <c r="D548" s="5" t="s">
        <v>1649</v>
      </c>
      <c r="E548" s="5" t="s">
        <v>1650</v>
      </c>
      <c r="F548" s="4">
        <v>1</v>
      </c>
      <c r="G548" s="4">
        <v>1</v>
      </c>
    </row>
    <row r="549" spans="1:7" ht="25.5">
      <c r="A549" s="9">
        <v>548</v>
      </c>
      <c r="B549" s="10" t="s">
        <v>759</v>
      </c>
      <c r="C549" s="11" t="s">
        <v>1651</v>
      </c>
      <c r="D549" s="10" t="s">
        <v>1652</v>
      </c>
      <c r="E549" s="10" t="s">
        <v>1653</v>
      </c>
      <c r="F549" s="9">
        <v>1</v>
      </c>
      <c r="G549" s="9">
        <v>1</v>
      </c>
    </row>
    <row r="550" spans="1:7" ht="25.5">
      <c r="A550" s="4">
        <v>549</v>
      </c>
      <c r="B550" s="5" t="s">
        <v>759</v>
      </c>
      <c r="C550" s="6" t="s">
        <v>1654</v>
      </c>
      <c r="D550" s="5" t="s">
        <v>1655</v>
      </c>
      <c r="E550" s="5" t="s">
        <v>1656</v>
      </c>
      <c r="F550" s="4">
        <v>1</v>
      </c>
      <c r="G550" s="4">
        <v>1</v>
      </c>
    </row>
    <row r="551" spans="1:7" ht="25.5">
      <c r="A551" s="9">
        <v>550</v>
      </c>
      <c r="B551" s="10" t="s">
        <v>759</v>
      </c>
      <c r="C551" s="11" t="s">
        <v>1657</v>
      </c>
      <c r="D551" s="10" t="s">
        <v>1658</v>
      </c>
      <c r="E551" s="10" t="s">
        <v>1659</v>
      </c>
      <c r="F551" s="9">
        <v>1</v>
      </c>
      <c r="G551" s="9">
        <v>1</v>
      </c>
    </row>
    <row r="552" spans="1:7" ht="25.5">
      <c r="A552" s="4">
        <v>551</v>
      </c>
      <c r="B552" s="5" t="s">
        <v>759</v>
      </c>
      <c r="C552" s="6" t="s">
        <v>1660</v>
      </c>
      <c r="D552" s="5" t="s">
        <v>1661</v>
      </c>
      <c r="E552" s="5" t="s">
        <v>1662</v>
      </c>
      <c r="F552" s="4">
        <v>1</v>
      </c>
      <c r="G552" s="4">
        <v>1</v>
      </c>
    </row>
    <row r="553" spans="1:7" ht="25.5">
      <c r="A553" s="9">
        <v>552</v>
      </c>
      <c r="B553" s="10" t="s">
        <v>759</v>
      </c>
      <c r="C553" s="11" t="s">
        <v>1663</v>
      </c>
      <c r="D553" s="10" t="s">
        <v>1664</v>
      </c>
      <c r="E553" s="10" t="s">
        <v>1665</v>
      </c>
      <c r="F553" s="9">
        <v>1</v>
      </c>
      <c r="G553" s="9">
        <v>1</v>
      </c>
    </row>
    <row r="554" spans="1:7" ht="25.5">
      <c r="A554" s="4">
        <v>553</v>
      </c>
      <c r="B554" s="5" t="s">
        <v>759</v>
      </c>
      <c r="C554" s="6" t="s">
        <v>1666</v>
      </c>
      <c r="D554" s="5" t="s">
        <v>1667</v>
      </c>
      <c r="E554" s="5" t="s">
        <v>1668</v>
      </c>
      <c r="F554" s="4">
        <v>1</v>
      </c>
      <c r="G554" s="4">
        <v>1</v>
      </c>
    </row>
    <row r="555" spans="1:7" ht="25.5">
      <c r="A555" s="9">
        <v>554</v>
      </c>
      <c r="B555" s="10" t="s">
        <v>759</v>
      </c>
      <c r="C555" s="11" t="s">
        <v>1669</v>
      </c>
      <c r="D555" s="10" t="s">
        <v>1670</v>
      </c>
      <c r="E555" s="10" t="s">
        <v>1671</v>
      </c>
      <c r="F555" s="9">
        <v>1</v>
      </c>
      <c r="G555" s="9">
        <v>1</v>
      </c>
    </row>
    <row r="556" spans="1:7" ht="25.5">
      <c r="A556" s="4">
        <v>555</v>
      </c>
      <c r="B556" s="5" t="s">
        <v>759</v>
      </c>
      <c r="C556" s="6" t="s">
        <v>1672</v>
      </c>
      <c r="D556" s="5" t="s">
        <v>1673</v>
      </c>
      <c r="E556" s="5" t="s">
        <v>1674</v>
      </c>
      <c r="F556" s="4">
        <v>1</v>
      </c>
      <c r="G556" s="4">
        <v>1</v>
      </c>
    </row>
    <row r="557" spans="1:7" ht="38.25">
      <c r="A557" s="9">
        <v>556</v>
      </c>
      <c r="B557" s="10" t="s">
        <v>759</v>
      </c>
      <c r="C557" s="11" t="s">
        <v>1675</v>
      </c>
      <c r="D557" s="10" t="s">
        <v>1676</v>
      </c>
      <c r="E557" s="10" t="s">
        <v>1677</v>
      </c>
      <c r="F557" s="9">
        <v>1</v>
      </c>
      <c r="G557" s="9">
        <v>1</v>
      </c>
    </row>
    <row r="558" spans="1:7" ht="25.5">
      <c r="A558" s="4">
        <v>557</v>
      </c>
      <c r="B558" s="5" t="s">
        <v>759</v>
      </c>
      <c r="C558" s="6" t="s">
        <v>1678</v>
      </c>
      <c r="D558" s="5" t="s">
        <v>1679</v>
      </c>
      <c r="E558" s="5" t="s">
        <v>1680</v>
      </c>
      <c r="F558" s="4">
        <v>1</v>
      </c>
      <c r="G558" s="4">
        <v>1</v>
      </c>
    </row>
    <row r="559" spans="1:7" ht="25.5">
      <c r="A559" s="9">
        <v>558</v>
      </c>
      <c r="B559" s="10" t="s">
        <v>759</v>
      </c>
      <c r="C559" s="11" t="s">
        <v>1681</v>
      </c>
      <c r="D559" s="10" t="s">
        <v>1682</v>
      </c>
      <c r="E559" s="10" t="s">
        <v>1683</v>
      </c>
      <c r="F559" s="9">
        <v>1</v>
      </c>
      <c r="G559" s="9">
        <v>1</v>
      </c>
    </row>
    <row r="560" spans="1:7" ht="25.5">
      <c r="A560" s="4">
        <v>559</v>
      </c>
      <c r="B560" s="5" t="s">
        <v>759</v>
      </c>
      <c r="C560" s="6" t="s">
        <v>1684</v>
      </c>
      <c r="D560" s="5" t="s">
        <v>1685</v>
      </c>
      <c r="E560" s="5" t="s">
        <v>1686</v>
      </c>
      <c r="F560" s="4">
        <v>1</v>
      </c>
      <c r="G560" s="4">
        <v>1</v>
      </c>
    </row>
    <row r="561" spans="1:7" ht="25.5">
      <c r="A561" s="9">
        <v>560</v>
      </c>
      <c r="B561" s="10" t="s">
        <v>759</v>
      </c>
      <c r="C561" s="11" t="s">
        <v>1687</v>
      </c>
      <c r="D561" s="10" t="s">
        <v>1688</v>
      </c>
      <c r="E561" s="10" t="s">
        <v>1689</v>
      </c>
      <c r="F561" s="9">
        <v>1</v>
      </c>
      <c r="G561" s="9">
        <v>1</v>
      </c>
    </row>
    <row r="562" spans="1:7" ht="25.5">
      <c r="A562" s="4">
        <v>561</v>
      </c>
      <c r="B562" s="5" t="s">
        <v>759</v>
      </c>
      <c r="C562" s="6" t="s">
        <v>1690</v>
      </c>
      <c r="D562" s="5" t="s">
        <v>1691</v>
      </c>
      <c r="E562" s="5" t="s">
        <v>1692</v>
      </c>
      <c r="F562" s="4">
        <v>1</v>
      </c>
      <c r="G562" s="4">
        <v>1</v>
      </c>
    </row>
    <row r="563" spans="1:7" ht="25.5">
      <c r="A563" s="9">
        <v>562</v>
      </c>
      <c r="B563" s="10" t="s">
        <v>759</v>
      </c>
      <c r="C563" s="11" t="s">
        <v>1693</v>
      </c>
      <c r="D563" s="10" t="s">
        <v>1694</v>
      </c>
      <c r="E563" s="10" t="s">
        <v>1695</v>
      </c>
      <c r="F563" s="9">
        <v>1</v>
      </c>
      <c r="G563" s="9">
        <v>1</v>
      </c>
    </row>
    <row r="564" spans="1:7" ht="25.5">
      <c r="A564" s="4">
        <v>563</v>
      </c>
      <c r="B564" s="5" t="s">
        <v>759</v>
      </c>
      <c r="C564" s="6" t="s">
        <v>1696</v>
      </c>
      <c r="D564" s="5" t="s">
        <v>1697</v>
      </c>
      <c r="E564" s="5" t="s">
        <v>1698</v>
      </c>
      <c r="F564" s="4">
        <v>1</v>
      </c>
      <c r="G564" s="4">
        <v>1</v>
      </c>
    </row>
    <row r="565" spans="1:7" ht="25.5">
      <c r="A565" s="9">
        <v>564</v>
      </c>
      <c r="B565" s="10" t="s">
        <v>759</v>
      </c>
      <c r="C565" s="11" t="s">
        <v>1699</v>
      </c>
      <c r="D565" s="10" t="s">
        <v>1700</v>
      </c>
      <c r="E565" s="10" t="s">
        <v>1701</v>
      </c>
      <c r="F565" s="9">
        <v>1</v>
      </c>
      <c r="G565" s="9">
        <v>1</v>
      </c>
    </row>
    <row r="566" spans="1:7" ht="25.5">
      <c r="A566" s="4">
        <v>565</v>
      </c>
      <c r="B566" s="5" t="s">
        <v>759</v>
      </c>
      <c r="C566" s="6" t="s">
        <v>1702</v>
      </c>
      <c r="D566" s="5" t="s">
        <v>1703</v>
      </c>
      <c r="E566" s="5" t="s">
        <v>1704</v>
      </c>
      <c r="F566" s="4">
        <v>1</v>
      </c>
      <c r="G566" s="4">
        <v>1</v>
      </c>
    </row>
    <row r="567" spans="1:7" ht="25.5">
      <c r="A567" s="9">
        <v>566</v>
      </c>
      <c r="B567" s="10" t="s">
        <v>759</v>
      </c>
      <c r="C567" s="11" t="s">
        <v>1705</v>
      </c>
      <c r="D567" s="10" t="s">
        <v>1706</v>
      </c>
      <c r="E567" s="10" t="s">
        <v>1707</v>
      </c>
      <c r="F567" s="9">
        <v>1</v>
      </c>
      <c r="G567" s="9">
        <v>1</v>
      </c>
    </row>
    <row r="568" spans="1:7" ht="25.5">
      <c r="A568" s="4">
        <v>567</v>
      </c>
      <c r="B568" s="5" t="s">
        <v>759</v>
      </c>
      <c r="C568" s="6" t="s">
        <v>1708</v>
      </c>
      <c r="D568" s="5" t="s">
        <v>1709</v>
      </c>
      <c r="E568" s="5" t="s">
        <v>1710</v>
      </c>
      <c r="F568" s="4">
        <v>1</v>
      </c>
      <c r="G568" s="4">
        <v>1</v>
      </c>
    </row>
    <row r="569" spans="1:7" ht="25.5">
      <c r="A569" s="9">
        <v>568</v>
      </c>
      <c r="B569" s="10" t="s">
        <v>759</v>
      </c>
      <c r="C569" s="11" t="s">
        <v>1711</v>
      </c>
      <c r="D569" s="10" t="s">
        <v>1712</v>
      </c>
      <c r="E569" s="10" t="s">
        <v>1713</v>
      </c>
      <c r="F569" s="9">
        <v>1</v>
      </c>
      <c r="G569" s="9">
        <v>1</v>
      </c>
    </row>
    <row r="570" spans="1:7" ht="25.5">
      <c r="A570" s="4">
        <v>569</v>
      </c>
      <c r="B570" s="5" t="s">
        <v>759</v>
      </c>
      <c r="C570" s="6" t="s">
        <v>1714</v>
      </c>
      <c r="D570" s="5" t="s">
        <v>1715</v>
      </c>
      <c r="E570" s="5" t="s">
        <v>1716</v>
      </c>
      <c r="F570" s="4">
        <v>1</v>
      </c>
      <c r="G570" s="4">
        <v>1</v>
      </c>
    </row>
    <row r="571" spans="1:7" ht="25.5">
      <c r="A571" s="9">
        <v>570</v>
      </c>
      <c r="B571" s="10" t="s">
        <v>759</v>
      </c>
      <c r="C571" s="11" t="s">
        <v>1717</v>
      </c>
      <c r="D571" s="10" t="s">
        <v>1718</v>
      </c>
      <c r="E571" s="10" t="s">
        <v>1719</v>
      </c>
      <c r="F571" s="9">
        <v>1</v>
      </c>
      <c r="G571" s="9">
        <v>1</v>
      </c>
    </row>
    <row r="572" spans="1:7" ht="25.5">
      <c r="A572" s="4">
        <v>571</v>
      </c>
      <c r="B572" s="5" t="s">
        <v>759</v>
      </c>
      <c r="C572" s="6" t="s">
        <v>1720</v>
      </c>
      <c r="D572" s="5" t="s">
        <v>1721</v>
      </c>
      <c r="E572" s="5" t="s">
        <v>1722</v>
      </c>
      <c r="F572" s="4">
        <v>1</v>
      </c>
      <c r="G572" s="4">
        <v>1</v>
      </c>
    </row>
    <row r="573" spans="1:7" ht="25.5">
      <c r="A573" s="9">
        <v>572</v>
      </c>
      <c r="B573" s="10" t="s">
        <v>759</v>
      </c>
      <c r="C573" s="11" t="s">
        <v>1723</v>
      </c>
      <c r="D573" s="10" t="s">
        <v>1724</v>
      </c>
      <c r="E573" s="10" t="s">
        <v>1725</v>
      </c>
      <c r="F573" s="9">
        <v>1</v>
      </c>
      <c r="G573" s="9">
        <v>1</v>
      </c>
    </row>
    <row r="574" spans="1:7" ht="25.5">
      <c r="A574" s="4">
        <v>573</v>
      </c>
      <c r="B574" s="5" t="s">
        <v>759</v>
      </c>
      <c r="C574" s="6" t="s">
        <v>1726</v>
      </c>
      <c r="D574" s="5" t="s">
        <v>1727</v>
      </c>
      <c r="E574" s="5" t="s">
        <v>1728</v>
      </c>
      <c r="F574" s="4">
        <v>1</v>
      </c>
      <c r="G574" s="4">
        <v>1</v>
      </c>
    </row>
    <row r="575" spans="1:7" ht="25.5">
      <c r="A575" s="9">
        <v>574</v>
      </c>
      <c r="B575" s="10" t="s">
        <v>759</v>
      </c>
      <c r="C575" s="11" t="s">
        <v>1729</v>
      </c>
      <c r="D575" s="10" t="s">
        <v>1730</v>
      </c>
      <c r="E575" s="10" t="s">
        <v>1731</v>
      </c>
      <c r="F575" s="9">
        <v>1</v>
      </c>
      <c r="G575" s="9">
        <v>1</v>
      </c>
    </row>
    <row r="576" spans="1:7" ht="25.5">
      <c r="A576" s="4">
        <v>575</v>
      </c>
      <c r="B576" s="5" t="s">
        <v>759</v>
      </c>
      <c r="C576" s="6" t="s">
        <v>1732</v>
      </c>
      <c r="D576" s="5" t="s">
        <v>1733</v>
      </c>
      <c r="E576" s="5" t="s">
        <v>1734</v>
      </c>
      <c r="F576" s="4">
        <v>1</v>
      </c>
      <c r="G576" s="4">
        <v>1</v>
      </c>
    </row>
    <row r="577" spans="1:7" ht="25.5">
      <c r="A577" s="9">
        <v>576</v>
      </c>
      <c r="B577" s="10" t="s">
        <v>759</v>
      </c>
      <c r="C577" s="11" t="s">
        <v>1735</v>
      </c>
      <c r="D577" s="10" t="s">
        <v>1736</v>
      </c>
      <c r="E577" s="10" t="s">
        <v>1737</v>
      </c>
      <c r="F577" s="9">
        <v>1</v>
      </c>
      <c r="G577" s="9">
        <v>1</v>
      </c>
    </row>
    <row r="578" spans="1:7" ht="25.5">
      <c r="A578" s="4">
        <v>577</v>
      </c>
      <c r="B578" s="5" t="s">
        <v>759</v>
      </c>
      <c r="C578" s="6" t="s">
        <v>1738</v>
      </c>
      <c r="D578" s="5" t="s">
        <v>1739</v>
      </c>
      <c r="E578" s="5" t="s">
        <v>1740</v>
      </c>
      <c r="F578" s="4">
        <v>1</v>
      </c>
      <c r="G578" s="4">
        <v>1</v>
      </c>
    </row>
    <row r="579" spans="1:7" ht="25.5">
      <c r="A579" s="9">
        <v>578</v>
      </c>
      <c r="B579" s="10" t="s">
        <v>759</v>
      </c>
      <c r="C579" s="11" t="s">
        <v>1741</v>
      </c>
      <c r="D579" s="10" t="s">
        <v>1742</v>
      </c>
      <c r="E579" s="10" t="s">
        <v>1743</v>
      </c>
      <c r="F579" s="9">
        <v>1</v>
      </c>
      <c r="G579" s="9">
        <v>1</v>
      </c>
    </row>
    <row r="580" spans="1:7" ht="25.5">
      <c r="A580" s="4">
        <v>579</v>
      </c>
      <c r="B580" s="5" t="s">
        <v>759</v>
      </c>
      <c r="C580" s="6" t="s">
        <v>1744</v>
      </c>
      <c r="D580" s="5" t="s">
        <v>1745</v>
      </c>
      <c r="E580" s="5" t="s">
        <v>1746</v>
      </c>
      <c r="F580" s="4">
        <v>1</v>
      </c>
      <c r="G580" s="4">
        <v>1</v>
      </c>
    </row>
    <row r="581" spans="1:7" ht="25.5">
      <c r="A581" s="9">
        <v>580</v>
      </c>
      <c r="B581" s="10" t="s">
        <v>759</v>
      </c>
      <c r="C581" s="11" t="s">
        <v>1747</v>
      </c>
      <c r="D581" s="10" t="s">
        <v>1748</v>
      </c>
      <c r="E581" s="10" t="s">
        <v>1749</v>
      </c>
      <c r="F581" s="9">
        <v>1</v>
      </c>
      <c r="G581" s="9">
        <v>1</v>
      </c>
    </row>
    <row r="582" spans="1:7" ht="38.25">
      <c r="A582" s="4">
        <v>581</v>
      </c>
      <c r="B582" s="5" t="s">
        <v>759</v>
      </c>
      <c r="C582" s="6" t="s">
        <v>1750</v>
      </c>
      <c r="D582" s="5" t="s">
        <v>1751</v>
      </c>
      <c r="E582" s="5" t="s">
        <v>1752</v>
      </c>
      <c r="F582" s="4">
        <v>1</v>
      </c>
      <c r="G582" s="4">
        <v>1</v>
      </c>
    </row>
    <row r="583" spans="1:7" ht="25.5">
      <c r="A583" s="9">
        <v>582</v>
      </c>
      <c r="B583" s="10" t="s">
        <v>759</v>
      </c>
      <c r="C583" s="11" t="s">
        <v>1753</v>
      </c>
      <c r="D583" s="10" t="s">
        <v>1754</v>
      </c>
      <c r="E583" s="10" t="s">
        <v>1755</v>
      </c>
      <c r="F583" s="9">
        <v>1</v>
      </c>
      <c r="G583" s="9">
        <v>1</v>
      </c>
    </row>
    <row r="584" spans="1:7" ht="25.5">
      <c r="A584" s="4">
        <v>583</v>
      </c>
      <c r="B584" s="5" t="s">
        <v>759</v>
      </c>
      <c r="C584" s="6" t="s">
        <v>1756</v>
      </c>
      <c r="D584" s="5" t="s">
        <v>1757</v>
      </c>
      <c r="E584" s="5" t="s">
        <v>1758</v>
      </c>
      <c r="F584" s="4">
        <v>1</v>
      </c>
      <c r="G584" s="4">
        <v>1</v>
      </c>
    </row>
    <row r="585" spans="1:7" ht="25.5">
      <c r="A585" s="9">
        <v>584</v>
      </c>
      <c r="B585" s="10" t="s">
        <v>759</v>
      </c>
      <c r="C585" s="11" t="s">
        <v>1759</v>
      </c>
      <c r="D585" s="10" t="s">
        <v>1760</v>
      </c>
      <c r="E585" s="10" t="s">
        <v>1761</v>
      </c>
      <c r="F585" s="9">
        <v>1</v>
      </c>
      <c r="G585" s="9">
        <v>1</v>
      </c>
    </row>
    <row r="586" spans="1:7" ht="25.5">
      <c r="A586" s="4">
        <v>585</v>
      </c>
      <c r="B586" s="5" t="s">
        <v>759</v>
      </c>
      <c r="C586" s="6" t="s">
        <v>1762</v>
      </c>
      <c r="D586" s="5" t="s">
        <v>1763</v>
      </c>
      <c r="E586" s="5" t="s">
        <v>1764</v>
      </c>
      <c r="F586" s="4">
        <v>1</v>
      </c>
      <c r="G586" s="4">
        <v>1</v>
      </c>
    </row>
    <row r="587" spans="1:7" ht="25.5">
      <c r="A587" s="9">
        <v>586</v>
      </c>
      <c r="B587" s="10" t="s">
        <v>759</v>
      </c>
      <c r="C587" s="11" t="s">
        <v>1765</v>
      </c>
      <c r="D587" s="10" t="s">
        <v>1766</v>
      </c>
      <c r="E587" s="10" t="s">
        <v>1767</v>
      </c>
      <c r="F587" s="9">
        <v>1</v>
      </c>
      <c r="G587" s="9">
        <v>1</v>
      </c>
    </row>
    <row r="588" spans="1:7" ht="25.5">
      <c r="A588" s="4">
        <v>587</v>
      </c>
      <c r="B588" s="5" t="s">
        <v>759</v>
      </c>
      <c r="C588" s="6" t="s">
        <v>1768</v>
      </c>
      <c r="D588" s="5" t="s">
        <v>1769</v>
      </c>
      <c r="E588" s="5" t="s">
        <v>1770</v>
      </c>
      <c r="F588" s="4">
        <v>1</v>
      </c>
      <c r="G588" s="4">
        <v>1</v>
      </c>
    </row>
    <row r="589" spans="1:7" ht="25.5">
      <c r="A589" s="9">
        <v>588</v>
      </c>
      <c r="B589" s="10" t="s">
        <v>759</v>
      </c>
      <c r="C589" s="11" t="s">
        <v>1771</v>
      </c>
      <c r="D589" s="10" t="s">
        <v>1772</v>
      </c>
      <c r="E589" s="10" t="s">
        <v>1773</v>
      </c>
      <c r="F589" s="9">
        <v>1</v>
      </c>
      <c r="G589" s="9">
        <v>1</v>
      </c>
    </row>
    <row r="590" spans="1:7" ht="25.5">
      <c r="A590" s="4">
        <v>589</v>
      </c>
      <c r="B590" s="5" t="s">
        <v>759</v>
      </c>
      <c r="C590" s="6" t="s">
        <v>1774</v>
      </c>
      <c r="D590" s="5" t="s">
        <v>1775</v>
      </c>
      <c r="E590" s="5" t="s">
        <v>1776</v>
      </c>
      <c r="F590" s="4">
        <v>1</v>
      </c>
      <c r="G590" s="4">
        <v>1</v>
      </c>
    </row>
    <row r="591" spans="1:7" ht="25.5">
      <c r="A591" s="9">
        <v>590</v>
      </c>
      <c r="B591" s="10" t="s">
        <v>759</v>
      </c>
      <c r="C591" s="11" t="s">
        <v>1777</v>
      </c>
      <c r="D591" s="10" t="s">
        <v>1778</v>
      </c>
      <c r="E591" s="10" t="s">
        <v>1779</v>
      </c>
      <c r="F591" s="9">
        <v>1</v>
      </c>
      <c r="G591" s="9">
        <v>1</v>
      </c>
    </row>
    <row r="592" spans="1:7" ht="25.5">
      <c r="A592" s="4">
        <v>591</v>
      </c>
      <c r="B592" s="5" t="s">
        <v>759</v>
      </c>
      <c r="C592" s="6" t="s">
        <v>1780</v>
      </c>
      <c r="D592" s="5" t="s">
        <v>1781</v>
      </c>
      <c r="E592" s="5" t="s">
        <v>1782</v>
      </c>
      <c r="F592" s="4">
        <v>1</v>
      </c>
      <c r="G592" s="4">
        <v>1</v>
      </c>
    </row>
    <row r="593" spans="1:7" ht="25.5">
      <c r="A593" s="9">
        <v>592</v>
      </c>
      <c r="B593" s="10" t="s">
        <v>759</v>
      </c>
      <c r="C593" s="11" t="s">
        <v>1783</v>
      </c>
      <c r="D593" s="10" t="s">
        <v>1784</v>
      </c>
      <c r="E593" s="10" t="s">
        <v>1785</v>
      </c>
      <c r="F593" s="9">
        <v>1</v>
      </c>
      <c r="G593" s="9">
        <v>1</v>
      </c>
    </row>
    <row r="594" spans="1:7" ht="25.5">
      <c r="A594" s="4">
        <v>593</v>
      </c>
      <c r="B594" s="5" t="s">
        <v>759</v>
      </c>
      <c r="C594" s="6" t="s">
        <v>1786</v>
      </c>
      <c r="D594" s="5" t="s">
        <v>1787</v>
      </c>
      <c r="E594" s="5" t="s">
        <v>1788</v>
      </c>
      <c r="F594" s="4">
        <v>1</v>
      </c>
      <c r="G594" s="4">
        <v>1</v>
      </c>
    </row>
    <row r="595" spans="1:7" ht="25.5">
      <c r="A595" s="9">
        <v>594</v>
      </c>
      <c r="B595" s="10" t="s">
        <v>759</v>
      </c>
      <c r="C595" s="11" t="s">
        <v>1789</v>
      </c>
      <c r="D595" s="10" t="s">
        <v>1790</v>
      </c>
      <c r="E595" s="10" t="s">
        <v>1791</v>
      </c>
      <c r="F595" s="9">
        <v>1</v>
      </c>
      <c r="G595" s="9">
        <v>1</v>
      </c>
    </row>
    <row r="596" spans="1:7" ht="25.5">
      <c r="A596" s="4">
        <v>595</v>
      </c>
      <c r="B596" s="5" t="s">
        <v>759</v>
      </c>
      <c r="C596" s="6" t="s">
        <v>1792</v>
      </c>
      <c r="D596" s="5" t="s">
        <v>1793</v>
      </c>
      <c r="E596" s="5" t="s">
        <v>1794</v>
      </c>
      <c r="F596" s="4">
        <v>1</v>
      </c>
      <c r="G596" s="4">
        <v>1</v>
      </c>
    </row>
    <row r="597" spans="1:7" ht="25.5">
      <c r="A597" s="9">
        <v>596</v>
      </c>
      <c r="B597" s="10" t="s">
        <v>759</v>
      </c>
      <c r="C597" s="11" t="s">
        <v>1795</v>
      </c>
      <c r="D597" s="10" t="s">
        <v>1796</v>
      </c>
      <c r="E597" s="10" t="s">
        <v>1797</v>
      </c>
      <c r="F597" s="9">
        <v>1</v>
      </c>
      <c r="G597" s="9">
        <v>1</v>
      </c>
    </row>
    <row r="598" spans="1:7" ht="25.5">
      <c r="A598" s="4">
        <v>597</v>
      </c>
      <c r="B598" s="5" t="s">
        <v>759</v>
      </c>
      <c r="C598" s="6" t="s">
        <v>1798</v>
      </c>
      <c r="D598" s="5" t="s">
        <v>1799</v>
      </c>
      <c r="E598" s="5" t="s">
        <v>1800</v>
      </c>
      <c r="F598" s="4">
        <v>1</v>
      </c>
      <c r="G598" s="4">
        <v>1</v>
      </c>
    </row>
    <row r="599" spans="1:7" ht="25.5">
      <c r="A599" s="9">
        <v>598</v>
      </c>
      <c r="B599" s="10" t="s">
        <v>759</v>
      </c>
      <c r="C599" s="11" t="s">
        <v>1801</v>
      </c>
      <c r="D599" s="10" t="s">
        <v>1802</v>
      </c>
      <c r="E599" s="10" t="s">
        <v>1803</v>
      </c>
      <c r="F599" s="9">
        <v>1</v>
      </c>
      <c r="G599" s="9">
        <v>1</v>
      </c>
    </row>
    <row r="600" spans="1:7" ht="25.5">
      <c r="A600" s="4">
        <v>599</v>
      </c>
      <c r="B600" s="5" t="s">
        <v>759</v>
      </c>
      <c r="C600" s="6" t="s">
        <v>1804</v>
      </c>
      <c r="D600" s="5" t="s">
        <v>1805</v>
      </c>
      <c r="E600" s="5" t="s">
        <v>1806</v>
      </c>
      <c r="F600" s="4">
        <v>1</v>
      </c>
      <c r="G600" s="4">
        <v>1</v>
      </c>
    </row>
    <row r="601" spans="1:7" ht="25.5">
      <c r="A601" s="9">
        <v>600</v>
      </c>
      <c r="B601" s="10" t="s">
        <v>759</v>
      </c>
      <c r="C601" s="11" t="s">
        <v>1807</v>
      </c>
      <c r="D601" s="10" t="s">
        <v>1808</v>
      </c>
      <c r="E601" s="10" t="s">
        <v>1809</v>
      </c>
      <c r="F601" s="9">
        <v>1</v>
      </c>
      <c r="G601" s="9">
        <v>1</v>
      </c>
    </row>
    <row r="602" spans="1:7" ht="25.5">
      <c r="A602" s="4">
        <v>601</v>
      </c>
      <c r="B602" s="5" t="s">
        <v>759</v>
      </c>
      <c r="C602" s="6" t="s">
        <v>1810</v>
      </c>
      <c r="D602" s="5" t="s">
        <v>1811</v>
      </c>
      <c r="E602" s="5" t="s">
        <v>1812</v>
      </c>
      <c r="F602" s="4">
        <v>1</v>
      </c>
      <c r="G602" s="4">
        <v>1</v>
      </c>
    </row>
    <row r="603" spans="1:7" ht="25.5">
      <c r="A603" s="9">
        <v>602</v>
      </c>
      <c r="B603" s="10" t="s">
        <v>759</v>
      </c>
      <c r="C603" s="11" t="s">
        <v>1813</v>
      </c>
      <c r="D603" s="10" t="s">
        <v>1814</v>
      </c>
      <c r="E603" s="10" t="s">
        <v>1815</v>
      </c>
      <c r="F603" s="9">
        <v>1</v>
      </c>
      <c r="G603" s="9">
        <v>1</v>
      </c>
    </row>
    <row r="604" spans="1:7" ht="25.5">
      <c r="A604" s="4">
        <v>603</v>
      </c>
      <c r="B604" s="5" t="s">
        <v>759</v>
      </c>
      <c r="C604" s="6" t="s">
        <v>1816</v>
      </c>
      <c r="D604" s="5" t="s">
        <v>1817</v>
      </c>
      <c r="E604" s="5" t="s">
        <v>1818</v>
      </c>
      <c r="F604" s="4">
        <v>1</v>
      </c>
      <c r="G604" s="4">
        <v>1</v>
      </c>
    </row>
    <row r="605" spans="1:7" ht="25.5">
      <c r="A605" s="9">
        <v>604</v>
      </c>
      <c r="B605" s="10" t="s">
        <v>759</v>
      </c>
      <c r="C605" s="11" t="s">
        <v>1819</v>
      </c>
      <c r="D605" s="10" t="s">
        <v>1820</v>
      </c>
      <c r="E605" s="10" t="s">
        <v>1821</v>
      </c>
      <c r="F605" s="9">
        <v>1</v>
      </c>
      <c r="G605" s="9">
        <v>1</v>
      </c>
    </row>
    <row r="606" spans="1:7" ht="25.5">
      <c r="A606" s="4">
        <v>605</v>
      </c>
      <c r="B606" s="5" t="s">
        <v>759</v>
      </c>
      <c r="C606" s="6" t="s">
        <v>1822</v>
      </c>
      <c r="D606" s="5" t="s">
        <v>1823</v>
      </c>
      <c r="E606" s="5" t="s">
        <v>1824</v>
      </c>
      <c r="F606" s="4">
        <v>1</v>
      </c>
      <c r="G606" s="4">
        <v>1</v>
      </c>
    </row>
    <row r="607" spans="1:7" ht="25.5">
      <c r="A607" s="9">
        <v>606</v>
      </c>
      <c r="B607" s="10" t="s">
        <v>759</v>
      </c>
      <c r="C607" s="11" t="s">
        <v>1825</v>
      </c>
      <c r="D607" s="10" t="s">
        <v>1826</v>
      </c>
      <c r="E607" s="10" t="s">
        <v>1827</v>
      </c>
      <c r="F607" s="9">
        <v>1</v>
      </c>
      <c r="G607" s="9">
        <v>1</v>
      </c>
    </row>
    <row r="608" spans="1:7" ht="25.5">
      <c r="A608" s="4">
        <v>607</v>
      </c>
      <c r="B608" s="5" t="s">
        <v>759</v>
      </c>
      <c r="C608" s="6" t="s">
        <v>1828</v>
      </c>
      <c r="D608" s="5" t="s">
        <v>1829</v>
      </c>
      <c r="E608" s="5" t="s">
        <v>1830</v>
      </c>
      <c r="F608" s="4">
        <v>1</v>
      </c>
      <c r="G608" s="4">
        <v>1</v>
      </c>
    </row>
    <row r="609" spans="1:7" ht="25.5">
      <c r="A609" s="9">
        <v>608</v>
      </c>
      <c r="B609" s="10" t="s">
        <v>759</v>
      </c>
      <c r="C609" s="11" t="s">
        <v>1831</v>
      </c>
      <c r="D609" s="10" t="s">
        <v>1832</v>
      </c>
      <c r="E609" s="10" t="s">
        <v>1833</v>
      </c>
      <c r="F609" s="9">
        <v>1</v>
      </c>
      <c r="G609" s="9">
        <v>1</v>
      </c>
    </row>
    <row r="610" spans="1:7" ht="25.5">
      <c r="A610" s="4">
        <v>609</v>
      </c>
      <c r="B610" s="5" t="s">
        <v>759</v>
      </c>
      <c r="C610" s="6" t="s">
        <v>1834</v>
      </c>
      <c r="D610" s="5" t="s">
        <v>1835</v>
      </c>
      <c r="E610" s="5" t="s">
        <v>1836</v>
      </c>
      <c r="F610" s="4">
        <v>1</v>
      </c>
      <c r="G610" s="4">
        <v>1</v>
      </c>
    </row>
    <row r="611" spans="1:7" ht="25.5">
      <c r="A611" s="9">
        <v>610</v>
      </c>
      <c r="B611" s="10" t="s">
        <v>759</v>
      </c>
      <c r="C611" s="11" t="s">
        <v>1837</v>
      </c>
      <c r="D611" s="10" t="s">
        <v>1838</v>
      </c>
      <c r="E611" s="10" t="s">
        <v>1839</v>
      </c>
      <c r="F611" s="9">
        <v>1</v>
      </c>
      <c r="G611" s="9">
        <v>1</v>
      </c>
    </row>
    <row r="612" spans="1:7" ht="25.5">
      <c r="A612" s="4">
        <v>611</v>
      </c>
      <c r="B612" s="5" t="s">
        <v>759</v>
      </c>
      <c r="C612" s="6" t="s">
        <v>1840</v>
      </c>
      <c r="D612" s="5" t="s">
        <v>1841</v>
      </c>
      <c r="E612" s="5" t="s">
        <v>1842</v>
      </c>
      <c r="F612" s="4">
        <v>1</v>
      </c>
      <c r="G612" s="4">
        <v>1</v>
      </c>
    </row>
    <row r="613" spans="1:7" ht="25.5">
      <c r="A613" s="9">
        <v>612</v>
      </c>
      <c r="B613" s="10" t="s">
        <v>759</v>
      </c>
      <c r="C613" s="11" t="s">
        <v>1843</v>
      </c>
      <c r="D613" s="10" t="s">
        <v>1844</v>
      </c>
      <c r="E613" s="10" t="s">
        <v>1845</v>
      </c>
      <c r="F613" s="9">
        <v>1</v>
      </c>
      <c r="G613" s="9">
        <v>1</v>
      </c>
    </row>
    <row r="614" spans="1:7" ht="25.5">
      <c r="A614" s="4">
        <v>613</v>
      </c>
      <c r="B614" s="5" t="s">
        <v>759</v>
      </c>
      <c r="C614" s="6" t="s">
        <v>1846</v>
      </c>
      <c r="D614" s="5" t="s">
        <v>1847</v>
      </c>
      <c r="E614" s="5" t="s">
        <v>1848</v>
      </c>
      <c r="F614" s="4">
        <v>1</v>
      </c>
      <c r="G614" s="4">
        <v>1</v>
      </c>
    </row>
    <row r="615" spans="1:7" ht="25.5">
      <c r="A615" s="9">
        <v>614</v>
      </c>
      <c r="B615" s="10" t="s">
        <v>759</v>
      </c>
      <c r="C615" s="11" t="s">
        <v>1849</v>
      </c>
      <c r="D615" s="10" t="s">
        <v>1850</v>
      </c>
      <c r="E615" s="10" t="s">
        <v>1851</v>
      </c>
      <c r="F615" s="9">
        <v>1</v>
      </c>
      <c r="G615" s="9">
        <v>1</v>
      </c>
    </row>
    <row r="616" spans="1:7" ht="25.5">
      <c r="A616" s="4">
        <v>615</v>
      </c>
      <c r="B616" s="5" t="s">
        <v>759</v>
      </c>
      <c r="C616" s="6" t="s">
        <v>1852</v>
      </c>
      <c r="D616" s="5" t="s">
        <v>1853</v>
      </c>
      <c r="E616" s="5" t="s">
        <v>1854</v>
      </c>
      <c r="F616" s="4">
        <v>1</v>
      </c>
      <c r="G616" s="4">
        <v>1</v>
      </c>
    </row>
    <row r="617" spans="1:7" ht="25.5">
      <c r="A617" s="9">
        <v>616</v>
      </c>
      <c r="B617" s="10" t="s">
        <v>759</v>
      </c>
      <c r="C617" s="11" t="s">
        <v>1855</v>
      </c>
      <c r="D617" s="10" t="s">
        <v>1856</v>
      </c>
      <c r="E617" s="10" t="s">
        <v>1857</v>
      </c>
      <c r="F617" s="9">
        <v>1</v>
      </c>
      <c r="G617" s="9">
        <v>1</v>
      </c>
    </row>
    <row r="618" spans="1:7" ht="25.5">
      <c r="A618" s="4">
        <v>617</v>
      </c>
      <c r="B618" s="5" t="s">
        <v>759</v>
      </c>
      <c r="C618" s="6" t="s">
        <v>1858</v>
      </c>
      <c r="D618" s="5" t="s">
        <v>1859</v>
      </c>
      <c r="E618" s="5" t="s">
        <v>1860</v>
      </c>
      <c r="F618" s="4">
        <v>1</v>
      </c>
      <c r="G618" s="4">
        <v>1</v>
      </c>
    </row>
    <row r="619" spans="1:7" ht="25.5">
      <c r="A619" s="9">
        <v>618</v>
      </c>
      <c r="B619" s="10" t="s">
        <v>759</v>
      </c>
      <c r="C619" s="11" t="s">
        <v>1861</v>
      </c>
      <c r="D619" s="10" t="s">
        <v>1862</v>
      </c>
      <c r="E619" s="10" t="s">
        <v>1863</v>
      </c>
      <c r="F619" s="9">
        <v>1</v>
      </c>
      <c r="G619" s="9">
        <v>1</v>
      </c>
    </row>
    <row r="620" spans="1:7" ht="25.5">
      <c r="A620" s="4">
        <v>619</v>
      </c>
      <c r="B620" s="5" t="s">
        <v>759</v>
      </c>
      <c r="C620" s="6" t="s">
        <v>1864</v>
      </c>
      <c r="D620" s="5" t="s">
        <v>1865</v>
      </c>
      <c r="E620" s="5" t="s">
        <v>1866</v>
      </c>
      <c r="F620" s="4">
        <v>1</v>
      </c>
      <c r="G620" s="4">
        <v>1</v>
      </c>
    </row>
    <row r="621" spans="1:7" ht="25.5">
      <c r="A621" s="9">
        <v>620</v>
      </c>
      <c r="B621" s="10" t="s">
        <v>759</v>
      </c>
      <c r="C621" s="11" t="s">
        <v>1867</v>
      </c>
      <c r="D621" s="10" t="s">
        <v>1868</v>
      </c>
      <c r="E621" s="10" t="s">
        <v>1869</v>
      </c>
      <c r="F621" s="9">
        <v>1</v>
      </c>
      <c r="G621" s="9">
        <v>1</v>
      </c>
    </row>
    <row r="622" spans="1:7" ht="25.5">
      <c r="A622" s="4">
        <v>621</v>
      </c>
      <c r="B622" s="5" t="s">
        <v>759</v>
      </c>
      <c r="C622" s="6" t="s">
        <v>1870</v>
      </c>
      <c r="D622" s="5" t="s">
        <v>1871</v>
      </c>
      <c r="E622" s="5" t="s">
        <v>1872</v>
      </c>
      <c r="F622" s="4">
        <v>1</v>
      </c>
      <c r="G622" s="4">
        <v>1</v>
      </c>
    </row>
    <row r="623" spans="1:7" ht="25.5">
      <c r="A623" s="9">
        <v>622</v>
      </c>
      <c r="B623" s="10" t="s">
        <v>759</v>
      </c>
      <c r="C623" s="11" t="s">
        <v>1873</v>
      </c>
      <c r="D623" s="10" t="s">
        <v>1874</v>
      </c>
      <c r="E623" s="10" t="s">
        <v>1875</v>
      </c>
      <c r="F623" s="9">
        <v>1</v>
      </c>
      <c r="G623" s="9">
        <v>1</v>
      </c>
    </row>
    <row r="624" spans="1:7" ht="25.5">
      <c r="A624" s="4">
        <v>623</v>
      </c>
      <c r="B624" s="5" t="s">
        <v>759</v>
      </c>
      <c r="C624" s="6" t="s">
        <v>1876</v>
      </c>
      <c r="D624" s="5" t="s">
        <v>1877</v>
      </c>
      <c r="E624" s="5" t="s">
        <v>1878</v>
      </c>
      <c r="F624" s="4">
        <v>1</v>
      </c>
      <c r="G624" s="4">
        <v>1</v>
      </c>
    </row>
    <row r="625" spans="1:7" ht="25.5">
      <c r="A625" s="9">
        <v>624</v>
      </c>
      <c r="B625" s="10" t="s">
        <v>759</v>
      </c>
      <c r="C625" s="11" t="s">
        <v>1879</v>
      </c>
      <c r="D625" s="10" t="s">
        <v>1880</v>
      </c>
      <c r="E625" s="10" t="s">
        <v>1881</v>
      </c>
      <c r="F625" s="9">
        <v>1</v>
      </c>
      <c r="G625" s="9">
        <v>1</v>
      </c>
    </row>
    <row r="626" spans="1:7" ht="25.5">
      <c r="A626" s="4">
        <v>625</v>
      </c>
      <c r="B626" s="5" t="s">
        <v>759</v>
      </c>
      <c r="C626" s="6" t="s">
        <v>1882</v>
      </c>
      <c r="D626" s="5" t="s">
        <v>1883</v>
      </c>
      <c r="E626" s="5" t="s">
        <v>1884</v>
      </c>
      <c r="F626" s="4">
        <v>1</v>
      </c>
      <c r="G626" s="4">
        <v>1</v>
      </c>
    </row>
    <row r="627" spans="1:7" ht="25.5">
      <c r="A627" s="9">
        <v>626</v>
      </c>
      <c r="B627" s="10" t="s">
        <v>759</v>
      </c>
      <c r="C627" s="11" t="s">
        <v>1885</v>
      </c>
      <c r="D627" s="10" t="s">
        <v>1886</v>
      </c>
      <c r="E627" s="10" t="s">
        <v>1887</v>
      </c>
      <c r="F627" s="9">
        <v>1</v>
      </c>
      <c r="G627" s="9">
        <v>1</v>
      </c>
    </row>
    <row r="628" spans="1:7" ht="25.5">
      <c r="A628" s="4">
        <v>627</v>
      </c>
      <c r="B628" s="5" t="s">
        <v>759</v>
      </c>
      <c r="C628" s="6" t="s">
        <v>1888</v>
      </c>
      <c r="D628" s="5" t="s">
        <v>1889</v>
      </c>
      <c r="E628" s="5" t="s">
        <v>1890</v>
      </c>
      <c r="F628" s="4">
        <v>1</v>
      </c>
      <c r="G628" s="4">
        <v>1</v>
      </c>
    </row>
    <row r="629" spans="1:7" ht="25.5">
      <c r="A629" s="9">
        <v>628</v>
      </c>
      <c r="B629" s="10" t="s">
        <v>759</v>
      </c>
      <c r="C629" s="11" t="s">
        <v>1891</v>
      </c>
      <c r="D629" s="10" t="s">
        <v>1892</v>
      </c>
      <c r="E629" s="10" t="s">
        <v>1893</v>
      </c>
      <c r="F629" s="9">
        <v>1</v>
      </c>
      <c r="G629" s="9">
        <v>1</v>
      </c>
    </row>
    <row r="630" spans="1:7" ht="25.5">
      <c r="A630" s="4">
        <v>629</v>
      </c>
      <c r="B630" s="5" t="s">
        <v>759</v>
      </c>
      <c r="C630" s="6" t="s">
        <v>1894</v>
      </c>
      <c r="D630" s="5" t="s">
        <v>1895</v>
      </c>
      <c r="E630" s="5" t="s">
        <v>1896</v>
      </c>
      <c r="F630" s="4">
        <v>1</v>
      </c>
      <c r="G630" s="4">
        <v>1</v>
      </c>
    </row>
    <row r="631" spans="1:7" ht="25.5">
      <c r="A631" s="9">
        <v>630</v>
      </c>
      <c r="B631" s="10" t="s">
        <v>759</v>
      </c>
      <c r="C631" s="11" t="s">
        <v>1897</v>
      </c>
      <c r="D631" s="10" t="s">
        <v>1898</v>
      </c>
      <c r="E631" s="10" t="s">
        <v>1899</v>
      </c>
      <c r="F631" s="9">
        <v>1</v>
      </c>
      <c r="G631" s="9">
        <v>1</v>
      </c>
    </row>
    <row r="632" spans="1:7" ht="25.5">
      <c r="A632" s="4">
        <v>631</v>
      </c>
      <c r="B632" s="5" t="s">
        <v>759</v>
      </c>
      <c r="C632" s="6" t="s">
        <v>1900</v>
      </c>
      <c r="D632" s="5" t="s">
        <v>1901</v>
      </c>
      <c r="E632" s="5" t="s">
        <v>1902</v>
      </c>
      <c r="F632" s="4">
        <v>1</v>
      </c>
      <c r="G632" s="4">
        <v>1</v>
      </c>
    </row>
    <row r="633" spans="1:7" ht="25.5">
      <c r="A633" s="9">
        <v>632</v>
      </c>
      <c r="B633" s="10" t="s">
        <v>759</v>
      </c>
      <c r="C633" s="11" t="s">
        <v>1903</v>
      </c>
      <c r="D633" s="10" t="s">
        <v>1904</v>
      </c>
      <c r="E633" s="10" t="s">
        <v>1905</v>
      </c>
      <c r="F633" s="9">
        <v>1</v>
      </c>
      <c r="G633" s="9">
        <v>1</v>
      </c>
    </row>
    <row r="634" spans="1:7" ht="25.5">
      <c r="A634" s="4">
        <v>633</v>
      </c>
      <c r="B634" s="5" t="s">
        <v>759</v>
      </c>
      <c r="C634" s="6" t="s">
        <v>1906</v>
      </c>
      <c r="D634" s="5" t="s">
        <v>1907</v>
      </c>
      <c r="E634" s="5" t="s">
        <v>1908</v>
      </c>
      <c r="F634" s="4">
        <v>1</v>
      </c>
      <c r="G634" s="4">
        <v>1</v>
      </c>
    </row>
    <row r="635" spans="1:7" ht="25.5">
      <c r="A635" s="9">
        <v>634</v>
      </c>
      <c r="B635" s="10" t="s">
        <v>759</v>
      </c>
      <c r="C635" s="11" t="s">
        <v>1909</v>
      </c>
      <c r="D635" s="10" t="s">
        <v>1910</v>
      </c>
      <c r="E635" s="10" t="s">
        <v>1911</v>
      </c>
      <c r="F635" s="9">
        <v>1</v>
      </c>
      <c r="G635" s="9">
        <v>1</v>
      </c>
    </row>
    <row r="636" spans="1:7" ht="25.5">
      <c r="A636" s="4">
        <v>635</v>
      </c>
      <c r="B636" s="5" t="s">
        <v>759</v>
      </c>
      <c r="C636" s="6" t="s">
        <v>1912</v>
      </c>
      <c r="D636" s="5" t="s">
        <v>1913</v>
      </c>
      <c r="E636" s="5" t="s">
        <v>1914</v>
      </c>
      <c r="F636" s="4">
        <v>1</v>
      </c>
      <c r="G636" s="4">
        <v>1</v>
      </c>
    </row>
    <row r="637" spans="1:7" ht="25.5">
      <c r="A637" s="9">
        <v>636</v>
      </c>
      <c r="B637" s="10" t="s">
        <v>759</v>
      </c>
      <c r="C637" s="11" t="s">
        <v>1915</v>
      </c>
      <c r="D637" s="10" t="s">
        <v>1916</v>
      </c>
      <c r="E637" s="10" t="s">
        <v>1917</v>
      </c>
      <c r="F637" s="9">
        <v>1</v>
      </c>
      <c r="G637" s="9">
        <v>1</v>
      </c>
    </row>
    <row r="638" spans="1:7" ht="25.5">
      <c r="A638" s="4">
        <v>637</v>
      </c>
      <c r="B638" s="5" t="s">
        <v>759</v>
      </c>
      <c r="C638" s="6" t="s">
        <v>1918</v>
      </c>
      <c r="D638" s="5" t="s">
        <v>1919</v>
      </c>
      <c r="E638" s="5" t="s">
        <v>1920</v>
      </c>
      <c r="F638" s="4">
        <v>1</v>
      </c>
      <c r="G638" s="4">
        <v>1</v>
      </c>
    </row>
    <row r="639" spans="1:7" ht="25.5">
      <c r="A639" s="9">
        <v>638</v>
      </c>
      <c r="B639" s="10" t="s">
        <v>759</v>
      </c>
      <c r="C639" s="11" t="s">
        <v>1921</v>
      </c>
      <c r="D639" s="10" t="s">
        <v>1922</v>
      </c>
      <c r="E639" s="10" t="s">
        <v>1923</v>
      </c>
      <c r="F639" s="9">
        <v>1</v>
      </c>
      <c r="G639" s="9">
        <v>1</v>
      </c>
    </row>
    <row r="640" spans="1:7" ht="25.5">
      <c r="A640" s="4">
        <v>639</v>
      </c>
      <c r="B640" s="5" t="s">
        <v>759</v>
      </c>
      <c r="C640" s="6" t="s">
        <v>1924</v>
      </c>
      <c r="D640" s="5" t="s">
        <v>1925</v>
      </c>
      <c r="E640" s="5" t="s">
        <v>1926</v>
      </c>
      <c r="F640" s="4">
        <v>1</v>
      </c>
      <c r="G640" s="4">
        <v>1</v>
      </c>
    </row>
    <row r="641" spans="1:7" ht="25.5">
      <c r="A641" s="9">
        <v>640</v>
      </c>
      <c r="B641" s="10" t="s">
        <v>759</v>
      </c>
      <c r="C641" s="11" t="s">
        <v>1927</v>
      </c>
      <c r="D641" s="10" t="s">
        <v>1928</v>
      </c>
      <c r="E641" s="10" t="s">
        <v>1929</v>
      </c>
      <c r="F641" s="9">
        <v>1</v>
      </c>
      <c r="G641" s="9">
        <v>1</v>
      </c>
    </row>
    <row r="642" spans="1:7" ht="25.5">
      <c r="A642" s="4">
        <v>641</v>
      </c>
      <c r="B642" s="5" t="s">
        <v>759</v>
      </c>
      <c r="C642" s="6" t="s">
        <v>1930</v>
      </c>
      <c r="D642" s="5" t="s">
        <v>1931</v>
      </c>
      <c r="E642" s="5" t="s">
        <v>1932</v>
      </c>
      <c r="F642" s="4">
        <v>1</v>
      </c>
      <c r="G642" s="4">
        <v>1</v>
      </c>
    </row>
    <row r="643" spans="1:7" ht="25.5">
      <c r="A643" s="9">
        <v>642</v>
      </c>
      <c r="B643" s="10" t="s">
        <v>759</v>
      </c>
      <c r="C643" s="11" t="s">
        <v>1933</v>
      </c>
      <c r="D643" s="10" t="s">
        <v>1934</v>
      </c>
      <c r="E643" s="10" t="s">
        <v>1935</v>
      </c>
      <c r="F643" s="9">
        <v>1</v>
      </c>
      <c r="G643" s="9">
        <v>1</v>
      </c>
    </row>
    <row r="644" spans="1:7" ht="25.5">
      <c r="A644" s="4">
        <v>643</v>
      </c>
      <c r="B644" s="5" t="s">
        <v>759</v>
      </c>
      <c r="C644" s="6" t="s">
        <v>1936</v>
      </c>
      <c r="D644" s="5" t="s">
        <v>1937</v>
      </c>
      <c r="E644" s="5" t="s">
        <v>1938</v>
      </c>
      <c r="F644" s="4">
        <v>1</v>
      </c>
      <c r="G644" s="4">
        <v>1</v>
      </c>
    </row>
    <row r="645" spans="1:7" ht="25.5">
      <c r="A645" s="9">
        <v>644</v>
      </c>
      <c r="B645" s="10" t="s">
        <v>759</v>
      </c>
      <c r="C645" s="11" t="s">
        <v>1939</v>
      </c>
      <c r="D645" s="10" t="s">
        <v>1940</v>
      </c>
      <c r="E645" s="10" t="s">
        <v>1941</v>
      </c>
      <c r="F645" s="9">
        <v>1</v>
      </c>
      <c r="G645" s="9">
        <v>1</v>
      </c>
    </row>
    <row r="646" spans="1:7" ht="25.5">
      <c r="A646" s="4">
        <v>645</v>
      </c>
      <c r="B646" s="5" t="s">
        <v>759</v>
      </c>
      <c r="C646" s="6" t="s">
        <v>1942</v>
      </c>
      <c r="D646" s="5" t="s">
        <v>1943</v>
      </c>
      <c r="E646" s="5" t="s">
        <v>1944</v>
      </c>
      <c r="F646" s="4">
        <v>1</v>
      </c>
      <c r="G646" s="4">
        <v>1</v>
      </c>
    </row>
    <row r="647" spans="1:7" ht="25.5">
      <c r="A647" s="9">
        <v>646</v>
      </c>
      <c r="B647" s="10" t="s">
        <v>759</v>
      </c>
      <c r="C647" s="11" t="s">
        <v>1945</v>
      </c>
      <c r="D647" s="10" t="s">
        <v>1946</v>
      </c>
      <c r="E647" s="10" t="s">
        <v>1947</v>
      </c>
      <c r="F647" s="9">
        <v>1</v>
      </c>
      <c r="G647" s="9">
        <v>1</v>
      </c>
    </row>
    <row r="648" spans="1:7" ht="25.5">
      <c r="A648" s="4">
        <v>647</v>
      </c>
      <c r="B648" s="5" t="s">
        <v>759</v>
      </c>
      <c r="C648" s="6" t="s">
        <v>1948</v>
      </c>
      <c r="D648" s="5" t="s">
        <v>1949</v>
      </c>
      <c r="E648" s="5" t="s">
        <v>1950</v>
      </c>
      <c r="F648" s="4">
        <v>1</v>
      </c>
      <c r="G648" s="4">
        <v>1</v>
      </c>
    </row>
    <row r="649" spans="1:7" ht="25.5">
      <c r="A649" s="9">
        <v>648</v>
      </c>
      <c r="B649" s="10" t="s">
        <v>759</v>
      </c>
      <c r="C649" s="11" t="s">
        <v>1951</v>
      </c>
      <c r="D649" s="10" t="s">
        <v>1952</v>
      </c>
      <c r="E649" s="10" t="s">
        <v>1953</v>
      </c>
      <c r="F649" s="9">
        <v>1</v>
      </c>
      <c r="G649" s="9">
        <v>1</v>
      </c>
    </row>
    <row r="650" spans="1:7" ht="25.5">
      <c r="A650" s="4">
        <v>649</v>
      </c>
      <c r="B650" s="5" t="s">
        <v>759</v>
      </c>
      <c r="C650" s="6" t="s">
        <v>1954</v>
      </c>
      <c r="D650" s="5" t="s">
        <v>1955</v>
      </c>
      <c r="E650" s="5" t="s">
        <v>1956</v>
      </c>
      <c r="F650" s="4">
        <v>1</v>
      </c>
      <c r="G650" s="4">
        <v>1</v>
      </c>
    </row>
    <row r="651" spans="1:7" ht="25.5">
      <c r="A651" s="9">
        <v>650</v>
      </c>
      <c r="B651" s="10" t="s">
        <v>759</v>
      </c>
      <c r="C651" s="11" t="s">
        <v>1957</v>
      </c>
      <c r="D651" s="10" t="s">
        <v>1958</v>
      </c>
      <c r="E651" s="10" t="s">
        <v>1959</v>
      </c>
      <c r="F651" s="9">
        <v>1</v>
      </c>
      <c r="G651" s="9">
        <v>1</v>
      </c>
    </row>
    <row r="652" spans="1:7" ht="25.5">
      <c r="A652" s="4">
        <v>651</v>
      </c>
      <c r="B652" s="5" t="s">
        <v>759</v>
      </c>
      <c r="C652" s="6" t="s">
        <v>1960</v>
      </c>
      <c r="D652" s="5" t="s">
        <v>1961</v>
      </c>
      <c r="E652" s="5" t="s">
        <v>1962</v>
      </c>
      <c r="F652" s="4">
        <v>1</v>
      </c>
      <c r="G652" s="4">
        <v>1</v>
      </c>
    </row>
    <row r="653" spans="1:7" ht="25.5">
      <c r="A653" s="9">
        <v>652</v>
      </c>
      <c r="B653" s="10" t="s">
        <v>759</v>
      </c>
      <c r="C653" s="11" t="s">
        <v>1963</v>
      </c>
      <c r="D653" s="10" t="s">
        <v>1964</v>
      </c>
      <c r="E653" s="10" t="s">
        <v>1965</v>
      </c>
      <c r="F653" s="9">
        <v>1</v>
      </c>
      <c r="G653" s="9">
        <v>1</v>
      </c>
    </row>
    <row r="654" spans="1:7" ht="25.5">
      <c r="A654" s="4">
        <v>653</v>
      </c>
      <c r="B654" s="5" t="s">
        <v>759</v>
      </c>
      <c r="C654" s="6" t="s">
        <v>1966</v>
      </c>
      <c r="D654" s="5" t="s">
        <v>1967</v>
      </c>
      <c r="E654" s="5" t="s">
        <v>1968</v>
      </c>
      <c r="F654" s="4">
        <v>1</v>
      </c>
      <c r="G654" s="4">
        <v>1</v>
      </c>
    </row>
    <row r="655" spans="1:7" ht="25.5">
      <c r="A655" s="9">
        <v>654</v>
      </c>
      <c r="B655" s="10" t="s">
        <v>759</v>
      </c>
      <c r="C655" s="11" t="s">
        <v>1969</v>
      </c>
      <c r="D655" s="10" t="s">
        <v>1970</v>
      </c>
      <c r="E655" s="10" t="s">
        <v>1971</v>
      </c>
      <c r="F655" s="9">
        <v>1</v>
      </c>
      <c r="G655" s="9">
        <v>1</v>
      </c>
    </row>
    <row r="656" spans="1:7" ht="25.5">
      <c r="A656" s="4">
        <v>655</v>
      </c>
      <c r="B656" s="5" t="s">
        <v>759</v>
      </c>
      <c r="C656" s="6" t="s">
        <v>1972</v>
      </c>
      <c r="D656" s="5" t="s">
        <v>1973</v>
      </c>
      <c r="E656" s="5" t="s">
        <v>1974</v>
      </c>
      <c r="F656" s="4">
        <v>1</v>
      </c>
      <c r="G656" s="4">
        <v>1</v>
      </c>
    </row>
    <row r="657" spans="1:7" ht="25.5">
      <c r="A657" s="9">
        <v>656</v>
      </c>
      <c r="B657" s="10" t="s">
        <v>759</v>
      </c>
      <c r="C657" s="11" t="s">
        <v>1975</v>
      </c>
      <c r="D657" s="10" t="s">
        <v>1976</v>
      </c>
      <c r="E657" s="10" t="s">
        <v>1977</v>
      </c>
      <c r="F657" s="9">
        <v>1</v>
      </c>
      <c r="G657" s="9">
        <v>1</v>
      </c>
    </row>
    <row r="658" spans="1:7" ht="25.5">
      <c r="A658" s="4">
        <v>657</v>
      </c>
      <c r="B658" s="5" t="s">
        <v>759</v>
      </c>
      <c r="C658" s="6" t="s">
        <v>1978</v>
      </c>
      <c r="D658" s="5" t="s">
        <v>1979</v>
      </c>
      <c r="E658" s="5" t="s">
        <v>1980</v>
      </c>
      <c r="F658" s="4">
        <v>1</v>
      </c>
      <c r="G658" s="4">
        <v>1</v>
      </c>
    </row>
    <row r="659" spans="1:7" ht="25.5">
      <c r="A659" s="9">
        <v>658</v>
      </c>
      <c r="B659" s="10" t="s">
        <v>759</v>
      </c>
      <c r="C659" s="11" t="s">
        <v>1981</v>
      </c>
      <c r="D659" s="10" t="s">
        <v>1982</v>
      </c>
      <c r="E659" s="10" t="s">
        <v>1983</v>
      </c>
      <c r="F659" s="9">
        <v>1</v>
      </c>
      <c r="G659" s="9">
        <v>1</v>
      </c>
    </row>
    <row r="660" spans="1:7" ht="25.5">
      <c r="A660" s="4">
        <v>659</v>
      </c>
      <c r="B660" s="5" t="s">
        <v>759</v>
      </c>
      <c r="C660" s="6" t="s">
        <v>1984</v>
      </c>
      <c r="D660" s="5" t="s">
        <v>1985</v>
      </c>
      <c r="E660" s="5" t="s">
        <v>1986</v>
      </c>
      <c r="F660" s="4">
        <v>1</v>
      </c>
      <c r="G660" s="4">
        <v>1</v>
      </c>
    </row>
    <row r="661" spans="1:7" ht="38.25">
      <c r="A661" s="9">
        <v>660</v>
      </c>
      <c r="B661" s="10" t="s">
        <v>759</v>
      </c>
      <c r="C661" s="11" t="s">
        <v>1987</v>
      </c>
      <c r="D661" s="10" t="s">
        <v>1988</v>
      </c>
      <c r="E661" s="10" t="s">
        <v>1989</v>
      </c>
      <c r="F661" s="9">
        <v>1</v>
      </c>
      <c r="G661" s="9">
        <v>1</v>
      </c>
    </row>
    <row r="662" spans="1:7" ht="25.5">
      <c r="A662" s="4">
        <v>661</v>
      </c>
      <c r="B662" s="5" t="s">
        <v>759</v>
      </c>
      <c r="C662" s="6" t="s">
        <v>1990</v>
      </c>
      <c r="D662" s="5" t="s">
        <v>1991</v>
      </c>
      <c r="E662" s="5" t="s">
        <v>1992</v>
      </c>
      <c r="F662" s="4">
        <v>1</v>
      </c>
      <c r="G662" s="4">
        <v>1</v>
      </c>
    </row>
    <row r="663" spans="1:7" ht="25.5">
      <c r="A663" s="9">
        <v>662</v>
      </c>
      <c r="B663" s="10" t="s">
        <v>759</v>
      </c>
      <c r="C663" s="11" t="s">
        <v>1993</v>
      </c>
      <c r="D663" s="10" t="s">
        <v>1994</v>
      </c>
      <c r="E663" s="10" t="s">
        <v>1995</v>
      </c>
      <c r="F663" s="9">
        <v>1</v>
      </c>
      <c r="G663" s="9">
        <v>1</v>
      </c>
    </row>
    <row r="664" spans="1:7" ht="25.5">
      <c r="A664" s="4">
        <v>663</v>
      </c>
      <c r="B664" s="5" t="s">
        <v>759</v>
      </c>
      <c r="C664" s="6" t="s">
        <v>1996</v>
      </c>
      <c r="D664" s="5" t="s">
        <v>1997</v>
      </c>
      <c r="E664" s="5" t="s">
        <v>1998</v>
      </c>
      <c r="F664" s="4">
        <v>1</v>
      </c>
      <c r="G664" s="4">
        <v>1</v>
      </c>
    </row>
    <row r="665" spans="1:7" ht="25.5">
      <c r="A665" s="9">
        <v>664</v>
      </c>
      <c r="B665" s="10" t="s">
        <v>759</v>
      </c>
      <c r="C665" s="11" t="s">
        <v>1999</v>
      </c>
      <c r="D665" s="10" t="s">
        <v>2000</v>
      </c>
      <c r="E665" s="10" t="s">
        <v>2001</v>
      </c>
      <c r="F665" s="9">
        <v>1</v>
      </c>
      <c r="G665" s="9">
        <v>1</v>
      </c>
    </row>
    <row r="666" spans="1:7" ht="25.5">
      <c r="A666" s="4">
        <v>665</v>
      </c>
      <c r="B666" s="5" t="s">
        <v>759</v>
      </c>
      <c r="C666" s="6" t="s">
        <v>2002</v>
      </c>
      <c r="D666" s="5" t="s">
        <v>2003</v>
      </c>
      <c r="E666" s="5" t="s">
        <v>2004</v>
      </c>
      <c r="F666" s="4">
        <v>1</v>
      </c>
      <c r="G666" s="4">
        <v>1</v>
      </c>
    </row>
    <row r="667" spans="1:7" ht="25.5">
      <c r="A667" s="9">
        <v>666</v>
      </c>
      <c r="B667" s="10" t="s">
        <v>759</v>
      </c>
      <c r="C667" s="11" t="s">
        <v>2005</v>
      </c>
      <c r="D667" s="10" t="s">
        <v>2006</v>
      </c>
      <c r="E667" s="10" t="s">
        <v>2007</v>
      </c>
      <c r="F667" s="9">
        <v>1</v>
      </c>
      <c r="G667" s="9">
        <v>1</v>
      </c>
    </row>
    <row r="668" spans="1:7" ht="25.5">
      <c r="A668" s="4">
        <v>667</v>
      </c>
      <c r="B668" s="5" t="s">
        <v>759</v>
      </c>
      <c r="C668" s="6" t="s">
        <v>2008</v>
      </c>
      <c r="D668" s="5" t="s">
        <v>2009</v>
      </c>
      <c r="E668" s="5" t="s">
        <v>2010</v>
      </c>
      <c r="F668" s="4">
        <v>1</v>
      </c>
      <c r="G668" s="4">
        <v>1</v>
      </c>
    </row>
    <row r="669" spans="1:7" ht="25.5">
      <c r="A669" s="9">
        <v>668</v>
      </c>
      <c r="B669" s="10" t="s">
        <v>759</v>
      </c>
      <c r="C669" s="11" t="s">
        <v>2011</v>
      </c>
      <c r="D669" s="10" t="s">
        <v>2012</v>
      </c>
      <c r="E669" s="10" t="s">
        <v>2013</v>
      </c>
      <c r="F669" s="9">
        <v>1</v>
      </c>
      <c r="G669" s="9">
        <v>1</v>
      </c>
    </row>
    <row r="670" spans="1:7" ht="25.5">
      <c r="A670" s="4">
        <v>669</v>
      </c>
      <c r="B670" s="5" t="s">
        <v>759</v>
      </c>
      <c r="C670" s="6" t="s">
        <v>2014</v>
      </c>
      <c r="D670" s="5" t="s">
        <v>2015</v>
      </c>
      <c r="E670" s="5" t="s">
        <v>2016</v>
      </c>
      <c r="F670" s="4">
        <v>1</v>
      </c>
      <c r="G670" s="4">
        <v>1</v>
      </c>
    </row>
    <row r="671" spans="1:7" ht="25.5">
      <c r="A671" s="9">
        <v>670</v>
      </c>
      <c r="B671" s="10" t="s">
        <v>759</v>
      </c>
      <c r="C671" s="11" t="s">
        <v>2017</v>
      </c>
      <c r="D671" s="10" t="s">
        <v>2018</v>
      </c>
      <c r="E671" s="10" t="s">
        <v>2019</v>
      </c>
      <c r="F671" s="9">
        <v>1</v>
      </c>
      <c r="G671" s="9">
        <v>1</v>
      </c>
    </row>
    <row r="672" spans="1:7" ht="25.5">
      <c r="A672" s="4">
        <v>671</v>
      </c>
      <c r="B672" s="5" t="s">
        <v>759</v>
      </c>
      <c r="C672" s="6" t="s">
        <v>2020</v>
      </c>
      <c r="D672" s="5" t="s">
        <v>2021</v>
      </c>
      <c r="E672" s="5" t="s">
        <v>2022</v>
      </c>
      <c r="F672" s="4">
        <v>1</v>
      </c>
      <c r="G672" s="4">
        <v>1</v>
      </c>
    </row>
    <row r="673" spans="1:7" ht="25.5">
      <c r="A673" s="9">
        <v>672</v>
      </c>
      <c r="B673" s="10" t="s">
        <v>759</v>
      </c>
      <c r="C673" s="11" t="s">
        <v>2023</v>
      </c>
      <c r="D673" s="10" t="s">
        <v>2024</v>
      </c>
      <c r="E673" s="10" t="s">
        <v>2025</v>
      </c>
      <c r="F673" s="9">
        <v>1</v>
      </c>
      <c r="G673" s="9">
        <v>1</v>
      </c>
    </row>
    <row r="674" spans="1:7" ht="25.5">
      <c r="A674" s="4">
        <v>673</v>
      </c>
      <c r="B674" s="5" t="s">
        <v>759</v>
      </c>
      <c r="C674" s="6" t="s">
        <v>2026</v>
      </c>
      <c r="D674" s="5" t="s">
        <v>2027</v>
      </c>
      <c r="E674" s="5" t="s">
        <v>2028</v>
      </c>
      <c r="F674" s="4">
        <v>1</v>
      </c>
      <c r="G674" s="4">
        <v>1</v>
      </c>
    </row>
    <row r="675" spans="1:7" ht="25.5">
      <c r="A675" s="9">
        <v>674</v>
      </c>
      <c r="B675" s="10" t="s">
        <v>759</v>
      </c>
      <c r="C675" s="11" t="s">
        <v>2029</v>
      </c>
      <c r="D675" s="10" t="s">
        <v>2030</v>
      </c>
      <c r="E675" s="10" t="s">
        <v>2031</v>
      </c>
      <c r="F675" s="9">
        <v>1</v>
      </c>
      <c r="G675" s="9">
        <v>1</v>
      </c>
    </row>
    <row r="676" spans="1:7" ht="25.5">
      <c r="A676" s="4">
        <v>675</v>
      </c>
      <c r="B676" s="5" t="s">
        <v>759</v>
      </c>
      <c r="C676" s="6" t="s">
        <v>2032</v>
      </c>
      <c r="D676" s="5" t="s">
        <v>2033</v>
      </c>
      <c r="E676" s="5" t="s">
        <v>2034</v>
      </c>
      <c r="F676" s="4">
        <v>1</v>
      </c>
      <c r="G676" s="4">
        <v>1</v>
      </c>
    </row>
    <row r="677" spans="1:7" ht="25.5">
      <c r="A677" s="9">
        <v>676</v>
      </c>
      <c r="B677" s="10" t="s">
        <v>759</v>
      </c>
      <c r="C677" s="11" t="s">
        <v>2035</v>
      </c>
      <c r="D677" s="10" t="s">
        <v>2036</v>
      </c>
      <c r="E677" s="10" t="s">
        <v>2037</v>
      </c>
      <c r="F677" s="9">
        <v>1</v>
      </c>
      <c r="G677" s="9">
        <v>1</v>
      </c>
    </row>
    <row r="678" spans="1:7" ht="25.5">
      <c r="A678" s="4">
        <v>677</v>
      </c>
      <c r="B678" s="5" t="s">
        <v>759</v>
      </c>
      <c r="C678" s="6" t="s">
        <v>2038</v>
      </c>
      <c r="D678" s="5" t="s">
        <v>2039</v>
      </c>
      <c r="E678" s="5" t="s">
        <v>2040</v>
      </c>
      <c r="F678" s="4">
        <v>1</v>
      </c>
      <c r="G678" s="4">
        <v>1</v>
      </c>
    </row>
    <row r="679" spans="1:7" ht="25.5">
      <c r="A679" s="9">
        <v>678</v>
      </c>
      <c r="B679" s="10" t="s">
        <v>759</v>
      </c>
      <c r="C679" s="11" t="s">
        <v>2041</v>
      </c>
      <c r="D679" s="10" t="s">
        <v>2042</v>
      </c>
      <c r="E679" s="10" t="s">
        <v>2043</v>
      </c>
      <c r="F679" s="9">
        <v>1</v>
      </c>
      <c r="G679" s="9">
        <v>1</v>
      </c>
    </row>
    <row r="680" spans="1:7" ht="25.5">
      <c r="A680" s="4">
        <v>679</v>
      </c>
      <c r="B680" s="5" t="s">
        <v>759</v>
      </c>
      <c r="C680" s="6" t="s">
        <v>2044</v>
      </c>
      <c r="D680" s="5" t="s">
        <v>2045</v>
      </c>
      <c r="E680" s="5" t="s">
        <v>2046</v>
      </c>
      <c r="F680" s="4">
        <v>1</v>
      </c>
      <c r="G680" s="4">
        <v>1</v>
      </c>
    </row>
    <row r="681" spans="1:7" ht="25.5">
      <c r="A681" s="9">
        <v>680</v>
      </c>
      <c r="B681" s="10" t="s">
        <v>759</v>
      </c>
      <c r="C681" s="11" t="s">
        <v>2047</v>
      </c>
      <c r="D681" s="10" t="s">
        <v>2048</v>
      </c>
      <c r="E681" s="10" t="s">
        <v>2049</v>
      </c>
      <c r="F681" s="9">
        <v>1</v>
      </c>
      <c r="G681" s="9">
        <v>1</v>
      </c>
    </row>
    <row r="682" spans="1:7" ht="25.5">
      <c r="A682" s="4">
        <v>681</v>
      </c>
      <c r="B682" s="5" t="s">
        <v>759</v>
      </c>
      <c r="C682" s="6" t="s">
        <v>2050</v>
      </c>
      <c r="D682" s="5" t="s">
        <v>2051</v>
      </c>
      <c r="E682" s="5" t="s">
        <v>2052</v>
      </c>
      <c r="F682" s="4">
        <v>1</v>
      </c>
      <c r="G682" s="4">
        <v>1</v>
      </c>
    </row>
    <row r="683" spans="1:7" ht="25.5">
      <c r="A683" s="9">
        <v>682</v>
      </c>
      <c r="B683" s="10" t="s">
        <v>759</v>
      </c>
      <c r="C683" s="11" t="s">
        <v>2053</v>
      </c>
      <c r="D683" s="10" t="s">
        <v>2054</v>
      </c>
      <c r="E683" s="10" t="s">
        <v>2055</v>
      </c>
      <c r="F683" s="9">
        <v>1</v>
      </c>
      <c r="G683" s="9">
        <v>1</v>
      </c>
    </row>
    <row r="684" spans="1:7" ht="25.5">
      <c r="A684" s="4">
        <v>683</v>
      </c>
      <c r="B684" s="5" t="s">
        <v>759</v>
      </c>
      <c r="C684" s="6" t="s">
        <v>2056</v>
      </c>
      <c r="D684" s="5" t="s">
        <v>2057</v>
      </c>
      <c r="E684" s="5" t="s">
        <v>2058</v>
      </c>
      <c r="F684" s="4">
        <v>1</v>
      </c>
      <c r="G684" s="4">
        <v>1</v>
      </c>
    </row>
    <row r="685" spans="1:7" ht="25.5">
      <c r="A685" s="9">
        <v>684</v>
      </c>
      <c r="B685" s="10" t="s">
        <v>759</v>
      </c>
      <c r="C685" s="11" t="s">
        <v>2059</v>
      </c>
      <c r="D685" s="10" t="s">
        <v>2060</v>
      </c>
      <c r="E685" s="10" t="s">
        <v>2061</v>
      </c>
      <c r="F685" s="9">
        <v>1</v>
      </c>
      <c r="G685" s="9">
        <v>1</v>
      </c>
    </row>
    <row r="686" spans="1:7" ht="25.5">
      <c r="A686" s="4">
        <v>685</v>
      </c>
      <c r="B686" s="5" t="s">
        <v>759</v>
      </c>
      <c r="C686" s="6" t="s">
        <v>2062</v>
      </c>
      <c r="D686" s="5" t="s">
        <v>2063</v>
      </c>
      <c r="E686" s="5" t="s">
        <v>2064</v>
      </c>
      <c r="F686" s="4">
        <v>1</v>
      </c>
      <c r="G686" s="4">
        <v>1</v>
      </c>
    </row>
    <row r="687" spans="1:7" ht="25.5">
      <c r="A687" s="9">
        <v>686</v>
      </c>
      <c r="B687" s="10" t="s">
        <v>759</v>
      </c>
      <c r="C687" s="11" t="s">
        <v>2065</v>
      </c>
      <c r="D687" s="10" t="s">
        <v>2066</v>
      </c>
      <c r="E687" s="10" t="s">
        <v>2067</v>
      </c>
      <c r="F687" s="9">
        <v>1</v>
      </c>
      <c r="G687" s="9">
        <v>1</v>
      </c>
    </row>
    <row r="688" spans="1:7" ht="25.5">
      <c r="A688" s="4">
        <v>687</v>
      </c>
      <c r="B688" s="5" t="s">
        <v>759</v>
      </c>
      <c r="C688" s="6" t="s">
        <v>2068</v>
      </c>
      <c r="D688" s="5" t="s">
        <v>2069</v>
      </c>
      <c r="E688" s="5" t="s">
        <v>2070</v>
      </c>
      <c r="F688" s="4">
        <v>1</v>
      </c>
      <c r="G688" s="4">
        <v>1</v>
      </c>
    </row>
    <row r="689" spans="1:7" ht="25.5">
      <c r="A689" s="9">
        <v>688</v>
      </c>
      <c r="B689" s="10" t="s">
        <v>759</v>
      </c>
      <c r="C689" s="11" t="s">
        <v>2071</v>
      </c>
      <c r="D689" s="10" t="s">
        <v>2072</v>
      </c>
      <c r="E689" s="10" t="s">
        <v>2073</v>
      </c>
      <c r="F689" s="9">
        <v>1</v>
      </c>
      <c r="G689" s="9">
        <v>1</v>
      </c>
    </row>
    <row r="690" spans="1:7" ht="25.5">
      <c r="A690" s="4">
        <v>689</v>
      </c>
      <c r="B690" s="5" t="s">
        <v>759</v>
      </c>
      <c r="C690" s="6" t="s">
        <v>2074</v>
      </c>
      <c r="D690" s="5" t="s">
        <v>2075</v>
      </c>
      <c r="E690" s="5" t="s">
        <v>2076</v>
      </c>
      <c r="F690" s="4">
        <v>1</v>
      </c>
      <c r="G690" s="4">
        <v>1</v>
      </c>
    </row>
    <row r="691" spans="1:7" ht="25.5">
      <c r="A691" s="9">
        <v>690</v>
      </c>
      <c r="B691" s="10" t="s">
        <v>759</v>
      </c>
      <c r="C691" s="11" t="s">
        <v>2077</v>
      </c>
      <c r="D691" s="10" t="s">
        <v>2078</v>
      </c>
      <c r="E691" s="10" t="s">
        <v>2079</v>
      </c>
      <c r="F691" s="9">
        <v>1</v>
      </c>
      <c r="G691" s="9">
        <v>1</v>
      </c>
    </row>
    <row r="692" spans="1:7" ht="25.5">
      <c r="A692" s="4">
        <v>691</v>
      </c>
      <c r="B692" s="5" t="s">
        <v>759</v>
      </c>
      <c r="C692" s="6" t="s">
        <v>2080</v>
      </c>
      <c r="D692" s="5" t="s">
        <v>2081</v>
      </c>
      <c r="E692" s="5" t="s">
        <v>2082</v>
      </c>
      <c r="F692" s="4">
        <v>1</v>
      </c>
      <c r="G692" s="4">
        <v>1</v>
      </c>
    </row>
    <row r="693" spans="1:7" ht="25.5">
      <c r="A693" s="9">
        <v>692</v>
      </c>
      <c r="B693" s="10" t="s">
        <v>759</v>
      </c>
      <c r="C693" s="11" t="s">
        <v>2083</v>
      </c>
      <c r="D693" s="10" t="s">
        <v>2084</v>
      </c>
      <c r="E693" s="10" t="s">
        <v>2085</v>
      </c>
      <c r="F693" s="9">
        <v>1</v>
      </c>
      <c r="G693" s="9">
        <v>1</v>
      </c>
    </row>
    <row r="694" spans="1:7" ht="25.5">
      <c r="A694" s="4">
        <v>693</v>
      </c>
      <c r="B694" s="5" t="s">
        <v>759</v>
      </c>
      <c r="C694" s="6" t="s">
        <v>2086</v>
      </c>
      <c r="D694" s="5" t="s">
        <v>2087</v>
      </c>
      <c r="E694" s="5" t="s">
        <v>2088</v>
      </c>
      <c r="F694" s="4">
        <v>1</v>
      </c>
      <c r="G694" s="4">
        <v>1</v>
      </c>
    </row>
    <row r="695" spans="1:7" ht="25.5">
      <c r="A695" s="9">
        <v>694</v>
      </c>
      <c r="B695" s="10" t="s">
        <v>759</v>
      </c>
      <c r="C695" s="11" t="s">
        <v>2089</v>
      </c>
      <c r="D695" s="10" t="s">
        <v>2090</v>
      </c>
      <c r="E695" s="10" t="s">
        <v>2091</v>
      </c>
      <c r="F695" s="9">
        <v>1</v>
      </c>
      <c r="G695" s="9">
        <v>1</v>
      </c>
    </row>
    <row r="696" spans="1:7" ht="25.5">
      <c r="A696" s="4">
        <v>695</v>
      </c>
      <c r="B696" s="5" t="s">
        <v>759</v>
      </c>
      <c r="C696" s="6" t="s">
        <v>2092</v>
      </c>
      <c r="D696" s="5" t="s">
        <v>2093</v>
      </c>
      <c r="E696" s="5" t="s">
        <v>2094</v>
      </c>
      <c r="F696" s="4">
        <v>1</v>
      </c>
      <c r="G696" s="4">
        <v>1</v>
      </c>
    </row>
    <row r="697" spans="1:7" ht="25.5">
      <c r="A697" s="9">
        <v>696</v>
      </c>
      <c r="B697" s="10" t="s">
        <v>759</v>
      </c>
      <c r="C697" s="11" t="s">
        <v>2095</v>
      </c>
      <c r="D697" s="10" t="s">
        <v>2096</v>
      </c>
      <c r="E697" s="10" t="s">
        <v>2097</v>
      </c>
      <c r="F697" s="9">
        <v>1</v>
      </c>
      <c r="G697" s="9">
        <v>1</v>
      </c>
    </row>
    <row r="698" spans="1:7" ht="25.5">
      <c r="A698" s="4">
        <v>697</v>
      </c>
      <c r="B698" s="5" t="s">
        <v>759</v>
      </c>
      <c r="C698" s="6" t="s">
        <v>2098</v>
      </c>
      <c r="D698" s="5" t="s">
        <v>2099</v>
      </c>
      <c r="E698" s="5" t="s">
        <v>2100</v>
      </c>
      <c r="F698" s="4">
        <v>1</v>
      </c>
      <c r="G698" s="4">
        <v>1</v>
      </c>
    </row>
    <row r="699" spans="1:7" ht="25.5">
      <c r="A699" s="9">
        <v>698</v>
      </c>
      <c r="B699" s="10" t="s">
        <v>759</v>
      </c>
      <c r="C699" s="11" t="s">
        <v>2101</v>
      </c>
      <c r="D699" s="10" t="s">
        <v>2102</v>
      </c>
      <c r="E699" s="10" t="s">
        <v>2103</v>
      </c>
      <c r="F699" s="9">
        <v>1</v>
      </c>
      <c r="G699" s="9">
        <v>1</v>
      </c>
    </row>
    <row r="700" spans="1:7" ht="25.5">
      <c r="A700" s="4">
        <v>699</v>
      </c>
      <c r="B700" s="5" t="s">
        <v>759</v>
      </c>
      <c r="C700" s="6" t="s">
        <v>2104</v>
      </c>
      <c r="D700" s="5" t="s">
        <v>2105</v>
      </c>
      <c r="E700" s="5" t="s">
        <v>2106</v>
      </c>
      <c r="F700" s="4">
        <v>1</v>
      </c>
      <c r="G700" s="4">
        <v>1</v>
      </c>
    </row>
    <row r="701" spans="1:7" ht="25.5">
      <c r="A701" s="9">
        <v>700</v>
      </c>
      <c r="B701" s="10" t="s">
        <v>759</v>
      </c>
      <c r="C701" s="11" t="s">
        <v>2107</v>
      </c>
      <c r="D701" s="10" t="s">
        <v>2108</v>
      </c>
      <c r="E701" s="10" t="s">
        <v>2109</v>
      </c>
      <c r="F701" s="9">
        <v>1</v>
      </c>
      <c r="G701" s="9">
        <v>1</v>
      </c>
    </row>
    <row r="702" spans="1:7" ht="25.5">
      <c r="A702" s="4">
        <v>701</v>
      </c>
      <c r="B702" s="5" t="s">
        <v>759</v>
      </c>
      <c r="C702" s="6" t="s">
        <v>2110</v>
      </c>
      <c r="D702" s="5" t="s">
        <v>2111</v>
      </c>
      <c r="E702" s="5" t="s">
        <v>2112</v>
      </c>
      <c r="F702" s="4">
        <v>1</v>
      </c>
      <c r="G702" s="4">
        <v>1</v>
      </c>
    </row>
    <row r="703" spans="1:7" ht="25.5">
      <c r="A703" s="9">
        <v>702</v>
      </c>
      <c r="B703" s="10" t="s">
        <v>759</v>
      </c>
      <c r="C703" s="11" t="s">
        <v>2113</v>
      </c>
      <c r="D703" s="10" t="s">
        <v>2114</v>
      </c>
      <c r="E703" s="10" t="s">
        <v>2115</v>
      </c>
      <c r="F703" s="9">
        <v>1</v>
      </c>
      <c r="G703" s="9">
        <v>1</v>
      </c>
    </row>
    <row r="704" spans="1:7" ht="25.5">
      <c r="A704" s="4">
        <v>703</v>
      </c>
      <c r="B704" s="5" t="s">
        <v>759</v>
      </c>
      <c r="C704" s="6" t="s">
        <v>2116</v>
      </c>
      <c r="D704" s="5" t="s">
        <v>2117</v>
      </c>
      <c r="E704" s="5" t="s">
        <v>2118</v>
      </c>
      <c r="F704" s="4">
        <v>1</v>
      </c>
      <c r="G704" s="4">
        <v>1</v>
      </c>
    </row>
    <row r="705" spans="1:7" ht="25.5">
      <c r="A705" s="9">
        <v>704</v>
      </c>
      <c r="B705" s="10" t="s">
        <v>759</v>
      </c>
      <c r="C705" s="11" t="s">
        <v>2119</v>
      </c>
      <c r="D705" s="10" t="s">
        <v>2120</v>
      </c>
      <c r="E705" s="10" t="s">
        <v>2121</v>
      </c>
      <c r="F705" s="9">
        <v>1</v>
      </c>
      <c r="G705" s="9">
        <v>1</v>
      </c>
    </row>
    <row r="706" spans="1:7" ht="25.5">
      <c r="A706" s="4">
        <v>705</v>
      </c>
      <c r="B706" s="5" t="s">
        <v>759</v>
      </c>
      <c r="C706" s="6" t="s">
        <v>2122</v>
      </c>
      <c r="D706" s="5" t="s">
        <v>2123</v>
      </c>
      <c r="E706" s="5" t="s">
        <v>2124</v>
      </c>
      <c r="F706" s="4">
        <v>1</v>
      </c>
      <c r="G706" s="4">
        <v>1</v>
      </c>
    </row>
    <row r="707" spans="1:7" ht="25.5">
      <c r="A707" s="9">
        <v>706</v>
      </c>
      <c r="B707" s="10" t="s">
        <v>759</v>
      </c>
      <c r="C707" s="11" t="s">
        <v>2125</v>
      </c>
      <c r="D707" s="10" t="s">
        <v>2126</v>
      </c>
      <c r="E707" s="10" t="s">
        <v>2127</v>
      </c>
      <c r="F707" s="9">
        <v>1</v>
      </c>
      <c r="G707" s="9">
        <v>1</v>
      </c>
    </row>
    <row r="708" spans="1:7" ht="25.5">
      <c r="A708" s="4">
        <v>707</v>
      </c>
      <c r="B708" s="5" t="s">
        <v>759</v>
      </c>
      <c r="C708" s="6" t="s">
        <v>2128</v>
      </c>
      <c r="D708" s="5" t="s">
        <v>2129</v>
      </c>
      <c r="E708" s="5" t="s">
        <v>2130</v>
      </c>
      <c r="F708" s="4">
        <v>1</v>
      </c>
      <c r="G708" s="4">
        <v>1</v>
      </c>
    </row>
    <row r="709" spans="1:7" ht="25.5">
      <c r="A709" s="9">
        <v>708</v>
      </c>
      <c r="B709" s="10" t="s">
        <v>759</v>
      </c>
      <c r="C709" s="11" t="s">
        <v>2131</v>
      </c>
      <c r="D709" s="10" t="s">
        <v>2132</v>
      </c>
      <c r="E709" s="10" t="s">
        <v>2133</v>
      </c>
      <c r="F709" s="9">
        <v>1</v>
      </c>
      <c r="G709" s="9">
        <v>1</v>
      </c>
    </row>
    <row r="710" spans="1:7" ht="25.5">
      <c r="A710" s="4">
        <v>709</v>
      </c>
      <c r="B710" s="5" t="s">
        <v>759</v>
      </c>
      <c r="C710" s="6" t="s">
        <v>2134</v>
      </c>
      <c r="D710" s="5" t="s">
        <v>2135</v>
      </c>
      <c r="E710" s="5" t="s">
        <v>2136</v>
      </c>
      <c r="F710" s="4">
        <v>1</v>
      </c>
      <c r="G710" s="4">
        <v>1</v>
      </c>
    </row>
    <row r="711" spans="1:7" ht="25.5">
      <c r="A711" s="9">
        <v>710</v>
      </c>
      <c r="B711" s="10" t="s">
        <v>759</v>
      </c>
      <c r="C711" s="11" t="s">
        <v>2137</v>
      </c>
      <c r="D711" s="10" t="s">
        <v>2138</v>
      </c>
      <c r="E711" s="10" t="s">
        <v>2139</v>
      </c>
      <c r="F711" s="9">
        <v>1</v>
      </c>
      <c r="G711" s="9">
        <v>1</v>
      </c>
    </row>
    <row r="712" spans="1:7" ht="25.5">
      <c r="A712" s="4">
        <v>711</v>
      </c>
      <c r="B712" s="5" t="s">
        <v>759</v>
      </c>
      <c r="C712" s="6" t="s">
        <v>2140</v>
      </c>
      <c r="D712" s="5" t="s">
        <v>2141</v>
      </c>
      <c r="E712" s="5" t="s">
        <v>2142</v>
      </c>
      <c r="F712" s="4">
        <v>1</v>
      </c>
      <c r="G712" s="4">
        <v>1</v>
      </c>
    </row>
    <row r="713" spans="1:7" ht="25.5">
      <c r="A713" s="9">
        <v>712</v>
      </c>
      <c r="B713" s="10" t="s">
        <v>759</v>
      </c>
      <c r="C713" s="11" t="s">
        <v>2143</v>
      </c>
      <c r="D713" s="10" t="s">
        <v>2144</v>
      </c>
      <c r="E713" s="10" t="s">
        <v>2145</v>
      </c>
      <c r="F713" s="9">
        <v>1</v>
      </c>
      <c r="G713" s="9">
        <v>1</v>
      </c>
    </row>
    <row r="714" spans="1:7" ht="25.5">
      <c r="A714" s="4">
        <v>713</v>
      </c>
      <c r="B714" s="5" t="s">
        <v>759</v>
      </c>
      <c r="C714" s="6" t="s">
        <v>2146</v>
      </c>
      <c r="D714" s="5" t="s">
        <v>2147</v>
      </c>
      <c r="E714" s="5" t="s">
        <v>2148</v>
      </c>
      <c r="F714" s="4">
        <v>1</v>
      </c>
      <c r="G714" s="4">
        <v>1</v>
      </c>
    </row>
    <row r="715" spans="1:7" ht="25.5">
      <c r="A715" s="9">
        <v>714</v>
      </c>
      <c r="B715" s="10" t="s">
        <v>759</v>
      </c>
      <c r="C715" s="11" t="s">
        <v>2149</v>
      </c>
      <c r="D715" s="10" t="s">
        <v>2150</v>
      </c>
      <c r="E715" s="10" t="s">
        <v>2151</v>
      </c>
      <c r="F715" s="9">
        <v>1</v>
      </c>
      <c r="G715" s="9">
        <v>1</v>
      </c>
    </row>
    <row r="716" spans="1:7" ht="38.25">
      <c r="A716" s="4">
        <v>715</v>
      </c>
      <c r="B716" s="5" t="s">
        <v>759</v>
      </c>
      <c r="C716" s="6" t="s">
        <v>2152</v>
      </c>
      <c r="D716" s="5" t="s">
        <v>2153</v>
      </c>
      <c r="E716" s="5" t="s">
        <v>2154</v>
      </c>
      <c r="F716" s="4">
        <v>1</v>
      </c>
      <c r="G716" s="4">
        <v>1</v>
      </c>
    </row>
    <row r="717" spans="1:7" ht="25.5">
      <c r="A717" s="9">
        <v>716</v>
      </c>
      <c r="B717" s="10" t="s">
        <v>759</v>
      </c>
      <c r="C717" s="11" t="s">
        <v>2155</v>
      </c>
      <c r="D717" s="10" t="s">
        <v>2156</v>
      </c>
      <c r="E717" s="10" t="s">
        <v>2157</v>
      </c>
      <c r="F717" s="9">
        <v>1</v>
      </c>
      <c r="G717" s="9">
        <v>1</v>
      </c>
    </row>
    <row r="718" spans="1:7" ht="25.5">
      <c r="A718" s="4">
        <v>717</v>
      </c>
      <c r="B718" s="5" t="s">
        <v>759</v>
      </c>
      <c r="C718" s="6" t="s">
        <v>2158</v>
      </c>
      <c r="D718" s="5" t="s">
        <v>2159</v>
      </c>
      <c r="E718" s="5" t="s">
        <v>2160</v>
      </c>
      <c r="F718" s="4">
        <v>1</v>
      </c>
      <c r="G718" s="4">
        <v>1</v>
      </c>
    </row>
    <row r="719" spans="1:7" ht="25.5">
      <c r="A719" s="9">
        <v>718</v>
      </c>
      <c r="B719" s="10" t="s">
        <v>759</v>
      </c>
      <c r="C719" s="11" t="s">
        <v>2161</v>
      </c>
      <c r="D719" s="10" t="s">
        <v>2162</v>
      </c>
      <c r="E719" s="10" t="s">
        <v>2163</v>
      </c>
      <c r="F719" s="9">
        <v>1</v>
      </c>
      <c r="G719" s="9">
        <v>1</v>
      </c>
    </row>
    <row r="720" spans="1:7" ht="25.5">
      <c r="A720" s="4">
        <v>719</v>
      </c>
      <c r="B720" s="5" t="s">
        <v>759</v>
      </c>
      <c r="C720" s="6" t="s">
        <v>2164</v>
      </c>
      <c r="D720" s="5" t="s">
        <v>2165</v>
      </c>
      <c r="E720" s="5" t="s">
        <v>2166</v>
      </c>
      <c r="F720" s="4">
        <v>1</v>
      </c>
      <c r="G720" s="4">
        <v>1</v>
      </c>
    </row>
    <row r="721" spans="1:7" ht="25.5">
      <c r="A721" s="9">
        <v>720</v>
      </c>
      <c r="B721" s="10" t="s">
        <v>759</v>
      </c>
      <c r="C721" s="11" t="s">
        <v>2167</v>
      </c>
      <c r="D721" s="10" t="s">
        <v>2168</v>
      </c>
      <c r="E721" s="10" t="s">
        <v>2169</v>
      </c>
      <c r="F721" s="9">
        <v>1</v>
      </c>
      <c r="G721" s="9">
        <v>1</v>
      </c>
    </row>
    <row r="722" spans="1:7" ht="25.5">
      <c r="A722" s="4">
        <v>721</v>
      </c>
      <c r="B722" s="5" t="s">
        <v>759</v>
      </c>
      <c r="C722" s="6" t="s">
        <v>2170</v>
      </c>
      <c r="D722" s="5" t="s">
        <v>2171</v>
      </c>
      <c r="E722" s="5" t="s">
        <v>2172</v>
      </c>
      <c r="F722" s="4">
        <v>1</v>
      </c>
      <c r="G722" s="4">
        <v>1</v>
      </c>
    </row>
    <row r="723" spans="1:7" ht="25.5">
      <c r="A723" s="9">
        <v>722</v>
      </c>
      <c r="B723" s="10" t="s">
        <v>759</v>
      </c>
      <c r="C723" s="11" t="s">
        <v>2173</v>
      </c>
      <c r="D723" s="10" t="s">
        <v>2174</v>
      </c>
      <c r="E723" s="10" t="s">
        <v>2175</v>
      </c>
      <c r="F723" s="9">
        <v>1</v>
      </c>
      <c r="G723" s="9">
        <v>1</v>
      </c>
    </row>
    <row r="724" spans="1:7" ht="25.5">
      <c r="A724" s="4">
        <v>723</v>
      </c>
      <c r="B724" s="5" t="s">
        <v>759</v>
      </c>
      <c r="C724" s="6" t="s">
        <v>2176</v>
      </c>
      <c r="D724" s="5" t="s">
        <v>2177</v>
      </c>
      <c r="E724" s="5" t="s">
        <v>2178</v>
      </c>
      <c r="F724" s="4">
        <v>1</v>
      </c>
      <c r="G724" s="4">
        <v>1</v>
      </c>
    </row>
    <row r="725" spans="1:7" ht="25.5">
      <c r="A725" s="9">
        <v>724</v>
      </c>
      <c r="B725" s="10" t="s">
        <v>759</v>
      </c>
      <c r="C725" s="11" t="s">
        <v>2179</v>
      </c>
      <c r="D725" s="10" t="s">
        <v>2180</v>
      </c>
      <c r="E725" s="10" t="s">
        <v>2181</v>
      </c>
      <c r="F725" s="9">
        <v>1</v>
      </c>
      <c r="G725" s="9">
        <v>1</v>
      </c>
    </row>
    <row r="726" spans="1:7" ht="63.75">
      <c r="A726" s="4">
        <v>725</v>
      </c>
      <c r="B726" s="5" t="s">
        <v>759</v>
      </c>
      <c r="C726" s="6" t="s">
        <v>2182</v>
      </c>
      <c r="D726" s="5" t="s">
        <v>2183</v>
      </c>
      <c r="E726" s="5" t="s">
        <v>2184</v>
      </c>
      <c r="F726" s="4">
        <v>1</v>
      </c>
      <c r="G726" s="4">
        <v>1</v>
      </c>
    </row>
    <row r="727" spans="1:7" ht="25.5">
      <c r="A727" s="9">
        <v>726</v>
      </c>
      <c r="B727" s="10" t="s">
        <v>759</v>
      </c>
      <c r="C727" s="11" t="s">
        <v>2185</v>
      </c>
      <c r="D727" s="10" t="s">
        <v>2186</v>
      </c>
      <c r="E727" s="10" t="s">
        <v>2187</v>
      </c>
      <c r="F727" s="9">
        <v>1</v>
      </c>
      <c r="G727" s="9">
        <v>1</v>
      </c>
    </row>
    <row r="728" spans="1:7" ht="25.5">
      <c r="A728" s="4">
        <v>727</v>
      </c>
      <c r="B728" s="5" t="s">
        <v>759</v>
      </c>
      <c r="C728" s="6" t="s">
        <v>2188</v>
      </c>
      <c r="D728" s="5" t="s">
        <v>2189</v>
      </c>
      <c r="E728" s="5" t="s">
        <v>2190</v>
      </c>
      <c r="F728" s="4">
        <v>1</v>
      </c>
      <c r="G728" s="4">
        <v>1</v>
      </c>
    </row>
    <row r="729" spans="1:7" ht="25.5">
      <c r="A729" s="9">
        <v>728</v>
      </c>
      <c r="B729" s="10" t="s">
        <v>759</v>
      </c>
      <c r="C729" s="11" t="s">
        <v>2191</v>
      </c>
      <c r="D729" s="10" t="s">
        <v>2192</v>
      </c>
      <c r="E729" s="10" t="s">
        <v>2193</v>
      </c>
      <c r="F729" s="9">
        <v>1</v>
      </c>
      <c r="G729" s="9">
        <v>1</v>
      </c>
    </row>
    <row r="730" spans="1:7" ht="25.5">
      <c r="A730" s="4">
        <v>729</v>
      </c>
      <c r="B730" s="5" t="s">
        <v>759</v>
      </c>
      <c r="C730" s="6" t="s">
        <v>2194</v>
      </c>
      <c r="D730" s="5" t="s">
        <v>2195</v>
      </c>
      <c r="E730" s="5" t="s">
        <v>2196</v>
      </c>
      <c r="F730" s="4">
        <v>1</v>
      </c>
      <c r="G730" s="4">
        <v>1</v>
      </c>
    </row>
    <row r="731" spans="1:7" ht="25.5">
      <c r="A731" s="9">
        <v>730</v>
      </c>
      <c r="B731" s="10" t="s">
        <v>759</v>
      </c>
      <c r="C731" s="11" t="s">
        <v>2197</v>
      </c>
      <c r="D731" s="10" t="s">
        <v>2198</v>
      </c>
      <c r="E731" s="10" t="s">
        <v>2199</v>
      </c>
      <c r="F731" s="9">
        <v>1</v>
      </c>
      <c r="G731" s="9">
        <v>1</v>
      </c>
    </row>
    <row r="732" spans="1:7" ht="25.5">
      <c r="A732" s="4">
        <v>731</v>
      </c>
      <c r="B732" s="5" t="s">
        <v>759</v>
      </c>
      <c r="C732" s="6" t="s">
        <v>2200</v>
      </c>
      <c r="D732" s="5" t="s">
        <v>2201</v>
      </c>
      <c r="E732" s="5" t="s">
        <v>2202</v>
      </c>
      <c r="F732" s="4">
        <v>1</v>
      </c>
      <c r="G732" s="4">
        <v>1</v>
      </c>
    </row>
    <row r="733" spans="1:7" ht="25.5">
      <c r="A733" s="9">
        <v>732</v>
      </c>
      <c r="B733" s="10" t="s">
        <v>759</v>
      </c>
      <c r="C733" s="11" t="s">
        <v>2203</v>
      </c>
      <c r="D733" s="10" t="s">
        <v>2204</v>
      </c>
      <c r="E733" s="10" t="s">
        <v>2205</v>
      </c>
      <c r="F733" s="9">
        <v>1</v>
      </c>
      <c r="G733" s="9">
        <v>1</v>
      </c>
    </row>
    <row r="734" spans="1:7" ht="25.5">
      <c r="A734" s="4">
        <v>733</v>
      </c>
      <c r="B734" s="5" t="s">
        <v>759</v>
      </c>
      <c r="C734" s="6" t="s">
        <v>2206</v>
      </c>
      <c r="D734" s="5" t="s">
        <v>2207</v>
      </c>
      <c r="E734" s="5" t="s">
        <v>2208</v>
      </c>
      <c r="F734" s="4">
        <v>1</v>
      </c>
      <c r="G734" s="4">
        <v>1</v>
      </c>
    </row>
    <row r="735" spans="1:7" ht="25.5">
      <c r="A735" s="9">
        <v>734</v>
      </c>
      <c r="B735" s="10" t="s">
        <v>759</v>
      </c>
      <c r="C735" s="11" t="s">
        <v>2209</v>
      </c>
      <c r="D735" s="10" t="s">
        <v>2210</v>
      </c>
      <c r="E735" s="10" t="s">
        <v>2211</v>
      </c>
      <c r="F735" s="9">
        <v>1</v>
      </c>
      <c r="G735" s="9">
        <v>1</v>
      </c>
    </row>
    <row r="736" spans="1:7" ht="25.5">
      <c r="A736" s="4">
        <v>735</v>
      </c>
      <c r="B736" s="5" t="s">
        <v>759</v>
      </c>
      <c r="C736" s="6" t="s">
        <v>2212</v>
      </c>
      <c r="D736" s="5" t="s">
        <v>2213</v>
      </c>
      <c r="E736" s="5" t="s">
        <v>2214</v>
      </c>
      <c r="F736" s="4">
        <v>1</v>
      </c>
      <c r="G736" s="4">
        <v>1</v>
      </c>
    </row>
    <row r="737" spans="1:7" ht="25.5">
      <c r="A737" s="9">
        <v>736</v>
      </c>
      <c r="B737" s="10" t="s">
        <v>759</v>
      </c>
      <c r="C737" s="11" t="s">
        <v>2215</v>
      </c>
      <c r="D737" s="10" t="s">
        <v>2216</v>
      </c>
      <c r="E737" s="10" t="s">
        <v>2217</v>
      </c>
      <c r="F737" s="9">
        <v>1</v>
      </c>
      <c r="G737" s="9">
        <v>1</v>
      </c>
    </row>
    <row r="738" spans="1:7" ht="25.5">
      <c r="A738" s="4">
        <v>737</v>
      </c>
      <c r="B738" s="5" t="s">
        <v>759</v>
      </c>
      <c r="C738" s="6" t="s">
        <v>2218</v>
      </c>
      <c r="D738" s="5" t="s">
        <v>2219</v>
      </c>
      <c r="E738" s="5" t="s">
        <v>2220</v>
      </c>
      <c r="F738" s="4">
        <v>1</v>
      </c>
      <c r="G738" s="4">
        <v>1</v>
      </c>
    </row>
    <row r="739" spans="1:7" ht="25.5">
      <c r="A739" s="9">
        <v>738</v>
      </c>
      <c r="B739" s="10" t="s">
        <v>759</v>
      </c>
      <c r="C739" s="11" t="s">
        <v>2221</v>
      </c>
      <c r="D739" s="10" t="s">
        <v>2222</v>
      </c>
      <c r="E739" s="10" t="s">
        <v>2223</v>
      </c>
      <c r="F739" s="9">
        <v>1</v>
      </c>
      <c r="G739" s="9">
        <v>1</v>
      </c>
    </row>
    <row r="740" spans="1:7" ht="25.5">
      <c r="A740" s="4">
        <v>739</v>
      </c>
      <c r="B740" s="5" t="s">
        <v>759</v>
      </c>
      <c r="C740" s="6" t="s">
        <v>2224</v>
      </c>
      <c r="D740" s="5" t="s">
        <v>2225</v>
      </c>
      <c r="E740" s="5" t="s">
        <v>2226</v>
      </c>
      <c r="F740" s="4">
        <v>1</v>
      </c>
      <c r="G740" s="4">
        <v>1</v>
      </c>
    </row>
    <row r="741" spans="1:7" ht="25.5">
      <c r="A741" s="9">
        <v>740</v>
      </c>
      <c r="B741" s="10" t="s">
        <v>759</v>
      </c>
      <c r="C741" s="11" t="s">
        <v>2227</v>
      </c>
      <c r="D741" s="10" t="s">
        <v>2228</v>
      </c>
      <c r="E741" s="10" t="s">
        <v>2229</v>
      </c>
      <c r="F741" s="9">
        <v>1</v>
      </c>
      <c r="G741" s="9">
        <v>1</v>
      </c>
    </row>
    <row r="742" spans="1:7" ht="25.5">
      <c r="A742" s="4">
        <v>741</v>
      </c>
      <c r="B742" s="5" t="s">
        <v>759</v>
      </c>
      <c r="C742" s="6" t="s">
        <v>2230</v>
      </c>
      <c r="D742" s="5" t="s">
        <v>2231</v>
      </c>
      <c r="E742" s="5" t="s">
        <v>2232</v>
      </c>
      <c r="F742" s="4">
        <v>1</v>
      </c>
      <c r="G742" s="4">
        <v>1</v>
      </c>
    </row>
    <row r="743" spans="1:7" ht="25.5">
      <c r="A743" s="9">
        <v>742</v>
      </c>
      <c r="B743" s="10" t="s">
        <v>759</v>
      </c>
      <c r="C743" s="11" t="s">
        <v>2233</v>
      </c>
      <c r="D743" s="10" t="s">
        <v>2234</v>
      </c>
      <c r="E743" s="10" t="s">
        <v>2235</v>
      </c>
      <c r="F743" s="9">
        <v>1</v>
      </c>
      <c r="G743" s="9">
        <v>1</v>
      </c>
    </row>
    <row r="744" spans="1:7" ht="25.5">
      <c r="A744" s="4">
        <v>743</v>
      </c>
      <c r="B744" s="5" t="s">
        <v>759</v>
      </c>
      <c r="C744" s="6" t="s">
        <v>2236</v>
      </c>
      <c r="D744" s="5" t="s">
        <v>2237</v>
      </c>
      <c r="E744" s="5" t="s">
        <v>2238</v>
      </c>
      <c r="F744" s="4">
        <v>1</v>
      </c>
      <c r="G744" s="4">
        <v>1</v>
      </c>
    </row>
    <row r="745" spans="1:7" ht="25.5">
      <c r="A745" s="9">
        <v>744</v>
      </c>
      <c r="B745" s="10" t="s">
        <v>759</v>
      </c>
      <c r="C745" s="11" t="s">
        <v>2239</v>
      </c>
      <c r="D745" s="10" t="s">
        <v>2240</v>
      </c>
      <c r="E745" s="10" t="s">
        <v>2241</v>
      </c>
      <c r="F745" s="9">
        <v>1</v>
      </c>
      <c r="G745" s="9">
        <v>1</v>
      </c>
    </row>
    <row r="746" spans="1:7" ht="25.5">
      <c r="A746" s="4">
        <v>745</v>
      </c>
      <c r="B746" s="5" t="s">
        <v>759</v>
      </c>
      <c r="C746" s="6" t="s">
        <v>2242</v>
      </c>
      <c r="D746" s="5" t="s">
        <v>2243</v>
      </c>
      <c r="E746" s="5" t="s">
        <v>2244</v>
      </c>
      <c r="F746" s="4">
        <v>1</v>
      </c>
      <c r="G746" s="4">
        <v>1</v>
      </c>
    </row>
    <row r="747" spans="1:7" ht="25.5">
      <c r="A747" s="9">
        <v>746</v>
      </c>
      <c r="B747" s="10" t="s">
        <v>759</v>
      </c>
      <c r="C747" s="11" t="s">
        <v>2245</v>
      </c>
      <c r="D747" s="10" t="s">
        <v>2246</v>
      </c>
      <c r="E747" s="10" t="s">
        <v>2247</v>
      </c>
      <c r="F747" s="9">
        <v>1</v>
      </c>
      <c r="G747" s="9">
        <v>1</v>
      </c>
    </row>
    <row r="748" spans="1:7" ht="25.5">
      <c r="A748" s="4">
        <v>747</v>
      </c>
      <c r="B748" s="5" t="s">
        <v>759</v>
      </c>
      <c r="C748" s="6" t="s">
        <v>2248</v>
      </c>
      <c r="D748" s="5" t="s">
        <v>2249</v>
      </c>
      <c r="E748" s="5" t="s">
        <v>2250</v>
      </c>
      <c r="F748" s="4">
        <v>1</v>
      </c>
      <c r="G748" s="4">
        <v>1</v>
      </c>
    </row>
    <row r="749" spans="1:7" ht="25.5">
      <c r="A749" s="9">
        <v>748</v>
      </c>
      <c r="B749" s="10" t="s">
        <v>759</v>
      </c>
      <c r="C749" s="11" t="s">
        <v>2251</v>
      </c>
      <c r="D749" s="10" t="s">
        <v>2252</v>
      </c>
      <c r="E749" s="10" t="s">
        <v>2253</v>
      </c>
      <c r="F749" s="9">
        <v>1</v>
      </c>
      <c r="G749" s="9">
        <v>1</v>
      </c>
    </row>
    <row r="750" spans="1:7" ht="25.5">
      <c r="A750" s="4">
        <v>749</v>
      </c>
      <c r="B750" s="5" t="s">
        <v>759</v>
      </c>
      <c r="C750" s="6" t="s">
        <v>2254</v>
      </c>
      <c r="D750" s="5" t="s">
        <v>2255</v>
      </c>
      <c r="E750" s="5" t="s">
        <v>2256</v>
      </c>
      <c r="F750" s="4">
        <v>1</v>
      </c>
      <c r="G750" s="4">
        <v>1</v>
      </c>
    </row>
    <row r="751" spans="1:7" ht="25.5">
      <c r="A751" s="9">
        <v>750</v>
      </c>
      <c r="B751" s="10" t="s">
        <v>759</v>
      </c>
      <c r="C751" s="11" t="s">
        <v>2257</v>
      </c>
      <c r="D751" s="10" t="s">
        <v>2258</v>
      </c>
      <c r="E751" s="10" t="s">
        <v>2259</v>
      </c>
      <c r="F751" s="9">
        <v>1</v>
      </c>
      <c r="G751" s="9">
        <v>1</v>
      </c>
    </row>
    <row r="752" spans="1:7" ht="25.5">
      <c r="A752" s="4">
        <v>751</v>
      </c>
      <c r="B752" s="5" t="s">
        <v>759</v>
      </c>
      <c r="C752" s="6" t="s">
        <v>2260</v>
      </c>
      <c r="D752" s="5" t="s">
        <v>2261</v>
      </c>
      <c r="E752" s="5" t="s">
        <v>2262</v>
      </c>
      <c r="F752" s="4">
        <v>1</v>
      </c>
      <c r="G752" s="4">
        <v>1</v>
      </c>
    </row>
    <row r="753" spans="1:7" ht="25.5">
      <c r="A753" s="9">
        <v>752</v>
      </c>
      <c r="B753" s="10" t="s">
        <v>759</v>
      </c>
      <c r="C753" s="11" t="s">
        <v>2263</v>
      </c>
      <c r="D753" s="10" t="s">
        <v>2264</v>
      </c>
      <c r="E753" s="10" t="s">
        <v>2265</v>
      </c>
      <c r="F753" s="9">
        <v>1</v>
      </c>
      <c r="G753" s="9">
        <v>1</v>
      </c>
    </row>
    <row r="754" spans="1:7" ht="25.5">
      <c r="A754" s="4">
        <v>753</v>
      </c>
      <c r="B754" s="5" t="s">
        <v>759</v>
      </c>
      <c r="C754" s="6" t="s">
        <v>2266</v>
      </c>
      <c r="D754" s="5" t="s">
        <v>2267</v>
      </c>
      <c r="E754" s="5" t="s">
        <v>2268</v>
      </c>
      <c r="F754" s="4">
        <v>1</v>
      </c>
      <c r="G754" s="4">
        <v>1</v>
      </c>
    </row>
    <row r="755" spans="1:7" ht="25.5">
      <c r="A755" s="9">
        <v>754</v>
      </c>
      <c r="B755" s="10" t="s">
        <v>759</v>
      </c>
      <c r="C755" s="11" t="s">
        <v>2269</v>
      </c>
      <c r="D755" s="10" t="s">
        <v>2270</v>
      </c>
      <c r="E755" s="10" t="s">
        <v>2271</v>
      </c>
      <c r="F755" s="9">
        <v>1</v>
      </c>
      <c r="G755" s="9">
        <v>1</v>
      </c>
    </row>
    <row r="756" spans="1:7" ht="25.5">
      <c r="A756" s="4">
        <v>755</v>
      </c>
      <c r="B756" s="5" t="s">
        <v>759</v>
      </c>
      <c r="C756" s="6" t="s">
        <v>2272</v>
      </c>
      <c r="D756" s="5" t="s">
        <v>2273</v>
      </c>
      <c r="E756" s="5" t="s">
        <v>2274</v>
      </c>
      <c r="F756" s="4">
        <v>1</v>
      </c>
      <c r="G756" s="4">
        <v>1</v>
      </c>
    </row>
    <row r="757" spans="1:7" ht="25.5">
      <c r="A757" s="9">
        <v>756</v>
      </c>
      <c r="B757" s="10" t="s">
        <v>759</v>
      </c>
      <c r="C757" s="11" t="s">
        <v>2275</v>
      </c>
      <c r="D757" s="10" t="s">
        <v>2276</v>
      </c>
      <c r="E757" s="10" t="s">
        <v>2277</v>
      </c>
      <c r="F757" s="9">
        <v>1</v>
      </c>
      <c r="G757" s="9">
        <v>1</v>
      </c>
    </row>
    <row r="758" spans="1:7" ht="25.5">
      <c r="A758" s="4">
        <v>757</v>
      </c>
      <c r="B758" s="5" t="s">
        <v>759</v>
      </c>
      <c r="C758" s="6" t="s">
        <v>2278</v>
      </c>
      <c r="D758" s="5" t="s">
        <v>2279</v>
      </c>
      <c r="E758" s="5" t="s">
        <v>2280</v>
      </c>
      <c r="F758" s="4">
        <v>1</v>
      </c>
      <c r="G758" s="4">
        <v>1</v>
      </c>
    </row>
    <row r="759" spans="1:7" ht="25.5">
      <c r="A759" s="9">
        <v>758</v>
      </c>
      <c r="B759" s="10" t="s">
        <v>759</v>
      </c>
      <c r="C759" s="11" t="s">
        <v>2281</v>
      </c>
      <c r="D759" s="10" t="s">
        <v>2282</v>
      </c>
      <c r="E759" s="10" t="s">
        <v>2283</v>
      </c>
      <c r="F759" s="9">
        <v>1</v>
      </c>
      <c r="G759" s="9">
        <v>1</v>
      </c>
    </row>
    <row r="760" spans="1:7" ht="25.5">
      <c r="A760" s="4">
        <v>759</v>
      </c>
      <c r="B760" s="5" t="s">
        <v>759</v>
      </c>
      <c r="C760" s="6" t="s">
        <v>2284</v>
      </c>
      <c r="D760" s="5" t="s">
        <v>2285</v>
      </c>
      <c r="E760" s="5" t="s">
        <v>2286</v>
      </c>
      <c r="F760" s="4">
        <v>1</v>
      </c>
      <c r="G760" s="4">
        <v>1</v>
      </c>
    </row>
    <row r="761" spans="1:7" ht="25.5">
      <c r="A761" s="9">
        <v>760</v>
      </c>
      <c r="B761" s="10" t="s">
        <v>759</v>
      </c>
      <c r="C761" s="11" t="s">
        <v>2287</v>
      </c>
      <c r="D761" s="10" t="s">
        <v>2288</v>
      </c>
      <c r="E761" s="10" t="s">
        <v>2289</v>
      </c>
      <c r="F761" s="9">
        <v>1</v>
      </c>
      <c r="G761" s="9">
        <v>1</v>
      </c>
    </row>
    <row r="762" spans="1:7" ht="25.5">
      <c r="A762" s="4">
        <v>761</v>
      </c>
      <c r="B762" s="5" t="s">
        <v>759</v>
      </c>
      <c r="C762" s="6" t="s">
        <v>2290</v>
      </c>
      <c r="D762" s="5" t="s">
        <v>2291</v>
      </c>
      <c r="E762" s="5" t="s">
        <v>2292</v>
      </c>
      <c r="F762" s="4">
        <v>1</v>
      </c>
      <c r="G762" s="4">
        <v>1</v>
      </c>
    </row>
    <row r="763" spans="1:7" ht="25.5">
      <c r="A763" s="9">
        <v>762</v>
      </c>
      <c r="B763" s="10" t="s">
        <v>759</v>
      </c>
      <c r="C763" s="11" t="s">
        <v>2293</v>
      </c>
      <c r="D763" s="10" t="s">
        <v>2294</v>
      </c>
      <c r="E763" s="10" t="s">
        <v>2295</v>
      </c>
      <c r="F763" s="9">
        <v>1</v>
      </c>
      <c r="G763" s="9">
        <v>1</v>
      </c>
    </row>
    <row r="764" spans="1:7" ht="25.5">
      <c r="A764" s="4">
        <v>763</v>
      </c>
      <c r="B764" s="5" t="s">
        <v>759</v>
      </c>
      <c r="C764" s="6" t="s">
        <v>2296</v>
      </c>
      <c r="D764" s="5" t="s">
        <v>2297</v>
      </c>
      <c r="E764" s="5" t="s">
        <v>2298</v>
      </c>
      <c r="F764" s="4">
        <v>1</v>
      </c>
      <c r="G764" s="4">
        <v>1</v>
      </c>
    </row>
    <row r="765" spans="1:7" ht="25.5">
      <c r="A765" s="9">
        <v>764</v>
      </c>
      <c r="B765" s="10" t="s">
        <v>759</v>
      </c>
      <c r="C765" s="11" t="s">
        <v>2299</v>
      </c>
      <c r="D765" s="10" t="s">
        <v>2300</v>
      </c>
      <c r="E765" s="10" t="s">
        <v>2301</v>
      </c>
      <c r="F765" s="9">
        <v>1</v>
      </c>
      <c r="G765" s="9">
        <v>1</v>
      </c>
    </row>
    <row r="766" spans="1:7" ht="25.5">
      <c r="A766" s="4">
        <v>765</v>
      </c>
      <c r="B766" s="5" t="s">
        <v>759</v>
      </c>
      <c r="C766" s="6" t="s">
        <v>2302</v>
      </c>
      <c r="D766" s="5" t="s">
        <v>2303</v>
      </c>
      <c r="E766" s="5" t="s">
        <v>2304</v>
      </c>
      <c r="F766" s="4">
        <v>1</v>
      </c>
      <c r="G766" s="4">
        <v>1</v>
      </c>
    </row>
    <row r="767" spans="1:7" ht="25.5">
      <c r="A767" s="9">
        <v>766</v>
      </c>
      <c r="B767" s="10" t="s">
        <v>759</v>
      </c>
      <c r="C767" s="11" t="s">
        <v>2305</v>
      </c>
      <c r="D767" s="10" t="s">
        <v>2306</v>
      </c>
      <c r="E767" s="10" t="s">
        <v>2307</v>
      </c>
      <c r="F767" s="9">
        <v>1</v>
      </c>
      <c r="G767" s="9">
        <v>1</v>
      </c>
    </row>
    <row r="768" spans="1:7" ht="38.25">
      <c r="A768" s="4">
        <v>767</v>
      </c>
      <c r="B768" s="5" t="s">
        <v>759</v>
      </c>
      <c r="C768" s="6" t="s">
        <v>2308</v>
      </c>
      <c r="D768" s="5" t="s">
        <v>2309</v>
      </c>
      <c r="E768" s="5" t="s">
        <v>2310</v>
      </c>
      <c r="F768" s="4">
        <v>1</v>
      </c>
      <c r="G768" s="4">
        <v>1</v>
      </c>
    </row>
    <row r="769" spans="1:7" ht="25.5">
      <c r="A769" s="9">
        <v>768</v>
      </c>
      <c r="B769" s="10" t="s">
        <v>759</v>
      </c>
      <c r="C769" s="11" t="s">
        <v>2311</v>
      </c>
      <c r="D769" s="10" t="s">
        <v>2312</v>
      </c>
      <c r="E769" s="10" t="s">
        <v>2313</v>
      </c>
      <c r="F769" s="9">
        <v>1</v>
      </c>
      <c r="G769" s="9">
        <v>1</v>
      </c>
    </row>
    <row r="770" spans="1:7" ht="25.5">
      <c r="A770" s="4">
        <v>769</v>
      </c>
      <c r="B770" s="5" t="s">
        <v>759</v>
      </c>
      <c r="C770" s="6" t="s">
        <v>2314</v>
      </c>
      <c r="D770" s="5" t="s">
        <v>2315</v>
      </c>
      <c r="E770" s="5" t="s">
        <v>2316</v>
      </c>
      <c r="F770" s="4">
        <v>1</v>
      </c>
      <c r="G770" s="4">
        <v>1</v>
      </c>
    </row>
    <row r="771" spans="1:7" ht="25.5">
      <c r="A771" s="9">
        <v>770</v>
      </c>
      <c r="B771" s="10" t="s">
        <v>759</v>
      </c>
      <c r="C771" s="11" t="s">
        <v>2317</v>
      </c>
      <c r="D771" s="10" t="s">
        <v>2318</v>
      </c>
      <c r="E771" s="10" t="s">
        <v>2319</v>
      </c>
      <c r="F771" s="9">
        <v>1</v>
      </c>
      <c r="G771" s="9">
        <v>1</v>
      </c>
    </row>
    <row r="772" spans="1:7" ht="25.5">
      <c r="A772" s="4">
        <v>771</v>
      </c>
      <c r="B772" s="5" t="s">
        <v>759</v>
      </c>
      <c r="C772" s="6" t="s">
        <v>2320</v>
      </c>
      <c r="D772" s="5" t="s">
        <v>2321</v>
      </c>
      <c r="E772" s="5" t="s">
        <v>2322</v>
      </c>
      <c r="F772" s="4">
        <v>1</v>
      </c>
      <c r="G772" s="4">
        <v>1</v>
      </c>
    </row>
    <row r="773" spans="1:7" ht="25.5">
      <c r="A773" s="9">
        <v>772</v>
      </c>
      <c r="B773" s="10" t="s">
        <v>759</v>
      </c>
      <c r="C773" s="11" t="s">
        <v>2323</v>
      </c>
      <c r="D773" s="10" t="s">
        <v>2324</v>
      </c>
      <c r="E773" s="10" t="s">
        <v>2325</v>
      </c>
      <c r="F773" s="9">
        <v>1</v>
      </c>
      <c r="G773" s="9">
        <v>1</v>
      </c>
    </row>
    <row r="774" spans="1:7" ht="25.5">
      <c r="A774" s="4">
        <v>773</v>
      </c>
      <c r="B774" s="5" t="s">
        <v>759</v>
      </c>
      <c r="C774" s="6" t="s">
        <v>2326</v>
      </c>
      <c r="D774" s="5" t="s">
        <v>2327</v>
      </c>
      <c r="E774" s="5" t="s">
        <v>2328</v>
      </c>
      <c r="F774" s="4">
        <v>1</v>
      </c>
      <c r="G774" s="4">
        <v>1</v>
      </c>
    </row>
    <row r="775" spans="1:7" ht="25.5">
      <c r="A775" s="9">
        <v>774</v>
      </c>
      <c r="B775" s="10" t="s">
        <v>759</v>
      </c>
      <c r="C775" s="11" t="s">
        <v>2329</v>
      </c>
      <c r="D775" s="10" t="s">
        <v>2330</v>
      </c>
      <c r="E775" s="10" t="s">
        <v>2331</v>
      </c>
      <c r="F775" s="9">
        <v>1</v>
      </c>
      <c r="G775" s="9">
        <v>1</v>
      </c>
    </row>
    <row r="776" spans="1:7" ht="25.5">
      <c r="A776" s="4">
        <v>775</v>
      </c>
      <c r="B776" s="5" t="s">
        <v>759</v>
      </c>
      <c r="C776" s="6" t="s">
        <v>2332</v>
      </c>
      <c r="D776" s="5" t="s">
        <v>2333</v>
      </c>
      <c r="E776" s="5" t="s">
        <v>2334</v>
      </c>
      <c r="F776" s="4">
        <v>1</v>
      </c>
      <c r="G776" s="4">
        <v>1</v>
      </c>
    </row>
    <row r="777" spans="1:7" ht="25.5">
      <c r="A777" s="9">
        <v>776</v>
      </c>
      <c r="B777" s="10" t="s">
        <v>759</v>
      </c>
      <c r="C777" s="11" t="s">
        <v>2335</v>
      </c>
      <c r="D777" s="10" t="s">
        <v>2336</v>
      </c>
      <c r="E777" s="10" t="s">
        <v>2337</v>
      </c>
      <c r="F777" s="9">
        <v>1</v>
      </c>
      <c r="G777" s="9">
        <v>1</v>
      </c>
    </row>
    <row r="778" spans="1:7" ht="25.5">
      <c r="A778" s="4">
        <v>777</v>
      </c>
      <c r="B778" s="5" t="s">
        <v>759</v>
      </c>
      <c r="C778" s="6" t="s">
        <v>2338</v>
      </c>
      <c r="D778" s="5" t="s">
        <v>2339</v>
      </c>
      <c r="E778" s="5" t="s">
        <v>2340</v>
      </c>
      <c r="F778" s="4">
        <v>1</v>
      </c>
      <c r="G778" s="4">
        <v>1</v>
      </c>
    </row>
    <row r="779" spans="1:7" ht="25.5">
      <c r="A779" s="9">
        <v>778</v>
      </c>
      <c r="B779" s="10" t="s">
        <v>759</v>
      </c>
      <c r="C779" s="11" t="s">
        <v>2341</v>
      </c>
      <c r="D779" s="10" t="s">
        <v>2342</v>
      </c>
      <c r="E779" s="10" t="s">
        <v>2343</v>
      </c>
      <c r="F779" s="9">
        <v>1</v>
      </c>
      <c r="G779" s="9">
        <v>1</v>
      </c>
    </row>
    <row r="780" spans="1:7" ht="25.5">
      <c r="A780" s="4">
        <v>779</v>
      </c>
      <c r="B780" s="5" t="s">
        <v>759</v>
      </c>
      <c r="C780" s="6" t="s">
        <v>2344</v>
      </c>
      <c r="D780" s="5" t="s">
        <v>2345</v>
      </c>
      <c r="E780" s="5" t="s">
        <v>2346</v>
      </c>
      <c r="F780" s="4">
        <v>1</v>
      </c>
      <c r="G780" s="4">
        <v>1</v>
      </c>
    </row>
    <row r="781" spans="1:7" ht="25.5">
      <c r="A781" s="9">
        <v>780</v>
      </c>
      <c r="B781" s="10" t="s">
        <v>759</v>
      </c>
      <c r="C781" s="11" t="s">
        <v>2347</v>
      </c>
      <c r="D781" s="10" t="s">
        <v>2348</v>
      </c>
      <c r="E781" s="10" t="s">
        <v>2349</v>
      </c>
      <c r="F781" s="9">
        <v>1</v>
      </c>
      <c r="G781" s="9">
        <v>1</v>
      </c>
    </row>
    <row r="782" spans="1:7" ht="25.5">
      <c r="A782" s="4">
        <v>781</v>
      </c>
      <c r="B782" s="5" t="s">
        <v>759</v>
      </c>
      <c r="C782" s="6" t="s">
        <v>2350</v>
      </c>
      <c r="D782" s="5" t="s">
        <v>2351</v>
      </c>
      <c r="E782" s="5" t="s">
        <v>2352</v>
      </c>
      <c r="F782" s="4">
        <v>1</v>
      </c>
      <c r="G782" s="4">
        <v>1</v>
      </c>
    </row>
    <row r="783" spans="1:7" ht="25.5">
      <c r="A783" s="9">
        <v>782</v>
      </c>
      <c r="B783" s="10" t="s">
        <v>759</v>
      </c>
      <c r="C783" s="11" t="s">
        <v>2353</v>
      </c>
      <c r="D783" s="10" t="s">
        <v>2354</v>
      </c>
      <c r="E783" s="10" t="s">
        <v>2355</v>
      </c>
      <c r="F783" s="9">
        <v>1</v>
      </c>
      <c r="G783" s="9">
        <v>1</v>
      </c>
    </row>
    <row r="784" spans="1:7" ht="25.5">
      <c r="A784" s="4">
        <v>783</v>
      </c>
      <c r="B784" s="5" t="s">
        <v>759</v>
      </c>
      <c r="C784" s="6" t="s">
        <v>2356</v>
      </c>
      <c r="D784" s="5" t="s">
        <v>2357</v>
      </c>
      <c r="E784" s="5" t="s">
        <v>2358</v>
      </c>
      <c r="F784" s="4">
        <v>1</v>
      </c>
      <c r="G784" s="4">
        <v>1</v>
      </c>
    </row>
    <row r="785" spans="1:7" ht="25.5">
      <c r="A785" s="9">
        <v>784</v>
      </c>
      <c r="B785" s="10" t="s">
        <v>759</v>
      </c>
      <c r="C785" s="11" t="s">
        <v>2359</v>
      </c>
      <c r="D785" s="10" t="s">
        <v>2360</v>
      </c>
      <c r="E785" s="10" t="s">
        <v>2361</v>
      </c>
      <c r="F785" s="9">
        <v>1</v>
      </c>
      <c r="G785" s="9">
        <v>1</v>
      </c>
    </row>
    <row r="786" spans="1:7" ht="25.5">
      <c r="A786" s="4">
        <v>785</v>
      </c>
      <c r="B786" s="5" t="s">
        <v>759</v>
      </c>
      <c r="C786" s="6" t="s">
        <v>2362</v>
      </c>
      <c r="D786" s="5" t="s">
        <v>2363</v>
      </c>
      <c r="E786" s="5" t="s">
        <v>2364</v>
      </c>
      <c r="F786" s="4">
        <v>1</v>
      </c>
      <c r="G786" s="4">
        <v>1</v>
      </c>
    </row>
    <row r="787" spans="1:7" ht="25.5">
      <c r="A787" s="9">
        <v>786</v>
      </c>
      <c r="B787" s="10" t="s">
        <v>759</v>
      </c>
      <c r="C787" s="11" t="s">
        <v>2365</v>
      </c>
      <c r="D787" s="10" t="s">
        <v>2366</v>
      </c>
      <c r="E787" s="10" t="s">
        <v>2367</v>
      </c>
      <c r="F787" s="9">
        <v>1</v>
      </c>
      <c r="G787" s="9">
        <v>1</v>
      </c>
    </row>
    <row r="788" spans="1:7" ht="25.5">
      <c r="A788" s="4">
        <v>787</v>
      </c>
      <c r="B788" s="5" t="s">
        <v>759</v>
      </c>
      <c r="C788" s="6" t="s">
        <v>2368</v>
      </c>
      <c r="D788" s="5" t="s">
        <v>2369</v>
      </c>
      <c r="E788" s="5" t="s">
        <v>2370</v>
      </c>
      <c r="F788" s="4">
        <v>1</v>
      </c>
      <c r="G788" s="4">
        <v>1</v>
      </c>
    </row>
    <row r="789" spans="1:7" ht="25.5">
      <c r="A789" s="9">
        <v>788</v>
      </c>
      <c r="B789" s="10" t="s">
        <v>759</v>
      </c>
      <c r="C789" s="11" t="s">
        <v>2371</v>
      </c>
      <c r="D789" s="10" t="s">
        <v>2372</v>
      </c>
      <c r="E789" s="10" t="s">
        <v>2373</v>
      </c>
      <c r="F789" s="9">
        <v>1</v>
      </c>
      <c r="G789" s="9">
        <v>1</v>
      </c>
    </row>
    <row r="790" spans="1:7" ht="25.5">
      <c r="A790" s="4">
        <v>789</v>
      </c>
      <c r="B790" s="5" t="s">
        <v>759</v>
      </c>
      <c r="C790" s="6" t="s">
        <v>2374</v>
      </c>
      <c r="D790" s="5" t="s">
        <v>2375</v>
      </c>
      <c r="E790" s="5" t="s">
        <v>2376</v>
      </c>
      <c r="F790" s="4">
        <v>1</v>
      </c>
      <c r="G790" s="4">
        <v>1</v>
      </c>
    </row>
    <row r="791" spans="1:7" ht="25.5">
      <c r="A791" s="9">
        <v>790</v>
      </c>
      <c r="B791" s="10" t="s">
        <v>759</v>
      </c>
      <c r="C791" s="11" t="s">
        <v>2377</v>
      </c>
      <c r="D791" s="10" t="s">
        <v>2378</v>
      </c>
      <c r="E791" s="10" t="s">
        <v>2379</v>
      </c>
      <c r="F791" s="9">
        <v>1</v>
      </c>
      <c r="G791" s="9">
        <v>1</v>
      </c>
    </row>
    <row r="792" spans="1:7" ht="25.5">
      <c r="A792" s="4">
        <v>791</v>
      </c>
      <c r="B792" s="5" t="s">
        <v>759</v>
      </c>
      <c r="C792" s="6" t="s">
        <v>2380</v>
      </c>
      <c r="D792" s="5" t="s">
        <v>2381</v>
      </c>
      <c r="E792" s="5" t="s">
        <v>2382</v>
      </c>
      <c r="F792" s="4">
        <v>1</v>
      </c>
      <c r="G792" s="4">
        <v>1</v>
      </c>
    </row>
    <row r="793" spans="1:7" ht="25.5">
      <c r="A793" s="9">
        <v>792</v>
      </c>
      <c r="B793" s="10" t="s">
        <v>759</v>
      </c>
      <c r="C793" s="11" t="s">
        <v>2383</v>
      </c>
      <c r="D793" s="10" t="s">
        <v>2384</v>
      </c>
      <c r="E793" s="10" t="s">
        <v>2385</v>
      </c>
      <c r="F793" s="9">
        <v>1</v>
      </c>
      <c r="G793" s="9">
        <v>1</v>
      </c>
    </row>
    <row r="794" spans="1:7" ht="25.5">
      <c r="A794" s="4">
        <v>793</v>
      </c>
      <c r="B794" s="5" t="s">
        <v>759</v>
      </c>
      <c r="C794" s="6" t="s">
        <v>2386</v>
      </c>
      <c r="D794" s="5" t="s">
        <v>2387</v>
      </c>
      <c r="E794" s="5" t="s">
        <v>2388</v>
      </c>
      <c r="F794" s="4">
        <v>1</v>
      </c>
      <c r="G794" s="4">
        <v>1</v>
      </c>
    </row>
    <row r="795" spans="1:7" ht="25.5">
      <c r="A795" s="9">
        <v>794</v>
      </c>
      <c r="B795" s="10" t="s">
        <v>759</v>
      </c>
      <c r="C795" s="11" t="s">
        <v>2389</v>
      </c>
      <c r="D795" s="10" t="s">
        <v>2390</v>
      </c>
      <c r="E795" s="10" t="s">
        <v>2391</v>
      </c>
      <c r="F795" s="9">
        <v>1</v>
      </c>
      <c r="G795" s="9">
        <v>1</v>
      </c>
    </row>
    <row r="796" spans="1:7" ht="25.5">
      <c r="A796" s="4">
        <v>795</v>
      </c>
      <c r="B796" s="5" t="s">
        <v>759</v>
      </c>
      <c r="C796" s="6" t="s">
        <v>2392</v>
      </c>
      <c r="D796" s="5" t="s">
        <v>2393</v>
      </c>
      <c r="E796" s="5" t="s">
        <v>2394</v>
      </c>
      <c r="F796" s="4">
        <v>1</v>
      </c>
      <c r="G796" s="4">
        <v>1</v>
      </c>
    </row>
    <row r="797" spans="1:7" ht="25.5">
      <c r="A797" s="9">
        <v>796</v>
      </c>
      <c r="B797" s="10" t="s">
        <v>759</v>
      </c>
      <c r="C797" s="11" t="s">
        <v>2395</v>
      </c>
      <c r="D797" s="10" t="s">
        <v>2396</v>
      </c>
      <c r="E797" s="10" t="s">
        <v>2397</v>
      </c>
      <c r="F797" s="9">
        <v>1</v>
      </c>
      <c r="G797" s="9">
        <v>1</v>
      </c>
    </row>
    <row r="798" spans="1:7" ht="25.5">
      <c r="A798" s="4">
        <v>797</v>
      </c>
      <c r="B798" s="5" t="s">
        <v>759</v>
      </c>
      <c r="C798" s="6" t="s">
        <v>2398</v>
      </c>
      <c r="D798" s="5" t="s">
        <v>2399</v>
      </c>
      <c r="E798" s="5" t="s">
        <v>2400</v>
      </c>
      <c r="F798" s="4">
        <v>1</v>
      </c>
      <c r="G798" s="4">
        <v>1</v>
      </c>
    </row>
    <row r="799" spans="1:7" ht="25.5">
      <c r="A799" s="9">
        <v>798</v>
      </c>
      <c r="B799" s="10" t="s">
        <v>759</v>
      </c>
      <c r="C799" s="11" t="s">
        <v>2401</v>
      </c>
      <c r="D799" s="10" t="s">
        <v>2402</v>
      </c>
      <c r="E799" s="10" t="s">
        <v>2403</v>
      </c>
      <c r="F799" s="9">
        <v>1</v>
      </c>
      <c r="G799" s="9">
        <v>1</v>
      </c>
    </row>
    <row r="800" spans="1:7" ht="25.5">
      <c r="A800" s="4">
        <v>799</v>
      </c>
      <c r="B800" s="5" t="s">
        <v>759</v>
      </c>
      <c r="C800" s="6" t="s">
        <v>2404</v>
      </c>
      <c r="D800" s="5" t="s">
        <v>2405</v>
      </c>
      <c r="E800" s="5" t="s">
        <v>2406</v>
      </c>
      <c r="F800" s="4">
        <v>1</v>
      </c>
      <c r="G800" s="4">
        <v>1</v>
      </c>
    </row>
    <row r="801" spans="1:7" ht="25.5">
      <c r="A801" s="9">
        <v>800</v>
      </c>
      <c r="B801" s="10" t="s">
        <v>759</v>
      </c>
      <c r="C801" s="11" t="s">
        <v>2407</v>
      </c>
      <c r="D801" s="10" t="s">
        <v>2408</v>
      </c>
      <c r="E801" s="10" t="s">
        <v>2409</v>
      </c>
      <c r="F801" s="9">
        <v>1</v>
      </c>
      <c r="G801" s="9">
        <v>1</v>
      </c>
    </row>
    <row r="802" spans="1:7" ht="25.5">
      <c r="A802" s="4">
        <v>801</v>
      </c>
      <c r="B802" s="5" t="s">
        <v>759</v>
      </c>
      <c r="C802" s="6" t="s">
        <v>2410</v>
      </c>
      <c r="D802" s="5" t="s">
        <v>2411</v>
      </c>
      <c r="E802" s="5" t="s">
        <v>2412</v>
      </c>
      <c r="F802" s="4">
        <v>1</v>
      </c>
      <c r="G802" s="4">
        <v>1</v>
      </c>
    </row>
    <row r="803" spans="1:7" ht="25.5">
      <c r="A803" s="9">
        <v>802</v>
      </c>
      <c r="B803" s="10" t="s">
        <v>759</v>
      </c>
      <c r="C803" s="11" t="s">
        <v>2413</v>
      </c>
      <c r="D803" s="10" t="s">
        <v>2414</v>
      </c>
      <c r="E803" s="10" t="s">
        <v>2415</v>
      </c>
      <c r="F803" s="9">
        <v>1</v>
      </c>
      <c r="G803" s="9">
        <v>1</v>
      </c>
    </row>
    <row r="804" spans="1:7" ht="25.5">
      <c r="A804" s="4">
        <v>803</v>
      </c>
      <c r="B804" s="5" t="s">
        <v>759</v>
      </c>
      <c r="C804" s="6" t="s">
        <v>2416</v>
      </c>
      <c r="D804" s="5" t="s">
        <v>2417</v>
      </c>
      <c r="E804" s="5" t="s">
        <v>2418</v>
      </c>
      <c r="F804" s="4">
        <v>1</v>
      </c>
      <c r="G804" s="4">
        <v>1</v>
      </c>
    </row>
    <row r="805" spans="1:7" ht="25.5">
      <c r="A805" s="9">
        <v>804</v>
      </c>
      <c r="B805" s="10" t="s">
        <v>759</v>
      </c>
      <c r="C805" s="11" t="s">
        <v>2419</v>
      </c>
      <c r="D805" s="10" t="s">
        <v>2420</v>
      </c>
      <c r="E805" s="10" t="s">
        <v>2421</v>
      </c>
      <c r="F805" s="9">
        <v>1</v>
      </c>
      <c r="G805" s="9">
        <v>1</v>
      </c>
    </row>
    <row r="806" spans="1:7" ht="25.5">
      <c r="A806" s="4">
        <v>805</v>
      </c>
      <c r="B806" s="5" t="s">
        <v>759</v>
      </c>
      <c r="C806" s="6" t="s">
        <v>2422</v>
      </c>
      <c r="D806" s="5" t="s">
        <v>2423</v>
      </c>
      <c r="E806" s="5" t="s">
        <v>2424</v>
      </c>
      <c r="F806" s="4">
        <v>1</v>
      </c>
      <c r="G806" s="4">
        <v>1</v>
      </c>
    </row>
    <row r="807" spans="1:7" ht="25.5">
      <c r="A807" s="9">
        <v>806</v>
      </c>
      <c r="B807" s="10" t="s">
        <v>759</v>
      </c>
      <c r="C807" s="11" t="s">
        <v>2425</v>
      </c>
      <c r="D807" s="10" t="s">
        <v>2426</v>
      </c>
      <c r="E807" s="10" t="s">
        <v>2427</v>
      </c>
      <c r="F807" s="9">
        <v>1</v>
      </c>
      <c r="G807" s="9">
        <v>1</v>
      </c>
    </row>
    <row r="808" spans="1:7" ht="25.5">
      <c r="A808" s="4">
        <v>807</v>
      </c>
      <c r="B808" s="5" t="s">
        <v>759</v>
      </c>
      <c r="C808" s="6" t="s">
        <v>2428</v>
      </c>
      <c r="D808" s="5" t="s">
        <v>2429</v>
      </c>
      <c r="E808" s="5" t="s">
        <v>2430</v>
      </c>
      <c r="F808" s="4">
        <v>1</v>
      </c>
      <c r="G808" s="4">
        <v>1</v>
      </c>
    </row>
    <row r="809" spans="1:7" ht="25.5">
      <c r="A809" s="9">
        <v>808</v>
      </c>
      <c r="B809" s="10" t="s">
        <v>759</v>
      </c>
      <c r="C809" s="11" t="s">
        <v>2431</v>
      </c>
      <c r="D809" s="10" t="s">
        <v>2432</v>
      </c>
      <c r="E809" s="10" t="s">
        <v>2433</v>
      </c>
      <c r="F809" s="9">
        <v>1</v>
      </c>
      <c r="G809" s="9">
        <v>1</v>
      </c>
    </row>
    <row r="810" spans="1:7" ht="25.5">
      <c r="A810" s="4">
        <v>809</v>
      </c>
      <c r="B810" s="5" t="s">
        <v>759</v>
      </c>
      <c r="C810" s="6" t="s">
        <v>2434</v>
      </c>
      <c r="D810" s="5" t="s">
        <v>2435</v>
      </c>
      <c r="E810" s="5" t="s">
        <v>2436</v>
      </c>
      <c r="F810" s="4">
        <v>1</v>
      </c>
      <c r="G810" s="4">
        <v>1</v>
      </c>
    </row>
    <row r="811" spans="1:7" ht="25.5">
      <c r="A811" s="9">
        <v>810</v>
      </c>
      <c r="B811" s="10" t="s">
        <v>759</v>
      </c>
      <c r="C811" s="11" t="s">
        <v>2437</v>
      </c>
      <c r="D811" s="10" t="s">
        <v>2438</v>
      </c>
      <c r="E811" s="10" t="s">
        <v>2439</v>
      </c>
      <c r="F811" s="9">
        <v>1</v>
      </c>
      <c r="G811" s="9">
        <v>1</v>
      </c>
    </row>
    <row r="812" spans="1:7" ht="25.5">
      <c r="A812" s="4">
        <v>811</v>
      </c>
      <c r="B812" s="5" t="s">
        <v>759</v>
      </c>
      <c r="C812" s="6" t="s">
        <v>2440</v>
      </c>
      <c r="D812" s="5" t="s">
        <v>2441</v>
      </c>
      <c r="E812" s="5" t="s">
        <v>2442</v>
      </c>
      <c r="F812" s="4">
        <v>1</v>
      </c>
      <c r="G812" s="4">
        <v>1</v>
      </c>
    </row>
    <row r="813" spans="1:7" ht="25.5">
      <c r="A813" s="9">
        <v>812</v>
      </c>
      <c r="B813" s="10" t="s">
        <v>759</v>
      </c>
      <c r="C813" s="11" t="s">
        <v>2443</v>
      </c>
      <c r="D813" s="10" t="s">
        <v>2444</v>
      </c>
      <c r="E813" s="10" t="s">
        <v>2445</v>
      </c>
      <c r="F813" s="9">
        <v>1</v>
      </c>
      <c r="G813" s="9">
        <v>1</v>
      </c>
    </row>
    <row r="814" spans="1:7" ht="25.5">
      <c r="A814" s="4">
        <v>813</v>
      </c>
      <c r="B814" s="5" t="s">
        <v>759</v>
      </c>
      <c r="C814" s="6" t="s">
        <v>2446</v>
      </c>
      <c r="D814" s="5" t="s">
        <v>2447</v>
      </c>
      <c r="E814" s="5" t="s">
        <v>2448</v>
      </c>
      <c r="F814" s="4">
        <v>1</v>
      </c>
      <c r="G814" s="4">
        <v>1</v>
      </c>
    </row>
    <row r="815" spans="1:7" ht="25.5">
      <c r="A815" s="9">
        <v>814</v>
      </c>
      <c r="B815" s="10" t="s">
        <v>759</v>
      </c>
      <c r="C815" s="11" t="s">
        <v>2449</v>
      </c>
      <c r="D815" s="10" t="s">
        <v>2450</v>
      </c>
      <c r="E815" s="10" t="s">
        <v>2451</v>
      </c>
      <c r="F815" s="9">
        <v>1</v>
      </c>
      <c r="G815" s="9">
        <v>1</v>
      </c>
    </row>
    <row r="816" spans="1:7" ht="25.5">
      <c r="A816" s="4">
        <v>815</v>
      </c>
      <c r="B816" s="5" t="s">
        <v>759</v>
      </c>
      <c r="C816" s="6" t="s">
        <v>2452</v>
      </c>
      <c r="D816" s="5" t="s">
        <v>2453</v>
      </c>
      <c r="E816" s="5" t="s">
        <v>2454</v>
      </c>
      <c r="F816" s="4">
        <v>1</v>
      </c>
      <c r="G816" s="4">
        <v>1</v>
      </c>
    </row>
    <row r="817" spans="1:7" ht="25.5">
      <c r="A817" s="9">
        <v>816</v>
      </c>
      <c r="B817" s="10" t="s">
        <v>759</v>
      </c>
      <c r="C817" s="11" t="s">
        <v>2455</v>
      </c>
      <c r="D817" s="10" t="s">
        <v>2456</v>
      </c>
      <c r="E817" s="10" t="s">
        <v>2457</v>
      </c>
      <c r="F817" s="9">
        <v>1</v>
      </c>
      <c r="G817" s="9">
        <v>1</v>
      </c>
    </row>
    <row r="818" spans="1:7" ht="25.5">
      <c r="A818" s="4">
        <v>817</v>
      </c>
      <c r="B818" s="5" t="s">
        <v>759</v>
      </c>
      <c r="C818" s="6" t="s">
        <v>2458</v>
      </c>
      <c r="D818" s="5" t="s">
        <v>2459</v>
      </c>
      <c r="E818" s="5" t="s">
        <v>2460</v>
      </c>
      <c r="F818" s="4">
        <v>1</v>
      </c>
      <c r="G818" s="4">
        <v>1</v>
      </c>
    </row>
    <row r="819" spans="1:7" ht="25.5">
      <c r="A819" s="9">
        <v>818</v>
      </c>
      <c r="B819" s="10" t="s">
        <v>759</v>
      </c>
      <c r="C819" s="11" t="s">
        <v>2461</v>
      </c>
      <c r="D819" s="10" t="s">
        <v>2462</v>
      </c>
      <c r="E819" s="10" t="s">
        <v>2463</v>
      </c>
      <c r="F819" s="9">
        <v>1</v>
      </c>
      <c r="G819" s="9">
        <v>1</v>
      </c>
    </row>
    <row r="820" spans="1:7" ht="25.5">
      <c r="A820" s="4">
        <v>819</v>
      </c>
      <c r="B820" s="5" t="s">
        <v>759</v>
      </c>
      <c r="C820" s="6" t="s">
        <v>2464</v>
      </c>
      <c r="D820" s="5" t="s">
        <v>2465</v>
      </c>
      <c r="E820" s="5" t="s">
        <v>2466</v>
      </c>
      <c r="F820" s="4">
        <v>1</v>
      </c>
      <c r="G820" s="4">
        <v>1</v>
      </c>
    </row>
    <row r="821" spans="1:7" ht="25.5">
      <c r="A821" s="9">
        <v>820</v>
      </c>
      <c r="B821" s="10" t="s">
        <v>759</v>
      </c>
      <c r="C821" s="11" t="s">
        <v>2467</v>
      </c>
      <c r="D821" s="10" t="s">
        <v>2468</v>
      </c>
      <c r="E821" s="10" t="s">
        <v>2469</v>
      </c>
      <c r="F821" s="9">
        <v>1</v>
      </c>
      <c r="G821" s="9">
        <v>1</v>
      </c>
    </row>
    <row r="822" spans="1:7" ht="25.5">
      <c r="A822" s="4">
        <v>821</v>
      </c>
      <c r="B822" s="5" t="s">
        <v>759</v>
      </c>
      <c r="C822" s="6" t="s">
        <v>2470</v>
      </c>
      <c r="D822" s="5" t="s">
        <v>2471</v>
      </c>
      <c r="E822" s="5" t="s">
        <v>2472</v>
      </c>
      <c r="F822" s="4">
        <v>1</v>
      </c>
      <c r="G822" s="4">
        <v>1</v>
      </c>
    </row>
    <row r="823" spans="1:7" ht="25.5">
      <c r="A823" s="9">
        <v>822</v>
      </c>
      <c r="B823" s="10" t="s">
        <v>759</v>
      </c>
      <c r="C823" s="11" t="s">
        <v>2473</v>
      </c>
      <c r="D823" s="10" t="s">
        <v>2474</v>
      </c>
      <c r="E823" s="10" t="s">
        <v>2475</v>
      </c>
      <c r="F823" s="9">
        <v>1</v>
      </c>
      <c r="G823" s="9">
        <v>1</v>
      </c>
    </row>
    <row r="824" spans="1:7" ht="25.5">
      <c r="A824" s="4">
        <v>823</v>
      </c>
      <c r="B824" s="5" t="s">
        <v>759</v>
      </c>
      <c r="C824" s="6" t="s">
        <v>2476</v>
      </c>
      <c r="D824" s="5" t="s">
        <v>2477</v>
      </c>
      <c r="E824" s="5" t="s">
        <v>2478</v>
      </c>
      <c r="F824" s="4">
        <v>1</v>
      </c>
      <c r="G824" s="4">
        <v>1</v>
      </c>
    </row>
    <row r="825" spans="1:7" ht="25.5">
      <c r="A825" s="9">
        <v>824</v>
      </c>
      <c r="B825" s="10" t="s">
        <v>759</v>
      </c>
      <c r="C825" s="11" t="s">
        <v>2479</v>
      </c>
      <c r="D825" s="10" t="s">
        <v>2480</v>
      </c>
      <c r="E825" s="10" t="s">
        <v>2481</v>
      </c>
      <c r="F825" s="9">
        <v>1</v>
      </c>
      <c r="G825" s="9">
        <v>1</v>
      </c>
    </row>
    <row r="826" spans="1:7" ht="25.5">
      <c r="A826" s="4">
        <v>825</v>
      </c>
      <c r="B826" s="5" t="s">
        <v>759</v>
      </c>
      <c r="C826" s="6" t="s">
        <v>2482</v>
      </c>
      <c r="D826" s="5" t="s">
        <v>2483</v>
      </c>
      <c r="E826" s="5" t="s">
        <v>2484</v>
      </c>
      <c r="F826" s="4">
        <v>1</v>
      </c>
      <c r="G826" s="4">
        <v>1</v>
      </c>
    </row>
    <row r="827" spans="1:7" ht="25.5">
      <c r="A827" s="9">
        <v>826</v>
      </c>
      <c r="B827" s="10" t="s">
        <v>759</v>
      </c>
      <c r="C827" s="11" t="s">
        <v>2485</v>
      </c>
      <c r="D827" s="10" t="s">
        <v>2486</v>
      </c>
      <c r="E827" s="10" t="s">
        <v>2487</v>
      </c>
      <c r="F827" s="9">
        <v>1</v>
      </c>
      <c r="G827" s="9">
        <v>1</v>
      </c>
    </row>
    <row r="828" spans="1:7" ht="25.5">
      <c r="A828" s="4">
        <v>827</v>
      </c>
      <c r="B828" s="5" t="s">
        <v>759</v>
      </c>
      <c r="C828" s="6" t="s">
        <v>2488</v>
      </c>
      <c r="D828" s="5" t="s">
        <v>2489</v>
      </c>
      <c r="E828" s="5" t="s">
        <v>2490</v>
      </c>
      <c r="F828" s="4">
        <v>1</v>
      </c>
      <c r="G828" s="4">
        <v>1</v>
      </c>
    </row>
    <row r="829" spans="1:7" ht="25.5">
      <c r="A829" s="9">
        <v>828</v>
      </c>
      <c r="B829" s="10" t="s">
        <v>759</v>
      </c>
      <c r="C829" s="11" t="s">
        <v>2491</v>
      </c>
      <c r="D829" s="10" t="s">
        <v>2492</v>
      </c>
      <c r="E829" s="10" t="s">
        <v>2493</v>
      </c>
      <c r="F829" s="9">
        <v>1</v>
      </c>
      <c r="G829" s="9">
        <v>1</v>
      </c>
    </row>
    <row r="830" spans="1:7" ht="25.5">
      <c r="A830" s="4">
        <v>829</v>
      </c>
      <c r="B830" s="5" t="s">
        <v>759</v>
      </c>
      <c r="C830" s="6" t="s">
        <v>2494</v>
      </c>
      <c r="D830" s="5" t="s">
        <v>2495</v>
      </c>
      <c r="E830" s="5" t="s">
        <v>2496</v>
      </c>
      <c r="F830" s="4">
        <v>1</v>
      </c>
      <c r="G830" s="4">
        <v>1</v>
      </c>
    </row>
    <row r="831" spans="1:7" ht="25.5">
      <c r="A831" s="9">
        <v>830</v>
      </c>
      <c r="B831" s="10" t="s">
        <v>759</v>
      </c>
      <c r="C831" s="11" t="s">
        <v>2497</v>
      </c>
      <c r="D831" s="10" t="s">
        <v>2498</v>
      </c>
      <c r="E831" s="10" t="s">
        <v>2499</v>
      </c>
      <c r="F831" s="9">
        <v>1</v>
      </c>
      <c r="G831" s="9">
        <v>1</v>
      </c>
    </row>
    <row r="832" spans="1:7" ht="25.5">
      <c r="A832" s="4">
        <v>831</v>
      </c>
      <c r="B832" s="5" t="s">
        <v>759</v>
      </c>
      <c r="C832" s="6" t="s">
        <v>2500</v>
      </c>
      <c r="D832" s="5" t="s">
        <v>2501</v>
      </c>
      <c r="E832" s="5" t="s">
        <v>2502</v>
      </c>
      <c r="F832" s="4">
        <v>1</v>
      </c>
      <c r="G832" s="4">
        <v>1</v>
      </c>
    </row>
    <row r="833" spans="1:7" ht="25.5">
      <c r="A833" s="9">
        <v>832</v>
      </c>
      <c r="B833" s="10" t="s">
        <v>759</v>
      </c>
      <c r="C833" s="11" t="s">
        <v>2503</v>
      </c>
      <c r="D833" s="10" t="s">
        <v>2504</v>
      </c>
      <c r="E833" s="10" t="s">
        <v>2505</v>
      </c>
      <c r="F833" s="9">
        <v>1</v>
      </c>
      <c r="G833" s="9">
        <v>1</v>
      </c>
    </row>
    <row r="834" spans="1:7" ht="25.5">
      <c r="A834" s="4">
        <v>833</v>
      </c>
      <c r="B834" s="5" t="s">
        <v>759</v>
      </c>
      <c r="C834" s="6" t="s">
        <v>2506</v>
      </c>
      <c r="D834" s="5" t="s">
        <v>2507</v>
      </c>
      <c r="E834" s="5" t="s">
        <v>2508</v>
      </c>
      <c r="F834" s="4">
        <v>1</v>
      </c>
      <c r="G834" s="4">
        <v>1</v>
      </c>
    </row>
    <row r="835" spans="1:7" ht="38.25">
      <c r="A835" s="9">
        <v>834</v>
      </c>
      <c r="B835" s="10" t="s">
        <v>759</v>
      </c>
      <c r="C835" s="11" t="s">
        <v>2509</v>
      </c>
      <c r="D835" s="10" t="s">
        <v>2510</v>
      </c>
      <c r="E835" s="10" t="s">
        <v>2511</v>
      </c>
      <c r="F835" s="9">
        <v>1</v>
      </c>
      <c r="G835" s="9">
        <v>1</v>
      </c>
    </row>
    <row r="836" spans="1:7" ht="25.5">
      <c r="A836" s="4">
        <v>835</v>
      </c>
      <c r="B836" s="5" t="s">
        <v>759</v>
      </c>
      <c r="C836" s="6" t="s">
        <v>2512</v>
      </c>
      <c r="D836" s="5" t="s">
        <v>2513</v>
      </c>
      <c r="E836" s="5" t="s">
        <v>2514</v>
      </c>
      <c r="F836" s="4">
        <v>1</v>
      </c>
      <c r="G836" s="4">
        <v>1</v>
      </c>
    </row>
    <row r="837" spans="1:7" ht="25.5">
      <c r="A837" s="9">
        <v>836</v>
      </c>
      <c r="B837" s="10" t="s">
        <v>759</v>
      </c>
      <c r="C837" s="11" t="s">
        <v>2515</v>
      </c>
      <c r="D837" s="10" t="s">
        <v>2516</v>
      </c>
      <c r="E837" s="10" t="s">
        <v>2517</v>
      </c>
      <c r="F837" s="9">
        <v>1</v>
      </c>
      <c r="G837" s="9">
        <v>1</v>
      </c>
    </row>
    <row r="838" spans="1:7" ht="25.5">
      <c r="A838" s="4">
        <v>837</v>
      </c>
      <c r="B838" s="5" t="s">
        <v>759</v>
      </c>
      <c r="C838" s="6" t="s">
        <v>2518</v>
      </c>
      <c r="D838" s="5" t="s">
        <v>2519</v>
      </c>
      <c r="E838" s="5" t="s">
        <v>2520</v>
      </c>
      <c r="F838" s="4">
        <v>1</v>
      </c>
      <c r="G838" s="4">
        <v>1</v>
      </c>
    </row>
    <row r="839" spans="1:7" ht="25.5">
      <c r="A839" s="9">
        <v>838</v>
      </c>
      <c r="B839" s="10" t="s">
        <v>759</v>
      </c>
      <c r="C839" s="11" t="s">
        <v>2521</v>
      </c>
      <c r="D839" s="10" t="s">
        <v>2522</v>
      </c>
      <c r="E839" s="10" t="s">
        <v>2523</v>
      </c>
      <c r="F839" s="9">
        <v>1</v>
      </c>
      <c r="G839" s="9">
        <v>1</v>
      </c>
    </row>
    <row r="840" spans="1:7" ht="25.5">
      <c r="A840" s="4">
        <v>839</v>
      </c>
      <c r="B840" s="5" t="s">
        <v>759</v>
      </c>
      <c r="C840" s="6" t="s">
        <v>2524</v>
      </c>
      <c r="D840" s="5" t="s">
        <v>2525</v>
      </c>
      <c r="E840" s="5" t="s">
        <v>2526</v>
      </c>
      <c r="F840" s="4">
        <v>1</v>
      </c>
      <c r="G840" s="4">
        <v>1</v>
      </c>
    </row>
    <row r="841" spans="1:7" ht="25.5">
      <c r="A841" s="9">
        <v>840</v>
      </c>
      <c r="B841" s="10" t="s">
        <v>759</v>
      </c>
      <c r="C841" s="11" t="s">
        <v>2527</v>
      </c>
      <c r="D841" s="10" t="s">
        <v>2528</v>
      </c>
      <c r="E841" s="10" t="s">
        <v>2529</v>
      </c>
      <c r="F841" s="9">
        <v>1</v>
      </c>
      <c r="G841" s="9">
        <v>1</v>
      </c>
    </row>
    <row r="842" spans="1:7" ht="25.5">
      <c r="A842" s="4">
        <v>841</v>
      </c>
      <c r="B842" s="5" t="s">
        <v>759</v>
      </c>
      <c r="C842" s="6" t="s">
        <v>2530</v>
      </c>
      <c r="D842" s="5" t="s">
        <v>2531</v>
      </c>
      <c r="E842" s="5" t="s">
        <v>2532</v>
      </c>
      <c r="F842" s="4">
        <v>1</v>
      </c>
      <c r="G842" s="4">
        <v>1</v>
      </c>
    </row>
    <row r="843" spans="1:7" ht="25.5">
      <c r="A843" s="9">
        <v>842</v>
      </c>
      <c r="B843" s="10" t="s">
        <v>759</v>
      </c>
      <c r="C843" s="11" t="s">
        <v>2533</v>
      </c>
      <c r="D843" s="10" t="s">
        <v>2534</v>
      </c>
      <c r="E843" s="10" t="s">
        <v>2535</v>
      </c>
      <c r="F843" s="9">
        <v>1</v>
      </c>
      <c r="G843" s="9">
        <v>1</v>
      </c>
    </row>
    <row r="844" spans="1:7" ht="25.5">
      <c r="A844" s="4">
        <v>843</v>
      </c>
      <c r="B844" s="5" t="s">
        <v>759</v>
      </c>
      <c r="C844" s="6" t="s">
        <v>2536</v>
      </c>
      <c r="D844" s="5" t="s">
        <v>2537</v>
      </c>
      <c r="E844" s="5" t="s">
        <v>2538</v>
      </c>
      <c r="F844" s="4">
        <v>1</v>
      </c>
      <c r="G844" s="4">
        <v>1</v>
      </c>
    </row>
    <row r="845" spans="1:7" ht="25.5">
      <c r="A845" s="9">
        <v>844</v>
      </c>
      <c r="B845" s="10" t="s">
        <v>759</v>
      </c>
      <c r="C845" s="11" t="s">
        <v>2539</v>
      </c>
      <c r="D845" s="10" t="s">
        <v>2540</v>
      </c>
      <c r="E845" s="10" t="s">
        <v>2541</v>
      </c>
      <c r="F845" s="9">
        <v>1</v>
      </c>
      <c r="G845" s="9">
        <v>1</v>
      </c>
    </row>
    <row r="846" spans="1:7" ht="25.5">
      <c r="A846" s="4">
        <v>845</v>
      </c>
      <c r="B846" s="5" t="s">
        <v>759</v>
      </c>
      <c r="C846" s="6" t="s">
        <v>2542</v>
      </c>
      <c r="D846" s="5" t="s">
        <v>2543</v>
      </c>
      <c r="E846" s="5" t="s">
        <v>2544</v>
      </c>
      <c r="F846" s="4">
        <v>1</v>
      </c>
      <c r="G846" s="4">
        <v>1</v>
      </c>
    </row>
    <row r="847" spans="1:7" ht="25.5">
      <c r="A847" s="9">
        <v>846</v>
      </c>
      <c r="B847" s="10" t="s">
        <v>759</v>
      </c>
      <c r="C847" s="11" t="s">
        <v>2545</v>
      </c>
      <c r="D847" s="10" t="s">
        <v>2546</v>
      </c>
      <c r="E847" s="10" t="s">
        <v>2547</v>
      </c>
      <c r="F847" s="9">
        <v>1</v>
      </c>
      <c r="G847" s="9">
        <v>1</v>
      </c>
    </row>
    <row r="848" spans="1:7" ht="25.5">
      <c r="A848" s="4">
        <v>847</v>
      </c>
      <c r="B848" s="5" t="s">
        <v>759</v>
      </c>
      <c r="C848" s="6" t="s">
        <v>2548</v>
      </c>
      <c r="D848" s="5" t="s">
        <v>2549</v>
      </c>
      <c r="E848" s="5" t="s">
        <v>2550</v>
      </c>
      <c r="F848" s="4">
        <v>1</v>
      </c>
      <c r="G848" s="4">
        <v>1</v>
      </c>
    </row>
    <row r="849" spans="1:7" ht="25.5">
      <c r="A849" s="9">
        <v>848</v>
      </c>
      <c r="B849" s="10" t="s">
        <v>759</v>
      </c>
      <c r="C849" s="11" t="s">
        <v>2551</v>
      </c>
      <c r="D849" s="10" t="s">
        <v>2552</v>
      </c>
      <c r="E849" s="10" t="s">
        <v>2553</v>
      </c>
      <c r="F849" s="9">
        <v>1</v>
      </c>
      <c r="G849" s="9">
        <v>1</v>
      </c>
    </row>
    <row r="850" spans="1:7" ht="25.5">
      <c r="A850" s="4">
        <v>849</v>
      </c>
      <c r="B850" s="5" t="s">
        <v>759</v>
      </c>
      <c r="C850" s="6" t="s">
        <v>2554</v>
      </c>
      <c r="D850" s="5" t="s">
        <v>2555</v>
      </c>
      <c r="E850" s="5" t="s">
        <v>2556</v>
      </c>
      <c r="F850" s="4">
        <v>1</v>
      </c>
      <c r="G850" s="4">
        <v>1</v>
      </c>
    </row>
    <row r="851" spans="1:7" ht="25.5">
      <c r="A851" s="9">
        <v>850</v>
      </c>
      <c r="B851" s="10" t="s">
        <v>759</v>
      </c>
      <c r="C851" s="11" t="s">
        <v>2557</v>
      </c>
      <c r="D851" s="10" t="s">
        <v>2558</v>
      </c>
      <c r="E851" s="10" t="s">
        <v>2559</v>
      </c>
      <c r="F851" s="9">
        <v>1</v>
      </c>
      <c r="G851" s="9">
        <v>1</v>
      </c>
    </row>
    <row r="852" spans="1:7" ht="25.5">
      <c r="A852" s="4">
        <v>851</v>
      </c>
      <c r="B852" s="5" t="s">
        <v>759</v>
      </c>
      <c r="C852" s="6" t="s">
        <v>2560</v>
      </c>
      <c r="D852" s="5" t="s">
        <v>2561</v>
      </c>
      <c r="E852" s="5" t="s">
        <v>2562</v>
      </c>
      <c r="F852" s="4">
        <v>1</v>
      </c>
      <c r="G852" s="4">
        <v>1</v>
      </c>
    </row>
    <row r="853" spans="1:7" ht="25.5">
      <c r="A853" s="9">
        <v>852</v>
      </c>
      <c r="B853" s="10" t="s">
        <v>759</v>
      </c>
      <c r="C853" s="11" t="s">
        <v>2563</v>
      </c>
      <c r="D853" s="10" t="s">
        <v>2564</v>
      </c>
      <c r="E853" s="10" t="s">
        <v>2565</v>
      </c>
      <c r="F853" s="9">
        <v>1</v>
      </c>
      <c r="G853" s="9">
        <v>1</v>
      </c>
    </row>
    <row r="854" spans="1:7" ht="25.5">
      <c r="A854" s="4">
        <v>853</v>
      </c>
      <c r="B854" s="5" t="s">
        <v>759</v>
      </c>
      <c r="C854" s="6" t="s">
        <v>2566</v>
      </c>
      <c r="D854" s="5" t="s">
        <v>2567</v>
      </c>
      <c r="E854" s="5" t="s">
        <v>2568</v>
      </c>
      <c r="F854" s="4">
        <v>1</v>
      </c>
      <c r="G854" s="4">
        <v>1</v>
      </c>
    </row>
    <row r="855" spans="1:7" ht="25.5">
      <c r="A855" s="9">
        <v>854</v>
      </c>
      <c r="B855" s="10" t="s">
        <v>759</v>
      </c>
      <c r="C855" s="11" t="s">
        <v>2569</v>
      </c>
      <c r="D855" s="10" t="s">
        <v>2570</v>
      </c>
      <c r="E855" s="10" t="s">
        <v>2571</v>
      </c>
      <c r="F855" s="9">
        <v>1</v>
      </c>
      <c r="G855" s="9">
        <v>1</v>
      </c>
    </row>
    <row r="856" spans="1:7" ht="25.5">
      <c r="A856" s="4">
        <v>855</v>
      </c>
      <c r="B856" s="5" t="s">
        <v>759</v>
      </c>
      <c r="C856" s="6" t="s">
        <v>2572</v>
      </c>
      <c r="D856" s="5" t="s">
        <v>2573</v>
      </c>
      <c r="E856" s="5" t="s">
        <v>2574</v>
      </c>
      <c r="F856" s="4">
        <v>1</v>
      </c>
      <c r="G856" s="4">
        <v>1</v>
      </c>
    </row>
    <row r="857" spans="1:7" ht="25.5">
      <c r="A857" s="9">
        <v>856</v>
      </c>
      <c r="B857" s="10" t="s">
        <v>759</v>
      </c>
      <c r="C857" s="11" t="s">
        <v>2575</v>
      </c>
      <c r="D857" s="10" t="s">
        <v>2576</v>
      </c>
      <c r="E857" s="10" t="s">
        <v>2577</v>
      </c>
      <c r="F857" s="9">
        <v>1</v>
      </c>
      <c r="G857" s="9">
        <v>1</v>
      </c>
    </row>
    <row r="858" spans="1:7" ht="25.5">
      <c r="A858" s="4">
        <v>857</v>
      </c>
      <c r="B858" s="5" t="s">
        <v>759</v>
      </c>
      <c r="C858" s="6" t="s">
        <v>2578</v>
      </c>
      <c r="D858" s="5" t="s">
        <v>2579</v>
      </c>
      <c r="E858" s="5" t="s">
        <v>2580</v>
      </c>
      <c r="F858" s="4">
        <v>1</v>
      </c>
      <c r="G858" s="4">
        <v>1</v>
      </c>
    </row>
    <row r="859" spans="1:7" ht="25.5">
      <c r="A859" s="9">
        <v>858</v>
      </c>
      <c r="B859" s="10" t="s">
        <v>759</v>
      </c>
      <c r="C859" s="11" t="s">
        <v>2581</v>
      </c>
      <c r="D859" s="10" t="s">
        <v>2582</v>
      </c>
      <c r="E859" s="10" t="s">
        <v>2583</v>
      </c>
      <c r="F859" s="9">
        <v>1</v>
      </c>
      <c r="G859" s="9">
        <v>1</v>
      </c>
    </row>
    <row r="860" spans="1:7" ht="25.5">
      <c r="A860" s="4">
        <v>859</v>
      </c>
      <c r="B860" s="5" t="s">
        <v>759</v>
      </c>
      <c r="C860" s="6" t="s">
        <v>2584</v>
      </c>
      <c r="D860" s="5" t="s">
        <v>2585</v>
      </c>
      <c r="E860" s="5" t="s">
        <v>2586</v>
      </c>
      <c r="F860" s="4">
        <v>1</v>
      </c>
      <c r="G860" s="4">
        <v>1</v>
      </c>
    </row>
    <row r="861" spans="1:7" ht="25.5">
      <c r="A861" s="9">
        <v>860</v>
      </c>
      <c r="B861" s="10" t="s">
        <v>759</v>
      </c>
      <c r="C861" s="11" t="s">
        <v>2587</v>
      </c>
      <c r="D861" s="10" t="s">
        <v>2588</v>
      </c>
      <c r="E861" s="10" t="s">
        <v>2589</v>
      </c>
      <c r="F861" s="9">
        <v>1</v>
      </c>
      <c r="G861" s="9">
        <v>1</v>
      </c>
    </row>
    <row r="862" spans="1:7" ht="25.5">
      <c r="A862" s="4">
        <v>861</v>
      </c>
      <c r="B862" s="5" t="s">
        <v>759</v>
      </c>
      <c r="C862" s="6" t="s">
        <v>2590</v>
      </c>
      <c r="D862" s="5" t="s">
        <v>2591</v>
      </c>
      <c r="E862" s="5" t="s">
        <v>2592</v>
      </c>
      <c r="F862" s="4">
        <v>1</v>
      </c>
      <c r="G862" s="4">
        <v>1</v>
      </c>
    </row>
    <row r="863" spans="1:7" ht="25.5">
      <c r="A863" s="9">
        <v>862</v>
      </c>
      <c r="B863" s="10" t="s">
        <v>759</v>
      </c>
      <c r="C863" s="11" t="s">
        <v>2593</v>
      </c>
      <c r="D863" s="10" t="s">
        <v>2594</v>
      </c>
      <c r="E863" s="10" t="s">
        <v>2595</v>
      </c>
      <c r="F863" s="9">
        <v>1</v>
      </c>
      <c r="G863" s="9">
        <v>1</v>
      </c>
    </row>
    <row r="864" spans="1:7" ht="25.5">
      <c r="A864" s="4">
        <v>863</v>
      </c>
      <c r="B864" s="5" t="s">
        <v>759</v>
      </c>
      <c r="C864" s="6" t="s">
        <v>2596</v>
      </c>
      <c r="D864" s="5" t="s">
        <v>2597</v>
      </c>
      <c r="E864" s="5" t="s">
        <v>2598</v>
      </c>
      <c r="F864" s="4">
        <v>1</v>
      </c>
      <c r="G864" s="4">
        <v>1</v>
      </c>
    </row>
    <row r="865" spans="1:7" ht="25.5">
      <c r="A865" s="9">
        <v>864</v>
      </c>
      <c r="B865" s="10" t="s">
        <v>759</v>
      </c>
      <c r="C865" s="11" t="s">
        <v>2599</v>
      </c>
      <c r="D865" s="10" t="s">
        <v>2600</v>
      </c>
      <c r="E865" s="10" t="s">
        <v>2601</v>
      </c>
      <c r="F865" s="9">
        <v>1</v>
      </c>
      <c r="G865" s="9">
        <v>1</v>
      </c>
    </row>
    <row r="866" spans="1:7" ht="25.5">
      <c r="A866" s="4">
        <v>865</v>
      </c>
      <c r="B866" s="5" t="s">
        <v>759</v>
      </c>
      <c r="C866" s="6" t="s">
        <v>2602</v>
      </c>
      <c r="D866" s="5" t="s">
        <v>2603</v>
      </c>
      <c r="E866" s="5" t="s">
        <v>2604</v>
      </c>
      <c r="F866" s="4">
        <v>1</v>
      </c>
      <c r="G866" s="4">
        <v>1</v>
      </c>
    </row>
    <row r="867" spans="1:7" ht="25.5">
      <c r="A867" s="9">
        <v>866</v>
      </c>
      <c r="B867" s="10" t="s">
        <v>759</v>
      </c>
      <c r="C867" s="11" t="s">
        <v>2605</v>
      </c>
      <c r="D867" s="10" t="s">
        <v>2606</v>
      </c>
      <c r="E867" s="10" t="s">
        <v>2607</v>
      </c>
      <c r="F867" s="9">
        <v>1</v>
      </c>
      <c r="G867" s="9">
        <v>1</v>
      </c>
    </row>
    <row r="868" spans="1:7" ht="25.5">
      <c r="A868" s="4">
        <v>867</v>
      </c>
      <c r="B868" s="5" t="s">
        <v>759</v>
      </c>
      <c r="C868" s="6" t="s">
        <v>2608</v>
      </c>
      <c r="D868" s="5" t="s">
        <v>2609</v>
      </c>
      <c r="E868" s="5" t="s">
        <v>2610</v>
      </c>
      <c r="F868" s="4">
        <v>1</v>
      </c>
      <c r="G868" s="4">
        <v>1</v>
      </c>
    </row>
    <row r="869" spans="1:7" ht="25.5">
      <c r="A869" s="9">
        <v>868</v>
      </c>
      <c r="B869" s="10" t="s">
        <v>759</v>
      </c>
      <c r="C869" s="11" t="s">
        <v>2611</v>
      </c>
      <c r="D869" s="10" t="s">
        <v>2612</v>
      </c>
      <c r="E869" s="10" t="s">
        <v>2613</v>
      </c>
      <c r="F869" s="9">
        <v>1</v>
      </c>
      <c r="G869" s="9">
        <v>1</v>
      </c>
    </row>
    <row r="870" spans="1:7" ht="25.5">
      <c r="A870" s="4">
        <v>869</v>
      </c>
      <c r="B870" s="5" t="s">
        <v>759</v>
      </c>
      <c r="C870" s="6" t="s">
        <v>2614</v>
      </c>
      <c r="D870" s="5" t="s">
        <v>2615</v>
      </c>
      <c r="E870" s="5" t="s">
        <v>2616</v>
      </c>
      <c r="F870" s="4">
        <v>1</v>
      </c>
      <c r="G870" s="4">
        <v>1</v>
      </c>
    </row>
    <row r="871" spans="1:7" ht="25.5">
      <c r="A871" s="9">
        <v>870</v>
      </c>
      <c r="B871" s="10" t="s">
        <v>759</v>
      </c>
      <c r="C871" s="11" t="s">
        <v>2617</v>
      </c>
      <c r="D871" s="10" t="s">
        <v>2618</v>
      </c>
      <c r="E871" s="10" t="s">
        <v>2619</v>
      </c>
      <c r="F871" s="9">
        <v>1</v>
      </c>
      <c r="G871" s="9">
        <v>1</v>
      </c>
    </row>
    <row r="872" spans="1:7" ht="25.5">
      <c r="A872" s="4">
        <v>871</v>
      </c>
      <c r="B872" s="5" t="s">
        <v>759</v>
      </c>
      <c r="C872" s="6" t="s">
        <v>2620</v>
      </c>
      <c r="D872" s="5" t="s">
        <v>2621</v>
      </c>
      <c r="E872" s="5" t="s">
        <v>2622</v>
      </c>
      <c r="F872" s="4">
        <v>1</v>
      </c>
      <c r="G872" s="4">
        <v>1</v>
      </c>
    </row>
    <row r="873" spans="1:7" ht="25.5">
      <c r="A873" s="9">
        <v>872</v>
      </c>
      <c r="B873" s="10" t="s">
        <v>759</v>
      </c>
      <c r="C873" s="11" t="s">
        <v>2623</v>
      </c>
      <c r="D873" s="10" t="s">
        <v>2624</v>
      </c>
      <c r="E873" s="10" t="s">
        <v>2625</v>
      </c>
      <c r="F873" s="9">
        <v>1</v>
      </c>
      <c r="G873" s="9">
        <v>1</v>
      </c>
    </row>
    <row r="874" spans="1:7" ht="25.5">
      <c r="A874" s="4">
        <v>873</v>
      </c>
      <c r="B874" s="5" t="s">
        <v>759</v>
      </c>
      <c r="C874" s="6" t="s">
        <v>2626</v>
      </c>
      <c r="D874" s="5" t="s">
        <v>2627</v>
      </c>
      <c r="E874" s="5" t="s">
        <v>2628</v>
      </c>
      <c r="F874" s="4">
        <v>1</v>
      </c>
      <c r="G874" s="4">
        <v>1</v>
      </c>
    </row>
    <row r="875" spans="1:7" ht="25.5">
      <c r="A875" s="9">
        <v>874</v>
      </c>
      <c r="B875" s="10" t="s">
        <v>759</v>
      </c>
      <c r="C875" s="11" t="s">
        <v>2629</v>
      </c>
      <c r="D875" s="10" t="s">
        <v>2630</v>
      </c>
      <c r="E875" s="10" t="s">
        <v>2631</v>
      </c>
      <c r="F875" s="9">
        <v>1</v>
      </c>
      <c r="G875" s="9">
        <v>1</v>
      </c>
    </row>
    <row r="876" spans="1:7" ht="25.5">
      <c r="A876" s="4">
        <v>875</v>
      </c>
      <c r="B876" s="5" t="s">
        <v>759</v>
      </c>
      <c r="C876" s="6" t="s">
        <v>2632</v>
      </c>
      <c r="D876" s="5" t="s">
        <v>2633</v>
      </c>
      <c r="E876" s="5" t="s">
        <v>2634</v>
      </c>
      <c r="F876" s="4">
        <v>1</v>
      </c>
      <c r="G876" s="4">
        <v>1</v>
      </c>
    </row>
    <row r="877" spans="1:7" ht="25.5">
      <c r="A877" s="9">
        <v>876</v>
      </c>
      <c r="B877" s="10" t="s">
        <v>759</v>
      </c>
      <c r="C877" s="11" t="s">
        <v>2635</v>
      </c>
      <c r="D877" s="10" t="s">
        <v>2636</v>
      </c>
      <c r="E877" s="10" t="s">
        <v>2637</v>
      </c>
      <c r="F877" s="9">
        <v>1</v>
      </c>
      <c r="G877" s="9">
        <v>1</v>
      </c>
    </row>
    <row r="878" spans="1:7" ht="25.5">
      <c r="A878" s="4">
        <v>877</v>
      </c>
      <c r="B878" s="5" t="s">
        <v>759</v>
      </c>
      <c r="C878" s="6" t="s">
        <v>2638</v>
      </c>
      <c r="D878" s="5" t="s">
        <v>2639</v>
      </c>
      <c r="E878" s="5" t="s">
        <v>2640</v>
      </c>
      <c r="F878" s="4">
        <v>1</v>
      </c>
      <c r="G878" s="4">
        <v>1</v>
      </c>
    </row>
    <row r="879" spans="1:7" ht="25.5">
      <c r="A879" s="9">
        <v>878</v>
      </c>
      <c r="B879" s="10" t="s">
        <v>759</v>
      </c>
      <c r="C879" s="11" t="s">
        <v>2641</v>
      </c>
      <c r="D879" s="10" t="s">
        <v>2642</v>
      </c>
      <c r="E879" s="10" t="s">
        <v>2643</v>
      </c>
      <c r="F879" s="9">
        <v>1</v>
      </c>
      <c r="G879" s="9">
        <v>1</v>
      </c>
    </row>
    <row r="880" spans="1:7" ht="25.5">
      <c r="A880" s="4">
        <v>879</v>
      </c>
      <c r="B880" s="5" t="s">
        <v>759</v>
      </c>
      <c r="C880" s="6" t="s">
        <v>2644</v>
      </c>
      <c r="D880" s="5" t="s">
        <v>2645</v>
      </c>
      <c r="E880" s="5" t="s">
        <v>2646</v>
      </c>
      <c r="F880" s="4">
        <v>1</v>
      </c>
      <c r="G880" s="4">
        <v>1</v>
      </c>
    </row>
    <row r="881" spans="1:7" ht="25.5">
      <c r="A881" s="9">
        <v>880</v>
      </c>
      <c r="B881" s="10" t="s">
        <v>759</v>
      </c>
      <c r="C881" s="11" t="s">
        <v>2647</v>
      </c>
      <c r="D881" s="10" t="s">
        <v>2648</v>
      </c>
      <c r="E881" s="10" t="s">
        <v>2649</v>
      </c>
      <c r="F881" s="9">
        <v>1</v>
      </c>
      <c r="G881" s="9">
        <v>1</v>
      </c>
    </row>
    <row r="882" spans="1:7" ht="25.5">
      <c r="A882" s="4">
        <v>881</v>
      </c>
      <c r="B882" s="5" t="s">
        <v>759</v>
      </c>
      <c r="C882" s="6" t="s">
        <v>2650</v>
      </c>
      <c r="D882" s="5" t="s">
        <v>2651</v>
      </c>
      <c r="E882" s="5" t="s">
        <v>2652</v>
      </c>
      <c r="F882" s="4">
        <v>1</v>
      </c>
      <c r="G882" s="4">
        <v>1</v>
      </c>
    </row>
    <row r="883" spans="1:7" ht="25.5">
      <c r="A883" s="9">
        <v>882</v>
      </c>
      <c r="B883" s="10" t="s">
        <v>759</v>
      </c>
      <c r="C883" s="11" t="s">
        <v>2653</v>
      </c>
      <c r="D883" s="10" t="s">
        <v>2654</v>
      </c>
      <c r="E883" s="10" t="s">
        <v>2655</v>
      </c>
      <c r="F883" s="9">
        <v>1</v>
      </c>
      <c r="G883" s="9">
        <v>1</v>
      </c>
    </row>
    <row r="884" spans="1:7" ht="25.5">
      <c r="A884" s="4">
        <v>883</v>
      </c>
      <c r="B884" s="5" t="s">
        <v>759</v>
      </c>
      <c r="C884" s="6" t="s">
        <v>2656</v>
      </c>
      <c r="D884" s="5" t="s">
        <v>2657</v>
      </c>
      <c r="E884" s="5" t="s">
        <v>2658</v>
      </c>
      <c r="F884" s="4">
        <v>1</v>
      </c>
      <c r="G884" s="4">
        <v>1</v>
      </c>
    </row>
    <row r="885" spans="1:7" ht="25.5">
      <c r="A885" s="9">
        <v>884</v>
      </c>
      <c r="B885" s="10" t="s">
        <v>759</v>
      </c>
      <c r="C885" s="11" t="s">
        <v>2659</v>
      </c>
      <c r="D885" s="10" t="s">
        <v>2660</v>
      </c>
      <c r="E885" s="10" t="s">
        <v>2661</v>
      </c>
      <c r="F885" s="9">
        <v>1</v>
      </c>
      <c r="G885" s="9">
        <v>1</v>
      </c>
    </row>
    <row r="886" spans="1:7" ht="25.5">
      <c r="A886" s="4">
        <v>885</v>
      </c>
      <c r="B886" s="5" t="s">
        <v>759</v>
      </c>
      <c r="C886" s="6" t="s">
        <v>2662</v>
      </c>
      <c r="D886" s="5" t="s">
        <v>2663</v>
      </c>
      <c r="E886" s="5" t="s">
        <v>2664</v>
      </c>
      <c r="F886" s="4">
        <v>1</v>
      </c>
      <c r="G886" s="4">
        <v>1</v>
      </c>
    </row>
    <row r="887" spans="1:7" ht="25.5">
      <c r="A887" s="9">
        <v>886</v>
      </c>
      <c r="B887" s="10" t="s">
        <v>759</v>
      </c>
      <c r="C887" s="11" t="s">
        <v>2665</v>
      </c>
      <c r="D887" s="10" t="s">
        <v>2666</v>
      </c>
      <c r="E887" s="10" t="s">
        <v>2667</v>
      </c>
      <c r="F887" s="9">
        <v>1</v>
      </c>
      <c r="G887" s="9">
        <v>1</v>
      </c>
    </row>
    <row r="888" spans="1:7" ht="25.5">
      <c r="A888" s="4">
        <v>887</v>
      </c>
      <c r="B888" s="5" t="s">
        <v>759</v>
      </c>
      <c r="C888" s="6" t="s">
        <v>2668</v>
      </c>
      <c r="D888" s="5" t="s">
        <v>2669</v>
      </c>
      <c r="E888" s="5" t="s">
        <v>2670</v>
      </c>
      <c r="F888" s="4">
        <v>1</v>
      </c>
      <c r="G888" s="4">
        <v>1</v>
      </c>
    </row>
    <row r="889" spans="1:7" ht="25.5">
      <c r="A889" s="9">
        <v>888</v>
      </c>
      <c r="B889" s="10" t="s">
        <v>759</v>
      </c>
      <c r="C889" s="11" t="s">
        <v>2671</v>
      </c>
      <c r="D889" s="10" t="s">
        <v>2672</v>
      </c>
      <c r="E889" s="10" t="s">
        <v>2673</v>
      </c>
      <c r="F889" s="9">
        <v>1</v>
      </c>
      <c r="G889" s="9">
        <v>1</v>
      </c>
    </row>
    <row r="890" spans="1:7" ht="25.5">
      <c r="A890" s="4">
        <v>889</v>
      </c>
      <c r="B890" s="5" t="s">
        <v>759</v>
      </c>
      <c r="C890" s="6" t="s">
        <v>2674</v>
      </c>
      <c r="D890" s="5" t="s">
        <v>2675</v>
      </c>
      <c r="E890" s="5" t="s">
        <v>2676</v>
      </c>
      <c r="F890" s="4">
        <v>1</v>
      </c>
      <c r="G890" s="4">
        <v>1</v>
      </c>
    </row>
    <row r="891" spans="1:7" ht="25.5">
      <c r="A891" s="9">
        <v>890</v>
      </c>
      <c r="B891" s="10" t="s">
        <v>759</v>
      </c>
      <c r="C891" s="11" t="s">
        <v>2677</v>
      </c>
      <c r="D891" s="10" t="s">
        <v>2678</v>
      </c>
      <c r="E891" s="10" t="s">
        <v>2679</v>
      </c>
      <c r="F891" s="9">
        <v>1</v>
      </c>
      <c r="G891" s="9">
        <v>1</v>
      </c>
    </row>
    <row r="892" spans="1:7" ht="25.5">
      <c r="A892" s="4">
        <v>891</v>
      </c>
      <c r="B892" s="5" t="s">
        <v>759</v>
      </c>
      <c r="C892" s="6" t="s">
        <v>2680</v>
      </c>
      <c r="D892" s="5" t="s">
        <v>2681</v>
      </c>
      <c r="E892" s="5" t="s">
        <v>2682</v>
      </c>
      <c r="F892" s="4">
        <v>1</v>
      </c>
      <c r="G892" s="4">
        <v>1</v>
      </c>
    </row>
    <row r="893" spans="1:7" ht="25.5">
      <c r="A893" s="9">
        <v>892</v>
      </c>
      <c r="B893" s="10" t="s">
        <v>759</v>
      </c>
      <c r="C893" s="11" t="s">
        <v>2683</v>
      </c>
      <c r="D893" s="10" t="s">
        <v>2684</v>
      </c>
      <c r="E893" s="10" t="s">
        <v>2685</v>
      </c>
      <c r="F893" s="9">
        <v>1</v>
      </c>
      <c r="G893" s="9">
        <v>1</v>
      </c>
    </row>
    <row r="894" spans="1:7" ht="25.5">
      <c r="A894" s="4">
        <v>893</v>
      </c>
      <c r="B894" s="5" t="s">
        <v>759</v>
      </c>
      <c r="C894" s="6" t="s">
        <v>2686</v>
      </c>
      <c r="D894" s="5" t="s">
        <v>2687</v>
      </c>
      <c r="E894" s="5" t="s">
        <v>2688</v>
      </c>
      <c r="F894" s="4">
        <v>1</v>
      </c>
      <c r="G894" s="4">
        <v>1</v>
      </c>
    </row>
    <row r="895" spans="1:7" ht="25.5">
      <c r="A895" s="9">
        <v>894</v>
      </c>
      <c r="B895" s="10" t="s">
        <v>759</v>
      </c>
      <c r="C895" s="11" t="s">
        <v>2689</v>
      </c>
      <c r="D895" s="10" t="s">
        <v>2690</v>
      </c>
      <c r="E895" s="10" t="s">
        <v>2691</v>
      </c>
      <c r="F895" s="9">
        <v>1</v>
      </c>
      <c r="G895" s="9">
        <v>1</v>
      </c>
    </row>
    <row r="896" spans="1:7" ht="25.5">
      <c r="A896" s="4">
        <v>895</v>
      </c>
      <c r="B896" s="5" t="s">
        <v>759</v>
      </c>
      <c r="C896" s="6" t="s">
        <v>2692</v>
      </c>
      <c r="D896" s="5" t="s">
        <v>2693</v>
      </c>
      <c r="E896" s="5" t="s">
        <v>2694</v>
      </c>
      <c r="F896" s="4">
        <v>1</v>
      </c>
      <c r="G896" s="4">
        <v>1</v>
      </c>
    </row>
    <row r="897" spans="1:7" ht="25.5">
      <c r="A897" s="9">
        <v>896</v>
      </c>
      <c r="B897" s="10" t="s">
        <v>759</v>
      </c>
      <c r="C897" s="11" t="s">
        <v>2695</v>
      </c>
      <c r="D897" s="10" t="s">
        <v>2696</v>
      </c>
      <c r="E897" s="10" t="s">
        <v>2082</v>
      </c>
      <c r="F897" s="9">
        <v>1</v>
      </c>
      <c r="G897" s="9">
        <v>1</v>
      </c>
    </row>
    <row r="898" spans="1:7" ht="25.5">
      <c r="A898" s="4">
        <v>897</v>
      </c>
      <c r="B898" s="5" t="s">
        <v>759</v>
      </c>
      <c r="C898" s="6" t="s">
        <v>2697</v>
      </c>
      <c r="D898" s="5" t="s">
        <v>2698</v>
      </c>
      <c r="E898" s="5" t="s">
        <v>2699</v>
      </c>
      <c r="F898" s="4">
        <v>1</v>
      </c>
      <c r="G898" s="4">
        <v>1</v>
      </c>
    </row>
    <row r="899" spans="1:7" ht="25.5">
      <c r="A899" s="9">
        <v>898</v>
      </c>
      <c r="B899" s="10" t="s">
        <v>759</v>
      </c>
      <c r="C899" s="11" t="s">
        <v>2700</v>
      </c>
      <c r="D899" s="10" t="s">
        <v>2701</v>
      </c>
      <c r="E899" s="10" t="s">
        <v>2702</v>
      </c>
      <c r="F899" s="9">
        <v>1</v>
      </c>
      <c r="G899" s="9">
        <v>1</v>
      </c>
    </row>
    <row r="900" spans="1:7" ht="25.5">
      <c r="A900" s="4">
        <v>899</v>
      </c>
      <c r="B900" s="5" t="s">
        <v>759</v>
      </c>
      <c r="C900" s="6" t="s">
        <v>2703</v>
      </c>
      <c r="D900" s="5" t="s">
        <v>2704</v>
      </c>
      <c r="E900" s="5" t="s">
        <v>2705</v>
      </c>
      <c r="F900" s="4">
        <v>1</v>
      </c>
      <c r="G900" s="4">
        <v>1</v>
      </c>
    </row>
    <row r="901" spans="1:7" ht="25.5">
      <c r="A901" s="9">
        <v>900</v>
      </c>
      <c r="B901" s="10" t="s">
        <v>759</v>
      </c>
      <c r="C901" s="11" t="s">
        <v>2706</v>
      </c>
      <c r="D901" s="10" t="s">
        <v>2707</v>
      </c>
      <c r="E901" s="10" t="s">
        <v>2708</v>
      </c>
      <c r="F901" s="9">
        <v>1</v>
      </c>
      <c r="G901" s="9">
        <v>1</v>
      </c>
    </row>
    <row r="902" spans="1:7" ht="25.5">
      <c r="A902" s="4">
        <v>901</v>
      </c>
      <c r="B902" s="5" t="s">
        <v>759</v>
      </c>
      <c r="C902" s="6" t="s">
        <v>2709</v>
      </c>
      <c r="D902" s="5" t="s">
        <v>2710</v>
      </c>
      <c r="E902" s="5" t="s">
        <v>2711</v>
      </c>
      <c r="F902" s="4">
        <v>1</v>
      </c>
      <c r="G902" s="4">
        <v>1</v>
      </c>
    </row>
    <row r="903" spans="1:7" ht="25.5">
      <c r="A903" s="9">
        <v>902</v>
      </c>
      <c r="B903" s="10" t="s">
        <v>759</v>
      </c>
      <c r="C903" s="11" t="s">
        <v>2712</v>
      </c>
      <c r="D903" s="10" t="s">
        <v>2713</v>
      </c>
      <c r="E903" s="10" t="s">
        <v>2714</v>
      </c>
      <c r="F903" s="9">
        <v>1</v>
      </c>
      <c r="G903" s="9">
        <v>1</v>
      </c>
    </row>
    <row r="904" spans="1:7" ht="25.5">
      <c r="A904" s="4">
        <v>903</v>
      </c>
      <c r="B904" s="5" t="s">
        <v>759</v>
      </c>
      <c r="C904" s="6" t="s">
        <v>2715</v>
      </c>
      <c r="D904" s="5" t="s">
        <v>2716</v>
      </c>
      <c r="E904" s="5" t="s">
        <v>2717</v>
      </c>
      <c r="F904" s="4">
        <v>1</v>
      </c>
      <c r="G904" s="4">
        <v>1</v>
      </c>
    </row>
    <row r="905" spans="1:7" ht="25.5">
      <c r="A905" s="9">
        <v>904</v>
      </c>
      <c r="B905" s="10" t="s">
        <v>759</v>
      </c>
      <c r="C905" s="11" t="s">
        <v>2718</v>
      </c>
      <c r="D905" s="10" t="s">
        <v>2719</v>
      </c>
      <c r="E905" s="10" t="s">
        <v>2720</v>
      </c>
      <c r="F905" s="9">
        <v>1</v>
      </c>
      <c r="G905" s="9">
        <v>1</v>
      </c>
    </row>
    <row r="906" spans="1:7" ht="25.5">
      <c r="A906" s="4">
        <v>905</v>
      </c>
      <c r="B906" s="5" t="s">
        <v>759</v>
      </c>
      <c r="C906" s="6" t="s">
        <v>2721</v>
      </c>
      <c r="D906" s="5" t="s">
        <v>2722</v>
      </c>
      <c r="E906" s="5" t="s">
        <v>2723</v>
      </c>
      <c r="F906" s="4">
        <v>1</v>
      </c>
      <c r="G906" s="4">
        <v>1</v>
      </c>
    </row>
    <row r="907" spans="1:7" ht="25.5">
      <c r="A907" s="9">
        <v>906</v>
      </c>
      <c r="B907" s="10" t="s">
        <v>759</v>
      </c>
      <c r="C907" s="11" t="s">
        <v>2724</v>
      </c>
      <c r="D907" s="10" t="s">
        <v>2725</v>
      </c>
      <c r="E907" s="10" t="s">
        <v>2726</v>
      </c>
      <c r="F907" s="9">
        <v>1</v>
      </c>
      <c r="G907" s="9">
        <v>1</v>
      </c>
    </row>
    <row r="908" spans="1:7" ht="25.5">
      <c r="A908" s="4">
        <v>907</v>
      </c>
      <c r="B908" s="5" t="s">
        <v>759</v>
      </c>
      <c r="C908" s="6" t="s">
        <v>2727</v>
      </c>
      <c r="D908" s="5" t="s">
        <v>2728</v>
      </c>
      <c r="E908" s="5" t="s">
        <v>2729</v>
      </c>
      <c r="F908" s="4">
        <v>1</v>
      </c>
      <c r="G908" s="4">
        <v>1</v>
      </c>
    </row>
    <row r="909" spans="1:7" ht="25.5">
      <c r="A909" s="9">
        <v>908</v>
      </c>
      <c r="B909" s="10" t="s">
        <v>759</v>
      </c>
      <c r="C909" s="11" t="s">
        <v>2730</v>
      </c>
      <c r="D909" s="10" t="s">
        <v>2731</v>
      </c>
      <c r="E909" s="10" t="s">
        <v>2732</v>
      </c>
      <c r="F909" s="9">
        <v>1</v>
      </c>
      <c r="G909" s="9">
        <v>1</v>
      </c>
    </row>
    <row r="910" spans="1:7" ht="25.5">
      <c r="A910" s="4">
        <v>909</v>
      </c>
      <c r="B910" s="5" t="s">
        <v>759</v>
      </c>
      <c r="C910" s="6" t="s">
        <v>2733</v>
      </c>
      <c r="D910" s="5" t="s">
        <v>2734</v>
      </c>
      <c r="E910" s="5" t="s">
        <v>2735</v>
      </c>
      <c r="F910" s="4">
        <v>1</v>
      </c>
      <c r="G910" s="4">
        <v>1</v>
      </c>
    </row>
    <row r="911" spans="1:7" ht="25.5">
      <c r="A911" s="9">
        <v>910</v>
      </c>
      <c r="B911" s="10" t="s">
        <v>759</v>
      </c>
      <c r="C911" s="11" t="s">
        <v>2736</v>
      </c>
      <c r="D911" s="10" t="s">
        <v>2737</v>
      </c>
      <c r="E911" s="10" t="s">
        <v>2738</v>
      </c>
      <c r="F911" s="9">
        <v>1</v>
      </c>
      <c r="G911" s="9">
        <v>1</v>
      </c>
    </row>
    <row r="912" spans="1:7" ht="25.5">
      <c r="A912" s="4">
        <v>911</v>
      </c>
      <c r="B912" s="5" t="s">
        <v>759</v>
      </c>
      <c r="C912" s="6" t="s">
        <v>2739</v>
      </c>
      <c r="D912" s="5" t="s">
        <v>2740</v>
      </c>
      <c r="E912" s="5" t="s">
        <v>2741</v>
      </c>
      <c r="F912" s="4">
        <v>1</v>
      </c>
      <c r="G912" s="4">
        <v>1</v>
      </c>
    </row>
    <row r="913" spans="1:7" ht="25.5">
      <c r="A913" s="9">
        <v>912</v>
      </c>
      <c r="B913" s="10" t="s">
        <v>759</v>
      </c>
      <c r="C913" s="11" t="s">
        <v>2742</v>
      </c>
      <c r="D913" s="10" t="s">
        <v>2743</v>
      </c>
      <c r="E913" s="10" t="s">
        <v>2744</v>
      </c>
      <c r="F913" s="9">
        <v>1</v>
      </c>
      <c r="G913" s="9">
        <v>1</v>
      </c>
    </row>
    <row r="914" spans="1:7" ht="25.5">
      <c r="A914" s="4">
        <v>913</v>
      </c>
      <c r="B914" s="5" t="s">
        <v>759</v>
      </c>
      <c r="C914" s="6" t="s">
        <v>2745</v>
      </c>
      <c r="D914" s="5" t="s">
        <v>2746</v>
      </c>
      <c r="E914" s="5" t="s">
        <v>2747</v>
      </c>
      <c r="F914" s="4">
        <v>1</v>
      </c>
      <c r="G914" s="4">
        <v>1</v>
      </c>
    </row>
    <row r="915" spans="1:7" ht="25.5">
      <c r="A915" s="9">
        <v>914</v>
      </c>
      <c r="B915" s="10" t="s">
        <v>759</v>
      </c>
      <c r="C915" s="11" t="s">
        <v>2748</v>
      </c>
      <c r="D915" s="10" t="s">
        <v>2749</v>
      </c>
      <c r="E915" s="10" t="s">
        <v>2750</v>
      </c>
      <c r="F915" s="9">
        <v>1</v>
      </c>
      <c r="G915" s="9">
        <v>1</v>
      </c>
    </row>
    <row r="916" spans="1:7" ht="25.5">
      <c r="A916" s="4">
        <v>915</v>
      </c>
      <c r="B916" s="5" t="s">
        <v>759</v>
      </c>
      <c r="C916" s="6" t="s">
        <v>2751</v>
      </c>
      <c r="D916" s="5" t="s">
        <v>2752</v>
      </c>
      <c r="E916" s="5" t="s">
        <v>2753</v>
      </c>
      <c r="F916" s="4">
        <v>1</v>
      </c>
      <c r="G916" s="4">
        <v>1</v>
      </c>
    </row>
    <row r="917" spans="1:7" ht="25.5">
      <c r="A917" s="9">
        <v>916</v>
      </c>
      <c r="B917" s="10" t="s">
        <v>759</v>
      </c>
      <c r="C917" s="11" t="s">
        <v>2754</v>
      </c>
      <c r="D917" s="10" t="s">
        <v>2755</v>
      </c>
      <c r="E917" s="10" t="s">
        <v>2756</v>
      </c>
      <c r="F917" s="9">
        <v>1</v>
      </c>
      <c r="G917" s="9">
        <v>1</v>
      </c>
    </row>
    <row r="918" spans="1:7" ht="25.5">
      <c r="A918" s="4">
        <v>917</v>
      </c>
      <c r="B918" s="5" t="s">
        <v>759</v>
      </c>
      <c r="C918" s="6" t="s">
        <v>2757</v>
      </c>
      <c r="D918" s="5" t="s">
        <v>2758</v>
      </c>
      <c r="E918" s="5" t="s">
        <v>2759</v>
      </c>
      <c r="F918" s="4">
        <v>1</v>
      </c>
      <c r="G918" s="4">
        <v>1</v>
      </c>
    </row>
    <row r="919" spans="1:7" ht="25.5">
      <c r="A919" s="9">
        <v>918</v>
      </c>
      <c r="B919" s="10" t="s">
        <v>759</v>
      </c>
      <c r="C919" s="11" t="s">
        <v>2760</v>
      </c>
      <c r="D919" s="10" t="s">
        <v>2761</v>
      </c>
      <c r="E919" s="10" t="s">
        <v>2762</v>
      </c>
      <c r="F919" s="9">
        <v>1</v>
      </c>
      <c r="G919" s="9">
        <v>1</v>
      </c>
    </row>
    <row r="920" spans="1:7" ht="25.5">
      <c r="A920" s="4">
        <v>919</v>
      </c>
      <c r="B920" s="5" t="s">
        <v>759</v>
      </c>
      <c r="C920" s="6" t="s">
        <v>2763</v>
      </c>
      <c r="D920" s="5" t="s">
        <v>2764</v>
      </c>
      <c r="E920" s="5" t="s">
        <v>2765</v>
      </c>
      <c r="F920" s="4">
        <v>1</v>
      </c>
      <c r="G920" s="4">
        <v>1</v>
      </c>
    </row>
    <row r="921" spans="1:7" ht="25.5">
      <c r="A921" s="9">
        <v>920</v>
      </c>
      <c r="B921" s="10" t="s">
        <v>759</v>
      </c>
      <c r="C921" s="11" t="s">
        <v>2766</v>
      </c>
      <c r="D921" s="10" t="s">
        <v>2767</v>
      </c>
      <c r="E921" s="10" t="s">
        <v>2768</v>
      </c>
      <c r="F921" s="9">
        <v>1</v>
      </c>
      <c r="G921" s="9">
        <v>1</v>
      </c>
    </row>
    <row r="922" spans="1:7" ht="25.5">
      <c r="A922" s="4">
        <v>921</v>
      </c>
      <c r="B922" s="5" t="s">
        <v>759</v>
      </c>
      <c r="C922" s="6" t="s">
        <v>2769</v>
      </c>
      <c r="D922" s="5" t="s">
        <v>2770</v>
      </c>
      <c r="E922" s="5" t="s">
        <v>2771</v>
      </c>
      <c r="F922" s="4">
        <v>1</v>
      </c>
      <c r="G922" s="4">
        <v>1</v>
      </c>
    </row>
    <row r="923" spans="1:7" ht="25.5">
      <c r="A923" s="9">
        <v>922</v>
      </c>
      <c r="B923" s="10" t="s">
        <v>759</v>
      </c>
      <c r="C923" s="11" t="s">
        <v>2772</v>
      </c>
      <c r="D923" s="10" t="s">
        <v>2773</v>
      </c>
      <c r="E923" s="10" t="s">
        <v>2774</v>
      </c>
      <c r="F923" s="9">
        <v>1</v>
      </c>
      <c r="G923" s="9">
        <v>1</v>
      </c>
    </row>
    <row r="924" spans="1:7" ht="25.5">
      <c r="A924" s="4">
        <v>923</v>
      </c>
      <c r="B924" s="5" t="s">
        <v>759</v>
      </c>
      <c r="C924" s="6" t="s">
        <v>2775</v>
      </c>
      <c r="D924" s="5" t="s">
        <v>2776</v>
      </c>
      <c r="E924" s="5" t="s">
        <v>2777</v>
      </c>
      <c r="F924" s="4">
        <v>1</v>
      </c>
      <c r="G924" s="4">
        <v>1</v>
      </c>
    </row>
    <row r="925" spans="1:7" ht="25.5">
      <c r="A925" s="9">
        <v>924</v>
      </c>
      <c r="B925" s="10" t="s">
        <v>759</v>
      </c>
      <c r="C925" s="11" t="s">
        <v>2778</v>
      </c>
      <c r="D925" s="10" t="s">
        <v>2779</v>
      </c>
      <c r="E925" s="10" t="s">
        <v>2780</v>
      </c>
      <c r="F925" s="9">
        <v>1</v>
      </c>
      <c r="G925" s="9">
        <v>1</v>
      </c>
    </row>
    <row r="926" spans="1:7" ht="25.5">
      <c r="A926" s="4">
        <v>925</v>
      </c>
      <c r="B926" s="5" t="s">
        <v>759</v>
      </c>
      <c r="C926" s="6" t="s">
        <v>2781</v>
      </c>
      <c r="D926" s="5" t="s">
        <v>2782</v>
      </c>
      <c r="E926" s="5" t="s">
        <v>2783</v>
      </c>
      <c r="F926" s="4">
        <v>1</v>
      </c>
      <c r="G926" s="4">
        <v>1</v>
      </c>
    </row>
    <row r="927" spans="1:7" ht="25.5">
      <c r="A927" s="9">
        <v>926</v>
      </c>
      <c r="B927" s="10" t="s">
        <v>759</v>
      </c>
      <c r="C927" s="11" t="s">
        <v>2784</v>
      </c>
      <c r="D927" s="10" t="s">
        <v>2785</v>
      </c>
      <c r="E927" s="10" t="s">
        <v>2786</v>
      </c>
      <c r="F927" s="9">
        <v>1</v>
      </c>
      <c r="G927" s="9">
        <v>1</v>
      </c>
    </row>
    <row r="928" spans="1:7" ht="25.5">
      <c r="A928" s="4">
        <v>927</v>
      </c>
      <c r="B928" s="5" t="s">
        <v>759</v>
      </c>
      <c r="C928" s="6" t="s">
        <v>2787</v>
      </c>
      <c r="D928" s="5" t="s">
        <v>2788</v>
      </c>
      <c r="E928" s="5" t="s">
        <v>2789</v>
      </c>
      <c r="F928" s="4">
        <v>1</v>
      </c>
      <c r="G928" s="4">
        <v>1</v>
      </c>
    </row>
    <row r="929" spans="1:7" ht="25.5">
      <c r="A929" s="9">
        <v>928</v>
      </c>
      <c r="B929" s="10" t="s">
        <v>759</v>
      </c>
      <c r="C929" s="11" t="s">
        <v>2790</v>
      </c>
      <c r="D929" s="10" t="s">
        <v>2791</v>
      </c>
      <c r="E929" s="10" t="s">
        <v>2792</v>
      </c>
      <c r="F929" s="9">
        <v>1</v>
      </c>
      <c r="G929" s="9">
        <v>1</v>
      </c>
    </row>
    <row r="930" spans="1:7" ht="25.5">
      <c r="A930" s="4">
        <v>929</v>
      </c>
      <c r="B930" s="5" t="s">
        <v>759</v>
      </c>
      <c r="C930" s="6" t="s">
        <v>2793</v>
      </c>
      <c r="D930" s="5" t="s">
        <v>2794</v>
      </c>
      <c r="E930" s="5" t="s">
        <v>2795</v>
      </c>
      <c r="F930" s="4">
        <v>1</v>
      </c>
      <c r="G930" s="4">
        <v>1</v>
      </c>
    </row>
    <row r="931" spans="1:7" ht="25.5">
      <c r="A931" s="9">
        <v>930</v>
      </c>
      <c r="B931" s="10" t="s">
        <v>759</v>
      </c>
      <c r="C931" s="11" t="s">
        <v>2796</v>
      </c>
      <c r="D931" s="10" t="s">
        <v>2797</v>
      </c>
      <c r="E931" s="10" t="s">
        <v>2798</v>
      </c>
      <c r="F931" s="9">
        <v>1</v>
      </c>
      <c r="G931" s="9">
        <v>1</v>
      </c>
    </row>
    <row r="932" spans="1:7" ht="25.5">
      <c r="A932" s="4">
        <v>931</v>
      </c>
      <c r="B932" s="5" t="s">
        <v>759</v>
      </c>
      <c r="C932" s="6" t="s">
        <v>2799</v>
      </c>
      <c r="D932" s="5" t="s">
        <v>2800</v>
      </c>
      <c r="E932" s="5" t="s">
        <v>2801</v>
      </c>
      <c r="F932" s="4">
        <v>1</v>
      </c>
      <c r="G932" s="4">
        <v>1</v>
      </c>
    </row>
    <row r="933" spans="1:7" ht="25.5">
      <c r="A933" s="9">
        <v>932</v>
      </c>
      <c r="B933" s="10" t="s">
        <v>759</v>
      </c>
      <c r="C933" s="11" t="s">
        <v>2802</v>
      </c>
      <c r="D933" s="10" t="s">
        <v>2803</v>
      </c>
      <c r="E933" s="10" t="s">
        <v>2804</v>
      </c>
      <c r="F933" s="9">
        <v>1</v>
      </c>
      <c r="G933" s="9">
        <v>1</v>
      </c>
    </row>
    <row r="934" spans="1:7" ht="25.5">
      <c r="A934" s="4">
        <v>933</v>
      </c>
      <c r="B934" s="5" t="s">
        <v>759</v>
      </c>
      <c r="C934" s="6" t="s">
        <v>2805</v>
      </c>
      <c r="D934" s="5" t="s">
        <v>2806</v>
      </c>
      <c r="E934" s="5" t="s">
        <v>2807</v>
      </c>
      <c r="F934" s="4">
        <v>1</v>
      </c>
      <c r="G934" s="4">
        <v>1</v>
      </c>
    </row>
    <row r="935" spans="1:7" ht="25.5">
      <c r="A935" s="9">
        <v>934</v>
      </c>
      <c r="B935" s="10" t="s">
        <v>759</v>
      </c>
      <c r="C935" s="11" t="s">
        <v>2808</v>
      </c>
      <c r="D935" s="10" t="s">
        <v>2809</v>
      </c>
      <c r="E935" s="10" t="s">
        <v>2810</v>
      </c>
      <c r="F935" s="9">
        <v>1</v>
      </c>
      <c r="G935" s="9">
        <v>1</v>
      </c>
    </row>
    <row r="936" spans="1:7" ht="25.5">
      <c r="A936" s="4">
        <v>935</v>
      </c>
      <c r="B936" s="5" t="s">
        <v>759</v>
      </c>
      <c r="C936" s="6" t="s">
        <v>2811</v>
      </c>
      <c r="D936" s="5" t="s">
        <v>2812</v>
      </c>
      <c r="E936" s="5" t="s">
        <v>2813</v>
      </c>
      <c r="F936" s="4">
        <v>1</v>
      </c>
      <c r="G936" s="4">
        <v>1</v>
      </c>
    </row>
    <row r="937" spans="1:7" ht="25.5">
      <c r="A937" s="9">
        <v>936</v>
      </c>
      <c r="B937" s="10" t="s">
        <v>759</v>
      </c>
      <c r="C937" s="11" t="s">
        <v>2814</v>
      </c>
      <c r="D937" s="10" t="s">
        <v>2815</v>
      </c>
      <c r="E937" s="10" t="s">
        <v>2816</v>
      </c>
      <c r="F937" s="9">
        <v>1</v>
      </c>
      <c r="G937" s="9">
        <v>1</v>
      </c>
    </row>
    <row r="938" spans="1:7" ht="25.5">
      <c r="A938" s="4">
        <v>937</v>
      </c>
      <c r="B938" s="5" t="s">
        <v>759</v>
      </c>
      <c r="C938" s="6" t="s">
        <v>2817</v>
      </c>
      <c r="D938" s="5" t="s">
        <v>2818</v>
      </c>
      <c r="E938" s="5" t="s">
        <v>2819</v>
      </c>
      <c r="F938" s="4">
        <v>1</v>
      </c>
      <c r="G938" s="4">
        <v>1</v>
      </c>
    </row>
    <row r="939" spans="1:7" ht="25.5">
      <c r="A939" s="9">
        <v>938</v>
      </c>
      <c r="B939" s="10" t="s">
        <v>759</v>
      </c>
      <c r="C939" s="11" t="s">
        <v>2820</v>
      </c>
      <c r="D939" s="10" t="s">
        <v>2821</v>
      </c>
      <c r="E939" s="10" t="s">
        <v>2822</v>
      </c>
      <c r="F939" s="9">
        <v>1</v>
      </c>
      <c r="G939" s="9">
        <v>1</v>
      </c>
    </row>
    <row r="940" spans="1:7" ht="25.5">
      <c r="A940" s="4">
        <v>939</v>
      </c>
      <c r="B940" s="5" t="s">
        <v>759</v>
      </c>
      <c r="C940" s="6" t="s">
        <v>2823</v>
      </c>
      <c r="D940" s="5" t="s">
        <v>2824</v>
      </c>
      <c r="E940" s="5" t="s">
        <v>2825</v>
      </c>
      <c r="F940" s="4">
        <v>1</v>
      </c>
      <c r="G940" s="4">
        <v>1</v>
      </c>
    </row>
    <row r="941" spans="1:7" ht="25.5">
      <c r="A941" s="9">
        <v>940</v>
      </c>
      <c r="B941" s="10" t="s">
        <v>759</v>
      </c>
      <c r="C941" s="11" t="s">
        <v>2826</v>
      </c>
      <c r="D941" s="10" t="s">
        <v>2827</v>
      </c>
      <c r="E941" s="10" t="s">
        <v>2828</v>
      </c>
      <c r="F941" s="9">
        <v>1</v>
      </c>
      <c r="G941" s="9">
        <v>1</v>
      </c>
    </row>
    <row r="942" spans="1:7" ht="25.5">
      <c r="A942" s="4">
        <v>941</v>
      </c>
      <c r="B942" s="5" t="s">
        <v>759</v>
      </c>
      <c r="C942" s="6" t="s">
        <v>2829</v>
      </c>
      <c r="D942" s="5" t="s">
        <v>2830</v>
      </c>
      <c r="E942" s="5" t="s">
        <v>2831</v>
      </c>
      <c r="F942" s="4">
        <v>1</v>
      </c>
      <c r="G942" s="4">
        <v>1</v>
      </c>
    </row>
    <row r="943" spans="1:7" ht="25.5">
      <c r="A943" s="9">
        <v>942</v>
      </c>
      <c r="B943" s="10" t="s">
        <v>759</v>
      </c>
      <c r="C943" s="11" t="s">
        <v>2832</v>
      </c>
      <c r="D943" s="10" t="s">
        <v>2833</v>
      </c>
      <c r="E943" s="10" t="s">
        <v>2834</v>
      </c>
      <c r="F943" s="9">
        <v>1</v>
      </c>
      <c r="G943" s="9">
        <v>1</v>
      </c>
    </row>
    <row r="944" spans="1:7" ht="25.5">
      <c r="A944" s="4">
        <v>943</v>
      </c>
      <c r="B944" s="5" t="s">
        <v>759</v>
      </c>
      <c r="C944" s="6" t="s">
        <v>2835</v>
      </c>
      <c r="D944" s="5" t="s">
        <v>2836</v>
      </c>
      <c r="E944" s="5" t="s">
        <v>2837</v>
      </c>
      <c r="F944" s="4">
        <v>1</v>
      </c>
      <c r="G944" s="4">
        <v>1</v>
      </c>
    </row>
    <row r="945" spans="1:7" ht="25.5">
      <c r="A945" s="9">
        <v>944</v>
      </c>
      <c r="B945" s="10" t="s">
        <v>759</v>
      </c>
      <c r="C945" s="11" t="s">
        <v>2838</v>
      </c>
      <c r="D945" s="10" t="s">
        <v>2839</v>
      </c>
      <c r="E945" s="10" t="s">
        <v>2840</v>
      </c>
      <c r="F945" s="9">
        <v>1</v>
      </c>
      <c r="G945" s="9">
        <v>1</v>
      </c>
    </row>
    <row r="946" spans="1:7" ht="25.5">
      <c r="A946" s="4">
        <v>945</v>
      </c>
      <c r="B946" s="5" t="s">
        <v>759</v>
      </c>
      <c r="C946" s="6" t="s">
        <v>2841</v>
      </c>
      <c r="D946" s="5" t="s">
        <v>2842</v>
      </c>
      <c r="E946" s="5" t="s">
        <v>2843</v>
      </c>
      <c r="F946" s="4">
        <v>1</v>
      </c>
      <c r="G946" s="4">
        <v>1</v>
      </c>
    </row>
    <row r="947" spans="1:7" ht="25.5">
      <c r="A947" s="9">
        <v>946</v>
      </c>
      <c r="B947" s="10" t="s">
        <v>759</v>
      </c>
      <c r="C947" s="11" t="s">
        <v>2844</v>
      </c>
      <c r="D947" s="10" t="s">
        <v>2845</v>
      </c>
      <c r="E947" s="10" t="s">
        <v>2846</v>
      </c>
      <c r="F947" s="9">
        <v>1</v>
      </c>
      <c r="G947" s="9">
        <v>1</v>
      </c>
    </row>
    <row r="948" spans="1:7" ht="25.5">
      <c r="A948" s="4">
        <v>947</v>
      </c>
      <c r="B948" s="5" t="s">
        <v>759</v>
      </c>
      <c r="C948" s="6" t="s">
        <v>2847</v>
      </c>
      <c r="D948" s="5" t="s">
        <v>2848</v>
      </c>
      <c r="E948" s="5" t="s">
        <v>2849</v>
      </c>
      <c r="F948" s="4">
        <v>1</v>
      </c>
      <c r="G948" s="4">
        <v>1</v>
      </c>
    </row>
    <row r="949" spans="1:7" ht="25.5">
      <c r="A949" s="9">
        <v>948</v>
      </c>
      <c r="B949" s="10" t="s">
        <v>759</v>
      </c>
      <c r="C949" s="11" t="s">
        <v>2850</v>
      </c>
      <c r="D949" s="10" t="s">
        <v>2851</v>
      </c>
      <c r="E949" s="10" t="s">
        <v>2852</v>
      </c>
      <c r="F949" s="9">
        <v>1</v>
      </c>
      <c r="G949" s="9">
        <v>1</v>
      </c>
    </row>
    <row r="950" spans="1:7" ht="25.5">
      <c r="A950" s="4">
        <v>949</v>
      </c>
      <c r="B950" s="5" t="s">
        <v>759</v>
      </c>
      <c r="C950" s="6" t="s">
        <v>2853</v>
      </c>
      <c r="D950" s="5" t="s">
        <v>2854</v>
      </c>
      <c r="E950" s="5" t="s">
        <v>2855</v>
      </c>
      <c r="F950" s="4">
        <v>1</v>
      </c>
      <c r="G950" s="4">
        <v>1</v>
      </c>
    </row>
    <row r="951" spans="1:7" ht="25.5">
      <c r="A951" s="9">
        <v>950</v>
      </c>
      <c r="B951" s="10" t="s">
        <v>759</v>
      </c>
      <c r="C951" s="11" t="s">
        <v>2856</v>
      </c>
      <c r="D951" s="10" t="s">
        <v>2857</v>
      </c>
      <c r="E951" s="10" t="s">
        <v>2858</v>
      </c>
      <c r="F951" s="9">
        <v>1</v>
      </c>
      <c r="G951" s="9">
        <v>1</v>
      </c>
    </row>
    <row r="952" spans="1:7" ht="25.5">
      <c r="A952" s="4">
        <v>951</v>
      </c>
      <c r="B952" s="5" t="s">
        <v>759</v>
      </c>
      <c r="C952" s="6" t="s">
        <v>2859</v>
      </c>
      <c r="D952" s="5" t="s">
        <v>2860</v>
      </c>
      <c r="E952" s="5" t="s">
        <v>2861</v>
      </c>
      <c r="F952" s="4">
        <v>1</v>
      </c>
      <c r="G952" s="4">
        <v>1</v>
      </c>
    </row>
    <row r="953" spans="1:7" ht="25.5">
      <c r="A953" s="9">
        <v>952</v>
      </c>
      <c r="B953" s="10" t="s">
        <v>759</v>
      </c>
      <c r="C953" s="11" t="s">
        <v>2862</v>
      </c>
      <c r="D953" s="10" t="s">
        <v>2863</v>
      </c>
      <c r="E953" s="10" t="s">
        <v>2864</v>
      </c>
      <c r="F953" s="9">
        <v>1</v>
      </c>
      <c r="G953" s="9">
        <v>1</v>
      </c>
    </row>
    <row r="954" spans="1:7" ht="25.5">
      <c r="A954" s="4">
        <v>953</v>
      </c>
      <c r="B954" s="5" t="s">
        <v>759</v>
      </c>
      <c r="C954" s="6" t="s">
        <v>2865</v>
      </c>
      <c r="D954" s="5" t="s">
        <v>2866</v>
      </c>
      <c r="E954" s="5" t="s">
        <v>2867</v>
      </c>
      <c r="F954" s="4">
        <v>1</v>
      </c>
      <c r="G954" s="4">
        <v>1</v>
      </c>
    </row>
    <row r="955" spans="1:7" ht="25.5">
      <c r="A955" s="9">
        <v>954</v>
      </c>
      <c r="B955" s="10" t="s">
        <v>759</v>
      </c>
      <c r="C955" s="11" t="s">
        <v>2868</v>
      </c>
      <c r="D955" s="10" t="s">
        <v>2869</v>
      </c>
      <c r="E955" s="10" t="s">
        <v>2870</v>
      </c>
      <c r="F955" s="9">
        <v>1</v>
      </c>
      <c r="G955" s="9">
        <v>1</v>
      </c>
    </row>
    <row r="956" spans="1:7" ht="25.5">
      <c r="A956" s="4">
        <v>955</v>
      </c>
      <c r="B956" s="5" t="s">
        <v>759</v>
      </c>
      <c r="C956" s="6" t="s">
        <v>2871</v>
      </c>
      <c r="D956" s="5" t="s">
        <v>2872</v>
      </c>
      <c r="E956" s="5" t="s">
        <v>2873</v>
      </c>
      <c r="F956" s="4">
        <v>1</v>
      </c>
      <c r="G956" s="4">
        <v>1</v>
      </c>
    </row>
    <row r="957" spans="1:7" ht="25.5">
      <c r="A957" s="9">
        <v>956</v>
      </c>
      <c r="B957" s="10" t="s">
        <v>759</v>
      </c>
      <c r="C957" s="11" t="s">
        <v>2874</v>
      </c>
      <c r="D957" s="10" t="s">
        <v>2875</v>
      </c>
      <c r="E957" s="10" t="s">
        <v>2876</v>
      </c>
      <c r="F957" s="9">
        <v>1</v>
      </c>
      <c r="G957" s="9">
        <v>1</v>
      </c>
    </row>
    <row r="958" spans="1:7" ht="25.5">
      <c r="A958" s="4">
        <v>957</v>
      </c>
      <c r="B958" s="5" t="s">
        <v>759</v>
      </c>
      <c r="C958" s="6" t="s">
        <v>2877</v>
      </c>
      <c r="D958" s="5" t="s">
        <v>2878</v>
      </c>
      <c r="E958" s="5" t="s">
        <v>2879</v>
      </c>
      <c r="F958" s="4">
        <v>1</v>
      </c>
      <c r="G958" s="4">
        <v>1</v>
      </c>
    </row>
    <row r="959" spans="1:7" ht="25.5">
      <c r="A959" s="9">
        <v>958</v>
      </c>
      <c r="B959" s="10" t="s">
        <v>759</v>
      </c>
      <c r="C959" s="11" t="s">
        <v>2880</v>
      </c>
      <c r="D959" s="10" t="s">
        <v>2881</v>
      </c>
      <c r="E959" s="10" t="s">
        <v>2882</v>
      </c>
      <c r="F959" s="9">
        <v>1</v>
      </c>
      <c r="G959" s="9">
        <v>1</v>
      </c>
    </row>
    <row r="960" spans="1:7" ht="25.5">
      <c r="A960" s="4">
        <v>959</v>
      </c>
      <c r="B960" s="5" t="s">
        <v>759</v>
      </c>
      <c r="C960" s="6" t="s">
        <v>2883</v>
      </c>
      <c r="D960" s="5" t="s">
        <v>2884</v>
      </c>
      <c r="E960" s="5" t="s">
        <v>2885</v>
      </c>
      <c r="F960" s="4">
        <v>1</v>
      </c>
      <c r="G960" s="4">
        <v>1</v>
      </c>
    </row>
    <row r="961" spans="1:7" ht="25.5">
      <c r="A961" s="9">
        <v>960</v>
      </c>
      <c r="B961" s="10" t="s">
        <v>759</v>
      </c>
      <c r="C961" s="11" t="s">
        <v>2886</v>
      </c>
      <c r="D961" s="10" t="s">
        <v>2887</v>
      </c>
      <c r="E961" s="10" t="s">
        <v>2888</v>
      </c>
      <c r="F961" s="9">
        <v>1</v>
      </c>
      <c r="G961" s="9">
        <v>1</v>
      </c>
    </row>
    <row r="962" spans="1:7" ht="25.5">
      <c r="A962" s="4">
        <v>961</v>
      </c>
      <c r="B962" s="5" t="s">
        <v>759</v>
      </c>
      <c r="C962" s="6" t="s">
        <v>2889</v>
      </c>
      <c r="D962" s="5" t="s">
        <v>2890</v>
      </c>
      <c r="E962" s="5" t="s">
        <v>2891</v>
      </c>
      <c r="F962" s="4">
        <v>1</v>
      </c>
      <c r="G962" s="4">
        <v>1</v>
      </c>
    </row>
    <row r="963" spans="1:7" ht="25.5">
      <c r="A963" s="9">
        <v>962</v>
      </c>
      <c r="B963" s="10" t="s">
        <v>759</v>
      </c>
      <c r="C963" s="11" t="s">
        <v>2892</v>
      </c>
      <c r="D963" s="10" t="s">
        <v>2893</v>
      </c>
      <c r="E963" s="10" t="s">
        <v>2894</v>
      </c>
      <c r="F963" s="9">
        <v>1</v>
      </c>
      <c r="G963" s="9">
        <v>1</v>
      </c>
    </row>
    <row r="964" spans="1:7" ht="25.5">
      <c r="A964" s="4">
        <v>963</v>
      </c>
      <c r="B964" s="5" t="s">
        <v>759</v>
      </c>
      <c r="C964" s="6" t="s">
        <v>2895</v>
      </c>
      <c r="D964" s="5" t="s">
        <v>2896</v>
      </c>
      <c r="E964" s="5" t="s">
        <v>2897</v>
      </c>
      <c r="F964" s="4">
        <v>1</v>
      </c>
      <c r="G964" s="4">
        <v>1</v>
      </c>
    </row>
    <row r="965" spans="1:7" ht="25.5">
      <c r="A965" s="9">
        <v>964</v>
      </c>
      <c r="B965" s="10" t="s">
        <v>759</v>
      </c>
      <c r="C965" s="11" t="s">
        <v>2898</v>
      </c>
      <c r="D965" s="10" t="s">
        <v>2899</v>
      </c>
      <c r="E965" s="10" t="s">
        <v>2900</v>
      </c>
      <c r="F965" s="9">
        <v>1</v>
      </c>
      <c r="G965" s="9">
        <v>1</v>
      </c>
    </row>
    <row r="966" spans="1:7" ht="25.5">
      <c r="A966" s="4">
        <v>965</v>
      </c>
      <c r="B966" s="5" t="s">
        <v>759</v>
      </c>
      <c r="C966" s="6" t="s">
        <v>2901</v>
      </c>
      <c r="D966" s="5" t="s">
        <v>2902</v>
      </c>
      <c r="E966" s="5" t="s">
        <v>2903</v>
      </c>
      <c r="F966" s="4">
        <v>1</v>
      </c>
      <c r="G966" s="4">
        <v>1</v>
      </c>
    </row>
    <row r="967" spans="1:7" ht="25.5">
      <c r="A967" s="9">
        <v>966</v>
      </c>
      <c r="B967" s="10" t="s">
        <v>759</v>
      </c>
      <c r="C967" s="11" t="s">
        <v>2904</v>
      </c>
      <c r="D967" s="10" t="s">
        <v>2905</v>
      </c>
      <c r="E967" s="10" t="s">
        <v>2906</v>
      </c>
      <c r="F967" s="9">
        <v>1</v>
      </c>
      <c r="G967" s="9">
        <v>1</v>
      </c>
    </row>
    <row r="968" spans="1:7" ht="38.25">
      <c r="A968" s="4">
        <v>967</v>
      </c>
      <c r="B968" s="5" t="s">
        <v>759</v>
      </c>
      <c r="C968" s="6" t="s">
        <v>2907</v>
      </c>
      <c r="D968" s="5" t="s">
        <v>2908</v>
      </c>
      <c r="E968" s="5" t="s">
        <v>2909</v>
      </c>
      <c r="F968" s="4">
        <v>1</v>
      </c>
      <c r="G968" s="4">
        <v>1</v>
      </c>
    </row>
    <row r="969" spans="1:7" ht="25.5">
      <c r="A969" s="9">
        <v>968</v>
      </c>
      <c r="B969" s="10" t="s">
        <v>759</v>
      </c>
      <c r="C969" s="11" t="s">
        <v>2910</v>
      </c>
      <c r="D969" s="10" t="s">
        <v>2911</v>
      </c>
      <c r="E969" s="10" t="s">
        <v>2912</v>
      </c>
      <c r="F969" s="9">
        <v>1</v>
      </c>
      <c r="G969" s="9">
        <v>1</v>
      </c>
    </row>
    <row r="970" spans="1:7" ht="25.5">
      <c r="A970" s="4">
        <v>969</v>
      </c>
      <c r="B970" s="5" t="s">
        <v>759</v>
      </c>
      <c r="C970" s="6" t="s">
        <v>2913</v>
      </c>
      <c r="D970" s="5" t="s">
        <v>2914</v>
      </c>
      <c r="E970" s="5" t="s">
        <v>2915</v>
      </c>
      <c r="F970" s="4">
        <v>1</v>
      </c>
      <c r="G970" s="4">
        <v>1</v>
      </c>
    </row>
    <row r="971" spans="1:7" ht="25.5">
      <c r="A971" s="9">
        <v>970</v>
      </c>
      <c r="B971" s="10" t="s">
        <v>759</v>
      </c>
      <c r="C971" s="11" t="s">
        <v>2916</v>
      </c>
      <c r="D971" s="10" t="s">
        <v>2917</v>
      </c>
      <c r="E971" s="10" t="s">
        <v>2918</v>
      </c>
      <c r="F971" s="9">
        <v>1</v>
      </c>
      <c r="G971" s="9">
        <v>1</v>
      </c>
    </row>
    <row r="972" spans="1:7" ht="25.5">
      <c r="A972" s="4">
        <v>971</v>
      </c>
      <c r="B972" s="5" t="s">
        <v>759</v>
      </c>
      <c r="C972" s="6" t="s">
        <v>2919</v>
      </c>
      <c r="D972" s="5" t="s">
        <v>2920</v>
      </c>
      <c r="E972" s="5" t="s">
        <v>2921</v>
      </c>
      <c r="F972" s="4">
        <v>1</v>
      </c>
      <c r="G972" s="4">
        <v>1</v>
      </c>
    </row>
    <row r="973" spans="1:7" ht="25.5">
      <c r="A973" s="9">
        <v>972</v>
      </c>
      <c r="B973" s="10" t="s">
        <v>759</v>
      </c>
      <c r="C973" s="11" t="s">
        <v>2922</v>
      </c>
      <c r="D973" s="10" t="s">
        <v>2923</v>
      </c>
      <c r="E973" s="10" t="s">
        <v>2924</v>
      </c>
      <c r="F973" s="9">
        <v>1</v>
      </c>
      <c r="G973" s="9">
        <v>1</v>
      </c>
    </row>
    <row r="974" spans="1:7" ht="25.5">
      <c r="A974" s="4">
        <v>973</v>
      </c>
      <c r="B974" s="5" t="s">
        <v>759</v>
      </c>
      <c r="C974" s="6" t="s">
        <v>2925</v>
      </c>
      <c r="D974" s="5" t="s">
        <v>2926</v>
      </c>
      <c r="E974" s="5" t="s">
        <v>2927</v>
      </c>
      <c r="F974" s="4">
        <v>1</v>
      </c>
      <c r="G974" s="4">
        <v>1</v>
      </c>
    </row>
    <row r="975" spans="1:7" ht="25.5">
      <c r="A975" s="9">
        <v>974</v>
      </c>
      <c r="B975" s="10" t="s">
        <v>759</v>
      </c>
      <c r="C975" s="11" t="s">
        <v>2928</v>
      </c>
      <c r="D975" s="10" t="s">
        <v>2929</v>
      </c>
      <c r="E975" s="10" t="s">
        <v>2930</v>
      </c>
      <c r="F975" s="9">
        <v>1</v>
      </c>
      <c r="G975" s="9">
        <v>1</v>
      </c>
    </row>
    <row r="976" spans="1:7" ht="25.5">
      <c r="A976" s="4">
        <v>975</v>
      </c>
      <c r="B976" s="5" t="s">
        <v>759</v>
      </c>
      <c r="C976" s="6" t="s">
        <v>2931</v>
      </c>
      <c r="D976" s="5" t="s">
        <v>2932</v>
      </c>
      <c r="E976" s="5" t="s">
        <v>2933</v>
      </c>
      <c r="F976" s="4">
        <v>1</v>
      </c>
      <c r="G976" s="4">
        <v>1</v>
      </c>
    </row>
    <row r="977" spans="1:7" ht="25.5">
      <c r="A977" s="9">
        <v>976</v>
      </c>
      <c r="B977" s="10" t="s">
        <v>759</v>
      </c>
      <c r="C977" s="11" t="s">
        <v>2934</v>
      </c>
      <c r="D977" s="10" t="s">
        <v>2935</v>
      </c>
      <c r="E977" s="10" t="s">
        <v>2936</v>
      </c>
      <c r="F977" s="9">
        <v>1</v>
      </c>
      <c r="G977" s="9">
        <v>1</v>
      </c>
    </row>
    <row r="978" spans="1:7" ht="25.5">
      <c r="A978" s="4">
        <v>977</v>
      </c>
      <c r="B978" s="5" t="s">
        <v>759</v>
      </c>
      <c r="C978" s="6" t="s">
        <v>2937</v>
      </c>
      <c r="D978" s="5" t="s">
        <v>2938</v>
      </c>
      <c r="E978" s="5" t="s">
        <v>2939</v>
      </c>
      <c r="F978" s="4">
        <v>1</v>
      </c>
      <c r="G978" s="4">
        <v>1</v>
      </c>
    </row>
    <row r="979" spans="1:7" ht="25.5">
      <c r="A979" s="9">
        <v>978</v>
      </c>
      <c r="B979" s="10" t="s">
        <v>759</v>
      </c>
      <c r="C979" s="11" t="s">
        <v>2940</v>
      </c>
      <c r="D979" s="10" t="s">
        <v>2941</v>
      </c>
      <c r="E979" s="10" t="s">
        <v>2942</v>
      </c>
      <c r="F979" s="9">
        <v>1</v>
      </c>
      <c r="G979" s="9">
        <v>1</v>
      </c>
    </row>
    <row r="980" spans="1:7" ht="25.5">
      <c r="A980" s="4">
        <v>979</v>
      </c>
      <c r="B980" s="5" t="s">
        <v>759</v>
      </c>
      <c r="C980" s="6" t="s">
        <v>2943</v>
      </c>
      <c r="D980" s="5" t="s">
        <v>2944</v>
      </c>
      <c r="E980" s="5" t="s">
        <v>2945</v>
      </c>
      <c r="F980" s="4">
        <v>1</v>
      </c>
      <c r="G980" s="4">
        <v>1</v>
      </c>
    </row>
    <row r="981" spans="1:7" ht="25.5">
      <c r="A981" s="9">
        <v>980</v>
      </c>
      <c r="B981" s="10" t="s">
        <v>759</v>
      </c>
      <c r="C981" s="11" t="s">
        <v>2946</v>
      </c>
      <c r="D981" s="10" t="s">
        <v>2947</v>
      </c>
      <c r="E981" s="10" t="s">
        <v>2948</v>
      </c>
      <c r="F981" s="9">
        <v>1</v>
      </c>
      <c r="G981" s="9">
        <v>1</v>
      </c>
    </row>
    <row r="982" spans="1:7" ht="25.5">
      <c r="A982" s="4">
        <v>981</v>
      </c>
      <c r="B982" s="5" t="s">
        <v>759</v>
      </c>
      <c r="C982" s="6" t="s">
        <v>2949</v>
      </c>
      <c r="D982" s="5" t="s">
        <v>2950</v>
      </c>
      <c r="E982" s="5" t="s">
        <v>2951</v>
      </c>
      <c r="F982" s="4">
        <v>1</v>
      </c>
      <c r="G982" s="4">
        <v>1</v>
      </c>
    </row>
    <row r="983" spans="1:7" ht="25.5">
      <c r="A983" s="9">
        <v>982</v>
      </c>
      <c r="B983" s="10" t="s">
        <v>759</v>
      </c>
      <c r="C983" s="11" t="s">
        <v>2952</v>
      </c>
      <c r="D983" s="10" t="s">
        <v>2953</v>
      </c>
      <c r="E983" s="10" t="s">
        <v>2954</v>
      </c>
      <c r="F983" s="9">
        <v>1</v>
      </c>
      <c r="G983" s="9">
        <v>1</v>
      </c>
    </row>
    <row r="984" spans="1:7" ht="25.5">
      <c r="A984" s="4">
        <v>983</v>
      </c>
      <c r="B984" s="5" t="s">
        <v>759</v>
      </c>
      <c r="C984" s="6" t="s">
        <v>2955</v>
      </c>
      <c r="D984" s="5" t="s">
        <v>2956</v>
      </c>
      <c r="E984" s="5" t="s">
        <v>2957</v>
      </c>
      <c r="F984" s="4">
        <v>1</v>
      </c>
      <c r="G984" s="4">
        <v>1</v>
      </c>
    </row>
    <row r="985" spans="1:7" ht="25.5">
      <c r="A985" s="9">
        <v>984</v>
      </c>
      <c r="B985" s="10" t="s">
        <v>759</v>
      </c>
      <c r="C985" s="11" t="s">
        <v>2958</v>
      </c>
      <c r="D985" s="10" t="s">
        <v>2959</v>
      </c>
      <c r="E985" s="10" t="s">
        <v>2960</v>
      </c>
      <c r="F985" s="9">
        <v>1</v>
      </c>
      <c r="G985" s="9">
        <v>1</v>
      </c>
    </row>
    <row r="986" spans="1:7" ht="25.5">
      <c r="A986" s="4">
        <v>985</v>
      </c>
      <c r="B986" s="5" t="s">
        <v>759</v>
      </c>
      <c r="C986" s="6" t="s">
        <v>2961</v>
      </c>
      <c r="D986" s="5" t="s">
        <v>2962</v>
      </c>
      <c r="E986" s="5" t="s">
        <v>2963</v>
      </c>
      <c r="F986" s="4">
        <v>1</v>
      </c>
      <c r="G986" s="4">
        <v>1</v>
      </c>
    </row>
    <row r="987" spans="1:7" ht="25.5">
      <c r="A987" s="9">
        <v>986</v>
      </c>
      <c r="B987" s="10" t="s">
        <v>759</v>
      </c>
      <c r="C987" s="11" t="s">
        <v>2964</v>
      </c>
      <c r="D987" s="10" t="s">
        <v>2965</v>
      </c>
      <c r="E987" s="10" t="s">
        <v>2966</v>
      </c>
      <c r="F987" s="9">
        <v>1</v>
      </c>
      <c r="G987" s="9">
        <v>1</v>
      </c>
    </row>
    <row r="988" spans="1:7" ht="25.5">
      <c r="A988" s="4">
        <v>987</v>
      </c>
      <c r="B988" s="5" t="s">
        <v>759</v>
      </c>
      <c r="C988" s="6" t="s">
        <v>2967</v>
      </c>
      <c r="D988" s="5" t="s">
        <v>2968</v>
      </c>
      <c r="E988" s="5" t="s">
        <v>2969</v>
      </c>
      <c r="F988" s="4">
        <v>1</v>
      </c>
      <c r="G988" s="4">
        <v>1</v>
      </c>
    </row>
    <row r="989" spans="1:7" ht="25.5">
      <c r="A989" s="9">
        <v>988</v>
      </c>
      <c r="B989" s="10" t="s">
        <v>759</v>
      </c>
      <c r="C989" s="11" t="s">
        <v>2970</v>
      </c>
      <c r="D989" s="10" t="s">
        <v>2971</v>
      </c>
      <c r="E989" s="10" t="s">
        <v>2972</v>
      </c>
      <c r="F989" s="9">
        <v>1</v>
      </c>
      <c r="G989" s="9">
        <v>1</v>
      </c>
    </row>
    <row r="990" spans="1:7" ht="25.5">
      <c r="A990" s="4">
        <v>989</v>
      </c>
      <c r="B990" s="5" t="s">
        <v>759</v>
      </c>
      <c r="C990" s="6" t="s">
        <v>2973</v>
      </c>
      <c r="D990" s="5" t="s">
        <v>2974</v>
      </c>
      <c r="E990" s="5" t="s">
        <v>2975</v>
      </c>
      <c r="F990" s="4">
        <v>1</v>
      </c>
      <c r="G990" s="4">
        <v>1</v>
      </c>
    </row>
    <row r="991" spans="1:7" ht="25.5">
      <c r="A991" s="9">
        <v>990</v>
      </c>
      <c r="B991" s="10" t="s">
        <v>759</v>
      </c>
      <c r="C991" s="11" t="s">
        <v>2976</v>
      </c>
      <c r="D991" s="10" t="s">
        <v>2977</v>
      </c>
      <c r="E991" s="10" t="s">
        <v>2978</v>
      </c>
      <c r="F991" s="9">
        <v>1</v>
      </c>
      <c r="G991" s="9">
        <v>1</v>
      </c>
    </row>
    <row r="992" spans="1:7" ht="25.5">
      <c r="A992" s="4">
        <v>991</v>
      </c>
      <c r="B992" s="5" t="s">
        <v>759</v>
      </c>
      <c r="C992" s="6" t="s">
        <v>2979</v>
      </c>
      <c r="D992" s="5" t="s">
        <v>2980</v>
      </c>
      <c r="E992" s="5" t="s">
        <v>2981</v>
      </c>
      <c r="F992" s="4">
        <v>1</v>
      </c>
      <c r="G992" s="4">
        <v>1</v>
      </c>
    </row>
    <row r="993" spans="1:7" ht="25.5">
      <c r="A993" s="9">
        <v>992</v>
      </c>
      <c r="B993" s="10" t="s">
        <v>759</v>
      </c>
      <c r="C993" s="11" t="s">
        <v>2982</v>
      </c>
      <c r="D993" s="10" t="s">
        <v>2983</v>
      </c>
      <c r="E993" s="10" t="s">
        <v>2984</v>
      </c>
      <c r="F993" s="9">
        <v>1</v>
      </c>
      <c r="G993" s="9">
        <v>1</v>
      </c>
    </row>
    <row r="994" spans="1:7" ht="25.5">
      <c r="A994" s="4">
        <v>993</v>
      </c>
      <c r="B994" s="5" t="s">
        <v>759</v>
      </c>
      <c r="C994" s="6" t="s">
        <v>2985</v>
      </c>
      <c r="D994" s="5" t="s">
        <v>2986</v>
      </c>
      <c r="E994" s="5" t="s">
        <v>2987</v>
      </c>
      <c r="F994" s="4">
        <v>1</v>
      </c>
      <c r="G994" s="4">
        <v>1</v>
      </c>
    </row>
    <row r="995" spans="1:7" ht="25.5">
      <c r="A995" s="9">
        <v>994</v>
      </c>
      <c r="B995" s="10" t="s">
        <v>759</v>
      </c>
      <c r="C995" s="11" t="s">
        <v>2988</v>
      </c>
      <c r="D995" s="10" t="s">
        <v>2989</v>
      </c>
      <c r="E995" s="10" t="s">
        <v>2990</v>
      </c>
      <c r="F995" s="9">
        <v>1</v>
      </c>
      <c r="G995" s="9">
        <v>1</v>
      </c>
    </row>
    <row r="996" spans="1:7" ht="25.5">
      <c r="A996" s="4">
        <v>995</v>
      </c>
      <c r="B996" s="5" t="s">
        <v>759</v>
      </c>
      <c r="C996" s="6" t="s">
        <v>2991</v>
      </c>
      <c r="D996" s="5" t="s">
        <v>2992</v>
      </c>
      <c r="E996" s="5" t="s">
        <v>2993</v>
      </c>
      <c r="F996" s="4">
        <v>1</v>
      </c>
      <c r="G996" s="4">
        <v>1</v>
      </c>
    </row>
    <row r="997" spans="1:7" ht="25.5">
      <c r="A997" s="9">
        <v>996</v>
      </c>
      <c r="B997" s="10" t="s">
        <v>759</v>
      </c>
      <c r="C997" s="11" t="s">
        <v>2994</v>
      </c>
      <c r="D997" s="10" t="s">
        <v>2995</v>
      </c>
      <c r="E997" s="10" t="s">
        <v>2996</v>
      </c>
      <c r="F997" s="9">
        <v>1</v>
      </c>
      <c r="G997" s="9">
        <v>1</v>
      </c>
    </row>
    <row r="998" spans="1:7" ht="25.5">
      <c r="A998" s="4">
        <v>997</v>
      </c>
      <c r="B998" s="5" t="s">
        <v>759</v>
      </c>
      <c r="C998" s="6" t="s">
        <v>2997</v>
      </c>
      <c r="D998" s="5" t="s">
        <v>2998</v>
      </c>
      <c r="E998" s="5" t="s">
        <v>2999</v>
      </c>
      <c r="F998" s="4">
        <v>1</v>
      </c>
      <c r="G998" s="4">
        <v>1</v>
      </c>
    </row>
    <row r="999" spans="1:7" ht="25.5">
      <c r="A999" s="9">
        <v>998</v>
      </c>
      <c r="B999" s="10" t="s">
        <v>759</v>
      </c>
      <c r="C999" s="11" t="s">
        <v>3000</v>
      </c>
      <c r="D999" s="10" t="s">
        <v>3001</v>
      </c>
      <c r="E999" s="10" t="s">
        <v>3002</v>
      </c>
      <c r="F999" s="9">
        <v>1</v>
      </c>
      <c r="G999" s="9">
        <v>1</v>
      </c>
    </row>
    <row r="1000" spans="1:7" ht="25.5">
      <c r="A1000" s="4">
        <v>999</v>
      </c>
      <c r="B1000" s="5" t="s">
        <v>759</v>
      </c>
      <c r="C1000" s="6" t="s">
        <v>3003</v>
      </c>
      <c r="D1000" s="5" t="s">
        <v>3004</v>
      </c>
      <c r="E1000" s="5" t="s">
        <v>3005</v>
      </c>
      <c r="F1000" s="4">
        <v>1</v>
      </c>
      <c r="G1000" s="4">
        <v>1</v>
      </c>
    </row>
    <row r="1001" spans="1:7" ht="25.5">
      <c r="A1001" s="9">
        <v>1000</v>
      </c>
      <c r="B1001" s="10" t="s">
        <v>759</v>
      </c>
      <c r="C1001" s="11" t="s">
        <v>3006</v>
      </c>
      <c r="D1001" s="10" t="s">
        <v>3007</v>
      </c>
      <c r="E1001" s="10" t="s">
        <v>3008</v>
      </c>
      <c r="F1001" s="9">
        <v>1</v>
      </c>
      <c r="G1001" s="9">
        <v>1</v>
      </c>
    </row>
    <row r="1002" spans="1:7" ht="25.5">
      <c r="A1002" s="4">
        <v>1001</v>
      </c>
      <c r="B1002" s="5" t="s">
        <v>759</v>
      </c>
      <c r="C1002" s="6" t="s">
        <v>3009</v>
      </c>
      <c r="D1002" s="5" t="s">
        <v>3010</v>
      </c>
      <c r="E1002" s="5" t="s">
        <v>3011</v>
      </c>
      <c r="F1002" s="4">
        <v>1</v>
      </c>
      <c r="G1002" s="4">
        <v>1</v>
      </c>
    </row>
    <row r="1003" spans="1:7" ht="25.5">
      <c r="A1003" s="9">
        <v>1002</v>
      </c>
      <c r="B1003" s="10" t="s">
        <v>759</v>
      </c>
      <c r="C1003" s="11" t="s">
        <v>3012</v>
      </c>
      <c r="D1003" s="10" t="s">
        <v>3013</v>
      </c>
      <c r="E1003" s="10" t="s">
        <v>3014</v>
      </c>
      <c r="F1003" s="9">
        <v>1</v>
      </c>
      <c r="G1003" s="9">
        <v>1</v>
      </c>
    </row>
    <row r="1004" spans="1:7" ht="25.5">
      <c r="A1004" s="4">
        <v>1003</v>
      </c>
      <c r="B1004" s="5" t="s">
        <v>759</v>
      </c>
      <c r="C1004" s="6" t="s">
        <v>3015</v>
      </c>
      <c r="D1004" s="5" t="s">
        <v>3016</v>
      </c>
      <c r="E1004" s="5" t="s">
        <v>3017</v>
      </c>
      <c r="F1004" s="4">
        <v>1</v>
      </c>
      <c r="G1004" s="4">
        <v>1</v>
      </c>
    </row>
    <row r="1005" spans="1:7" ht="25.5">
      <c r="A1005" s="9">
        <v>1004</v>
      </c>
      <c r="B1005" s="10" t="s">
        <v>759</v>
      </c>
      <c r="C1005" s="11" t="s">
        <v>3018</v>
      </c>
      <c r="D1005" s="10" t="s">
        <v>3019</v>
      </c>
      <c r="E1005" s="10" t="s">
        <v>3020</v>
      </c>
      <c r="F1005" s="9">
        <v>1</v>
      </c>
      <c r="G1005" s="9">
        <v>1</v>
      </c>
    </row>
    <row r="1006" spans="1:7" ht="25.5">
      <c r="A1006" s="4">
        <v>1005</v>
      </c>
      <c r="B1006" s="5" t="s">
        <v>759</v>
      </c>
      <c r="C1006" s="6" t="s">
        <v>3021</v>
      </c>
      <c r="D1006" s="5" t="s">
        <v>3022</v>
      </c>
      <c r="E1006" s="5" t="s">
        <v>3023</v>
      </c>
      <c r="F1006" s="4">
        <v>1</v>
      </c>
      <c r="G1006" s="4">
        <v>1</v>
      </c>
    </row>
    <row r="1007" spans="1:7" ht="25.5">
      <c r="A1007" s="9">
        <v>1006</v>
      </c>
      <c r="B1007" s="10" t="s">
        <v>759</v>
      </c>
      <c r="C1007" s="11" t="s">
        <v>3024</v>
      </c>
      <c r="D1007" s="10" t="s">
        <v>3025</v>
      </c>
      <c r="E1007" s="10" t="s">
        <v>3026</v>
      </c>
      <c r="F1007" s="9">
        <v>1</v>
      </c>
      <c r="G1007" s="9">
        <v>1</v>
      </c>
    </row>
    <row r="1008" spans="1:7" ht="25.5">
      <c r="A1008" s="4">
        <v>1007</v>
      </c>
      <c r="B1008" s="5" t="s">
        <v>759</v>
      </c>
      <c r="C1008" s="6" t="s">
        <v>3027</v>
      </c>
      <c r="D1008" s="5" t="s">
        <v>3028</v>
      </c>
      <c r="E1008" s="5" t="s">
        <v>3029</v>
      </c>
      <c r="F1008" s="4">
        <v>1</v>
      </c>
      <c r="G1008" s="4">
        <v>1</v>
      </c>
    </row>
    <row r="1009" spans="1:7" ht="25.5">
      <c r="A1009" s="9">
        <v>1008</v>
      </c>
      <c r="B1009" s="10" t="s">
        <v>759</v>
      </c>
      <c r="C1009" s="11" t="s">
        <v>3030</v>
      </c>
      <c r="D1009" s="10" t="s">
        <v>3031</v>
      </c>
      <c r="E1009" s="10" t="s">
        <v>3032</v>
      </c>
      <c r="F1009" s="9">
        <v>1</v>
      </c>
      <c r="G1009" s="9">
        <v>1</v>
      </c>
    </row>
    <row r="1010" spans="1:7" ht="25.5">
      <c r="A1010" s="4">
        <v>1009</v>
      </c>
      <c r="B1010" s="5" t="s">
        <v>759</v>
      </c>
      <c r="C1010" s="6" t="s">
        <v>3033</v>
      </c>
      <c r="D1010" s="5" t="s">
        <v>3034</v>
      </c>
      <c r="E1010" s="5" t="s">
        <v>3035</v>
      </c>
      <c r="F1010" s="4">
        <v>1</v>
      </c>
      <c r="G1010" s="4">
        <v>1</v>
      </c>
    </row>
    <row r="1011" spans="1:7" ht="25.5">
      <c r="A1011" s="9">
        <v>1010</v>
      </c>
      <c r="B1011" s="10" t="s">
        <v>759</v>
      </c>
      <c r="C1011" s="11" t="s">
        <v>3036</v>
      </c>
      <c r="D1011" s="10" t="s">
        <v>3037</v>
      </c>
      <c r="E1011" s="10" t="s">
        <v>3038</v>
      </c>
      <c r="F1011" s="9">
        <v>1</v>
      </c>
      <c r="G1011" s="9">
        <v>1</v>
      </c>
    </row>
    <row r="1012" spans="1:7" ht="25.5">
      <c r="A1012" s="4">
        <v>1011</v>
      </c>
      <c r="B1012" s="5" t="s">
        <v>759</v>
      </c>
      <c r="C1012" s="6" t="s">
        <v>3039</v>
      </c>
      <c r="D1012" s="5" t="s">
        <v>3040</v>
      </c>
      <c r="E1012" s="5" t="s">
        <v>3041</v>
      </c>
      <c r="F1012" s="4">
        <v>1</v>
      </c>
      <c r="G1012" s="4">
        <v>1</v>
      </c>
    </row>
    <row r="1013" spans="1:7" ht="25.5">
      <c r="A1013" s="9">
        <v>1012</v>
      </c>
      <c r="B1013" s="10" t="s">
        <v>759</v>
      </c>
      <c r="C1013" s="11" t="s">
        <v>3042</v>
      </c>
      <c r="D1013" s="10" t="s">
        <v>3043</v>
      </c>
      <c r="E1013" s="10" t="s">
        <v>3044</v>
      </c>
      <c r="F1013" s="9">
        <v>1</v>
      </c>
      <c r="G1013" s="9">
        <v>1</v>
      </c>
    </row>
    <row r="1014" spans="1:7" ht="25.5">
      <c r="A1014" s="4">
        <v>1013</v>
      </c>
      <c r="B1014" s="5" t="s">
        <v>759</v>
      </c>
      <c r="C1014" s="6" t="s">
        <v>3045</v>
      </c>
      <c r="D1014" s="5" t="s">
        <v>3046</v>
      </c>
      <c r="E1014" s="5" t="s">
        <v>3047</v>
      </c>
      <c r="F1014" s="4">
        <v>1</v>
      </c>
      <c r="G1014" s="4">
        <v>1</v>
      </c>
    </row>
    <row r="1015" spans="1:7" ht="25.5">
      <c r="A1015" s="9">
        <v>1014</v>
      </c>
      <c r="B1015" s="10" t="s">
        <v>759</v>
      </c>
      <c r="C1015" s="11" t="s">
        <v>3048</v>
      </c>
      <c r="D1015" s="10" t="s">
        <v>3049</v>
      </c>
      <c r="E1015" s="10" t="s">
        <v>3050</v>
      </c>
      <c r="F1015" s="9">
        <v>1</v>
      </c>
      <c r="G1015" s="9">
        <v>1</v>
      </c>
    </row>
    <row r="1016" spans="1:7" ht="25.5">
      <c r="A1016" s="4">
        <v>1015</v>
      </c>
      <c r="B1016" s="5" t="s">
        <v>759</v>
      </c>
      <c r="C1016" s="6" t="s">
        <v>3051</v>
      </c>
      <c r="D1016" s="5" t="s">
        <v>3052</v>
      </c>
      <c r="E1016" s="5" t="s">
        <v>3053</v>
      </c>
      <c r="F1016" s="4">
        <v>1</v>
      </c>
      <c r="G1016" s="4">
        <v>1</v>
      </c>
    </row>
    <row r="1017" spans="1:7" ht="25.5">
      <c r="A1017" s="9">
        <v>1016</v>
      </c>
      <c r="B1017" s="10" t="s">
        <v>759</v>
      </c>
      <c r="C1017" s="11" t="s">
        <v>3054</v>
      </c>
      <c r="D1017" s="10" t="s">
        <v>3055</v>
      </c>
      <c r="E1017" s="10" t="s">
        <v>3056</v>
      </c>
      <c r="F1017" s="9">
        <v>1</v>
      </c>
      <c r="G1017" s="9">
        <v>1</v>
      </c>
    </row>
    <row r="1018" spans="1:7" ht="25.5">
      <c r="A1018" s="4">
        <v>1017</v>
      </c>
      <c r="B1018" s="5" t="s">
        <v>759</v>
      </c>
      <c r="C1018" s="6" t="s">
        <v>3057</v>
      </c>
      <c r="D1018" s="5" t="s">
        <v>3058</v>
      </c>
      <c r="E1018" s="5" t="s">
        <v>3059</v>
      </c>
      <c r="F1018" s="4">
        <v>1</v>
      </c>
      <c r="G1018" s="4">
        <v>1</v>
      </c>
    </row>
    <row r="1019" spans="1:7" ht="25.5">
      <c r="A1019" s="9">
        <v>1018</v>
      </c>
      <c r="B1019" s="10" t="s">
        <v>759</v>
      </c>
      <c r="C1019" s="11" t="s">
        <v>3060</v>
      </c>
      <c r="D1019" s="10" t="s">
        <v>3061</v>
      </c>
      <c r="E1019" s="10" t="s">
        <v>3062</v>
      </c>
      <c r="F1019" s="9">
        <v>1</v>
      </c>
      <c r="G1019" s="9">
        <v>1</v>
      </c>
    </row>
    <row r="1020" spans="1:7" ht="25.5">
      <c r="A1020" s="4">
        <v>1019</v>
      </c>
      <c r="B1020" s="5" t="s">
        <v>759</v>
      </c>
      <c r="C1020" s="6" t="s">
        <v>3063</v>
      </c>
      <c r="D1020" s="5" t="s">
        <v>3064</v>
      </c>
      <c r="E1020" s="5" t="s">
        <v>3065</v>
      </c>
      <c r="F1020" s="4">
        <v>1</v>
      </c>
      <c r="G1020" s="4">
        <v>1</v>
      </c>
    </row>
    <row r="1021" spans="1:7" ht="25.5">
      <c r="A1021" s="9">
        <v>1020</v>
      </c>
      <c r="B1021" s="10" t="s">
        <v>759</v>
      </c>
      <c r="C1021" s="11" t="s">
        <v>3066</v>
      </c>
      <c r="D1021" s="10" t="s">
        <v>3067</v>
      </c>
      <c r="E1021" s="10" t="s">
        <v>3068</v>
      </c>
      <c r="F1021" s="9">
        <v>1</v>
      </c>
      <c r="G1021" s="9">
        <v>1</v>
      </c>
    </row>
    <row r="1022" spans="1:7" ht="25.5">
      <c r="A1022" s="4">
        <v>1021</v>
      </c>
      <c r="B1022" s="5" t="s">
        <v>759</v>
      </c>
      <c r="C1022" s="6" t="s">
        <v>3069</v>
      </c>
      <c r="D1022" s="5" t="s">
        <v>3070</v>
      </c>
      <c r="E1022" s="5" t="s">
        <v>3071</v>
      </c>
      <c r="F1022" s="4">
        <v>1</v>
      </c>
      <c r="G1022" s="4">
        <v>1</v>
      </c>
    </row>
    <row r="1023" spans="1:7" ht="25.5">
      <c r="A1023" s="9">
        <v>1022</v>
      </c>
      <c r="B1023" s="10" t="s">
        <v>759</v>
      </c>
      <c r="C1023" s="11" t="s">
        <v>3072</v>
      </c>
      <c r="D1023" s="10" t="s">
        <v>3073</v>
      </c>
      <c r="E1023" s="10" t="s">
        <v>3074</v>
      </c>
      <c r="F1023" s="9">
        <v>1</v>
      </c>
      <c r="G1023" s="9">
        <v>1</v>
      </c>
    </row>
    <row r="1024" spans="1:7" ht="25.5">
      <c r="A1024" s="4">
        <v>1023</v>
      </c>
      <c r="B1024" s="5" t="s">
        <v>759</v>
      </c>
      <c r="C1024" s="6" t="s">
        <v>3075</v>
      </c>
      <c r="D1024" s="5" t="s">
        <v>3076</v>
      </c>
      <c r="E1024" s="5" t="s">
        <v>3077</v>
      </c>
      <c r="F1024" s="4">
        <v>1</v>
      </c>
      <c r="G1024" s="4">
        <v>1</v>
      </c>
    </row>
    <row r="1025" spans="1:7" ht="25.5">
      <c r="A1025" s="9">
        <v>1024</v>
      </c>
      <c r="B1025" s="10" t="s">
        <v>759</v>
      </c>
      <c r="C1025" s="11" t="s">
        <v>3078</v>
      </c>
      <c r="D1025" s="10" t="s">
        <v>3079</v>
      </c>
      <c r="E1025" s="10" t="s">
        <v>3080</v>
      </c>
      <c r="F1025" s="9">
        <v>1</v>
      </c>
      <c r="G1025" s="9">
        <v>1</v>
      </c>
    </row>
    <row r="1026" spans="1:7" ht="25.5">
      <c r="A1026" s="4">
        <v>1025</v>
      </c>
      <c r="B1026" s="5" t="s">
        <v>759</v>
      </c>
      <c r="C1026" s="6" t="s">
        <v>3081</v>
      </c>
      <c r="D1026" s="5" t="s">
        <v>3082</v>
      </c>
      <c r="E1026" s="5" t="s">
        <v>3083</v>
      </c>
      <c r="F1026" s="4">
        <v>1</v>
      </c>
      <c r="G1026" s="4">
        <v>1</v>
      </c>
    </row>
    <row r="1027" spans="1:7" ht="25.5">
      <c r="A1027" s="9">
        <v>1026</v>
      </c>
      <c r="B1027" s="10" t="s">
        <v>759</v>
      </c>
      <c r="C1027" s="11" t="s">
        <v>3084</v>
      </c>
      <c r="D1027" s="10" t="s">
        <v>3085</v>
      </c>
      <c r="E1027" s="10" t="s">
        <v>3086</v>
      </c>
      <c r="F1027" s="9">
        <v>1</v>
      </c>
      <c r="G1027" s="9">
        <v>1</v>
      </c>
    </row>
    <row r="1028" spans="1:7" ht="25.5">
      <c r="A1028" s="4">
        <v>1027</v>
      </c>
      <c r="B1028" s="5" t="s">
        <v>759</v>
      </c>
      <c r="C1028" s="6" t="s">
        <v>3087</v>
      </c>
      <c r="D1028" s="5" t="s">
        <v>3088</v>
      </c>
      <c r="E1028" s="5" t="s">
        <v>3089</v>
      </c>
      <c r="F1028" s="4">
        <v>1</v>
      </c>
      <c r="G1028" s="4">
        <v>1</v>
      </c>
    </row>
    <row r="1029" spans="1:7" ht="25.5">
      <c r="A1029" s="9">
        <v>1028</v>
      </c>
      <c r="B1029" s="10" t="s">
        <v>759</v>
      </c>
      <c r="C1029" s="11" t="s">
        <v>3090</v>
      </c>
      <c r="D1029" s="10" t="s">
        <v>3091</v>
      </c>
      <c r="E1029" s="10" t="s">
        <v>3092</v>
      </c>
      <c r="F1029" s="9">
        <v>1</v>
      </c>
      <c r="G1029" s="9">
        <v>1</v>
      </c>
    </row>
    <row r="1030" spans="1:7" ht="25.5">
      <c r="A1030" s="4">
        <v>1029</v>
      </c>
      <c r="B1030" s="5" t="s">
        <v>759</v>
      </c>
      <c r="C1030" s="6" t="s">
        <v>3093</v>
      </c>
      <c r="D1030" s="5" t="s">
        <v>3094</v>
      </c>
      <c r="E1030" s="5" t="s">
        <v>3095</v>
      </c>
      <c r="F1030" s="4">
        <v>1</v>
      </c>
      <c r="G1030" s="4">
        <v>1</v>
      </c>
    </row>
    <row r="1031" spans="1:7" ht="25.5">
      <c r="A1031" s="9">
        <v>1030</v>
      </c>
      <c r="B1031" s="10" t="s">
        <v>759</v>
      </c>
      <c r="C1031" s="11" t="s">
        <v>3096</v>
      </c>
      <c r="D1031" s="10" t="s">
        <v>3097</v>
      </c>
      <c r="E1031" s="10" t="s">
        <v>3098</v>
      </c>
      <c r="F1031" s="9">
        <v>1</v>
      </c>
      <c r="G1031" s="9">
        <v>1</v>
      </c>
    </row>
    <row r="1032" spans="1:7" ht="25.5">
      <c r="A1032" s="4">
        <v>1031</v>
      </c>
      <c r="B1032" s="5" t="s">
        <v>759</v>
      </c>
      <c r="C1032" s="6" t="s">
        <v>3099</v>
      </c>
      <c r="D1032" s="5" t="s">
        <v>3100</v>
      </c>
      <c r="E1032" s="5" t="s">
        <v>3101</v>
      </c>
      <c r="F1032" s="4">
        <v>1</v>
      </c>
      <c r="G1032" s="4">
        <v>1</v>
      </c>
    </row>
    <row r="1033" spans="1:7" ht="25.5">
      <c r="A1033" s="9">
        <v>1032</v>
      </c>
      <c r="B1033" s="10" t="s">
        <v>759</v>
      </c>
      <c r="C1033" s="11" t="s">
        <v>3102</v>
      </c>
      <c r="D1033" s="10" t="s">
        <v>3103</v>
      </c>
      <c r="E1033" s="10" t="s">
        <v>3104</v>
      </c>
      <c r="F1033" s="9">
        <v>1</v>
      </c>
      <c r="G1033" s="9">
        <v>1</v>
      </c>
    </row>
    <row r="1034" spans="1:7" ht="25.5">
      <c r="A1034" s="4">
        <v>1033</v>
      </c>
      <c r="B1034" s="5" t="s">
        <v>759</v>
      </c>
      <c r="C1034" s="6" t="s">
        <v>3105</v>
      </c>
      <c r="D1034" s="5" t="s">
        <v>3106</v>
      </c>
      <c r="E1034" s="5" t="s">
        <v>3107</v>
      </c>
      <c r="F1034" s="4">
        <v>1</v>
      </c>
      <c r="G1034" s="4">
        <v>1</v>
      </c>
    </row>
    <row r="1035" spans="1:7" ht="25.5">
      <c r="A1035" s="9">
        <v>1034</v>
      </c>
      <c r="B1035" s="10" t="s">
        <v>759</v>
      </c>
      <c r="C1035" s="11" t="s">
        <v>3108</v>
      </c>
      <c r="D1035" s="10" t="s">
        <v>3109</v>
      </c>
      <c r="E1035" s="10" t="s">
        <v>3110</v>
      </c>
      <c r="F1035" s="9">
        <v>1</v>
      </c>
      <c r="G1035" s="9">
        <v>1</v>
      </c>
    </row>
    <row r="1036" spans="1:7" ht="25.5">
      <c r="A1036" s="4">
        <v>1035</v>
      </c>
      <c r="B1036" s="5" t="s">
        <v>759</v>
      </c>
      <c r="C1036" s="6" t="s">
        <v>3111</v>
      </c>
      <c r="D1036" s="5" t="s">
        <v>3112</v>
      </c>
      <c r="E1036" s="5" t="s">
        <v>3113</v>
      </c>
      <c r="F1036" s="4">
        <v>1</v>
      </c>
      <c r="G1036" s="4">
        <v>1</v>
      </c>
    </row>
    <row r="1037" spans="1:7" ht="25.5">
      <c r="A1037" s="9">
        <v>1036</v>
      </c>
      <c r="B1037" s="10" t="s">
        <v>759</v>
      </c>
      <c r="C1037" s="11" t="s">
        <v>3114</v>
      </c>
      <c r="D1037" s="10" t="s">
        <v>3115</v>
      </c>
      <c r="E1037" s="10" t="s">
        <v>3116</v>
      </c>
      <c r="F1037" s="9">
        <v>1</v>
      </c>
      <c r="G1037" s="9">
        <v>1</v>
      </c>
    </row>
    <row r="1038" spans="1:7" ht="25.5">
      <c r="A1038" s="4">
        <v>1037</v>
      </c>
      <c r="B1038" s="5" t="s">
        <v>759</v>
      </c>
      <c r="C1038" s="6" t="s">
        <v>3117</v>
      </c>
      <c r="D1038" s="5" t="s">
        <v>3118</v>
      </c>
      <c r="E1038" s="5" t="s">
        <v>3119</v>
      </c>
      <c r="F1038" s="4">
        <v>1</v>
      </c>
      <c r="G1038" s="4">
        <v>1</v>
      </c>
    </row>
    <row r="1039" spans="1:7" ht="25.5">
      <c r="A1039" s="9">
        <v>1038</v>
      </c>
      <c r="B1039" s="10" t="s">
        <v>759</v>
      </c>
      <c r="C1039" s="11" t="s">
        <v>3120</v>
      </c>
      <c r="D1039" s="10" t="s">
        <v>3121</v>
      </c>
      <c r="E1039" s="10" t="s">
        <v>3122</v>
      </c>
      <c r="F1039" s="9">
        <v>1</v>
      </c>
      <c r="G1039" s="9">
        <v>1</v>
      </c>
    </row>
    <row r="1040" spans="1:7" ht="25.5">
      <c r="A1040" s="4">
        <v>1039</v>
      </c>
      <c r="B1040" s="5" t="s">
        <v>759</v>
      </c>
      <c r="C1040" s="6" t="s">
        <v>3123</v>
      </c>
      <c r="D1040" s="5" t="s">
        <v>3124</v>
      </c>
      <c r="E1040" s="5" t="s">
        <v>3125</v>
      </c>
      <c r="F1040" s="4">
        <v>1</v>
      </c>
      <c r="G1040" s="4">
        <v>1</v>
      </c>
    </row>
    <row r="1041" spans="1:7" ht="25.5">
      <c r="A1041" s="9">
        <v>1040</v>
      </c>
      <c r="B1041" s="10" t="s">
        <v>759</v>
      </c>
      <c r="C1041" s="11" t="s">
        <v>3126</v>
      </c>
      <c r="D1041" s="10" t="s">
        <v>3127</v>
      </c>
      <c r="E1041" s="10" t="s">
        <v>3128</v>
      </c>
      <c r="F1041" s="9">
        <v>1</v>
      </c>
      <c r="G1041" s="9">
        <v>1</v>
      </c>
    </row>
    <row r="1042" spans="1:7" ht="25.5">
      <c r="A1042" s="4">
        <v>1041</v>
      </c>
      <c r="B1042" s="5" t="s">
        <v>759</v>
      </c>
      <c r="C1042" s="6" t="s">
        <v>3129</v>
      </c>
      <c r="D1042" s="5" t="s">
        <v>3130</v>
      </c>
      <c r="E1042" s="5" t="s">
        <v>3131</v>
      </c>
      <c r="F1042" s="4">
        <v>1</v>
      </c>
      <c r="G1042" s="4">
        <v>1</v>
      </c>
    </row>
    <row r="1043" spans="1:7" ht="25.5">
      <c r="A1043" s="9">
        <v>1042</v>
      </c>
      <c r="B1043" s="10" t="s">
        <v>759</v>
      </c>
      <c r="C1043" s="11" t="s">
        <v>3132</v>
      </c>
      <c r="D1043" s="10" t="s">
        <v>3133</v>
      </c>
      <c r="E1043" s="10" t="s">
        <v>3134</v>
      </c>
      <c r="F1043" s="9">
        <v>1</v>
      </c>
      <c r="G1043" s="9">
        <v>1</v>
      </c>
    </row>
    <row r="1044" spans="1:7" ht="25.5">
      <c r="A1044" s="4">
        <v>1043</v>
      </c>
      <c r="B1044" s="5" t="s">
        <v>759</v>
      </c>
      <c r="C1044" s="6" t="s">
        <v>3135</v>
      </c>
      <c r="D1044" s="5" t="s">
        <v>3136</v>
      </c>
      <c r="E1044" s="5" t="s">
        <v>3137</v>
      </c>
      <c r="F1044" s="4">
        <v>1</v>
      </c>
      <c r="G1044" s="4">
        <v>1</v>
      </c>
    </row>
    <row r="1045" spans="1:7" ht="25.5">
      <c r="A1045" s="9">
        <v>1044</v>
      </c>
      <c r="B1045" s="10" t="s">
        <v>759</v>
      </c>
      <c r="C1045" s="11" t="s">
        <v>3138</v>
      </c>
      <c r="D1045" s="10" t="s">
        <v>3139</v>
      </c>
      <c r="E1045" s="10" t="s">
        <v>3140</v>
      </c>
      <c r="F1045" s="9">
        <v>1</v>
      </c>
      <c r="G1045" s="9">
        <v>1</v>
      </c>
    </row>
    <row r="1046" spans="1:7" ht="25.5">
      <c r="A1046" s="4">
        <v>1045</v>
      </c>
      <c r="B1046" s="5" t="s">
        <v>759</v>
      </c>
      <c r="C1046" s="6" t="s">
        <v>3141</v>
      </c>
      <c r="D1046" s="5" t="s">
        <v>3142</v>
      </c>
      <c r="E1046" s="5" t="s">
        <v>3143</v>
      </c>
      <c r="F1046" s="4">
        <v>1</v>
      </c>
      <c r="G1046" s="4">
        <v>1</v>
      </c>
    </row>
    <row r="1047" spans="1:7" ht="25.5">
      <c r="A1047" s="9">
        <v>1046</v>
      </c>
      <c r="B1047" s="10" t="s">
        <v>759</v>
      </c>
      <c r="C1047" s="11" t="s">
        <v>3144</v>
      </c>
      <c r="D1047" s="10" t="s">
        <v>3145</v>
      </c>
      <c r="E1047" s="10" t="s">
        <v>3146</v>
      </c>
      <c r="F1047" s="9">
        <v>1</v>
      </c>
      <c r="G1047" s="9">
        <v>1</v>
      </c>
    </row>
    <row r="1048" spans="1:7" ht="25.5">
      <c r="A1048" s="4">
        <v>1047</v>
      </c>
      <c r="B1048" s="5" t="s">
        <v>759</v>
      </c>
      <c r="C1048" s="6" t="s">
        <v>3147</v>
      </c>
      <c r="D1048" s="5" t="s">
        <v>3148</v>
      </c>
      <c r="E1048" s="5" t="s">
        <v>3149</v>
      </c>
      <c r="F1048" s="4">
        <v>1</v>
      </c>
      <c r="G1048" s="4">
        <v>1</v>
      </c>
    </row>
    <row r="1049" spans="1:7" ht="25.5">
      <c r="A1049" s="9">
        <v>1048</v>
      </c>
      <c r="B1049" s="10" t="s">
        <v>759</v>
      </c>
      <c r="C1049" s="11" t="s">
        <v>3150</v>
      </c>
      <c r="D1049" s="10" t="s">
        <v>3151</v>
      </c>
      <c r="E1049" s="10" t="s">
        <v>3152</v>
      </c>
      <c r="F1049" s="9">
        <v>1</v>
      </c>
      <c r="G1049" s="9">
        <v>1</v>
      </c>
    </row>
    <row r="1050" spans="1:7" ht="25.5">
      <c r="A1050" s="4">
        <v>1049</v>
      </c>
      <c r="B1050" s="5" t="s">
        <v>759</v>
      </c>
      <c r="C1050" s="6" t="s">
        <v>3153</v>
      </c>
      <c r="D1050" s="5" t="s">
        <v>3154</v>
      </c>
      <c r="E1050" s="5" t="s">
        <v>3155</v>
      </c>
      <c r="F1050" s="4">
        <v>1</v>
      </c>
      <c r="G1050" s="4">
        <v>1</v>
      </c>
    </row>
    <row r="1051" spans="1:7" ht="25.5">
      <c r="A1051" s="9">
        <v>1050</v>
      </c>
      <c r="B1051" s="10" t="s">
        <v>759</v>
      </c>
      <c r="C1051" s="11" t="s">
        <v>3156</v>
      </c>
      <c r="D1051" s="10" t="s">
        <v>3157</v>
      </c>
      <c r="E1051" s="10" t="s">
        <v>3158</v>
      </c>
      <c r="F1051" s="9">
        <v>1</v>
      </c>
      <c r="G1051" s="9">
        <v>1</v>
      </c>
    </row>
    <row r="1052" spans="1:7" ht="25.5">
      <c r="A1052" s="4">
        <v>1051</v>
      </c>
      <c r="B1052" s="5" t="s">
        <v>759</v>
      </c>
      <c r="C1052" s="6" t="s">
        <v>3159</v>
      </c>
      <c r="D1052" s="5" t="s">
        <v>3160</v>
      </c>
      <c r="E1052" s="5" t="s">
        <v>3161</v>
      </c>
      <c r="F1052" s="4">
        <v>1</v>
      </c>
      <c r="G1052" s="4">
        <v>1</v>
      </c>
    </row>
    <row r="1053" spans="1:7" ht="25.5">
      <c r="A1053" s="9">
        <v>1052</v>
      </c>
      <c r="B1053" s="10" t="s">
        <v>759</v>
      </c>
      <c r="C1053" s="11" t="s">
        <v>3162</v>
      </c>
      <c r="D1053" s="10" t="s">
        <v>3163</v>
      </c>
      <c r="E1053" s="10" t="s">
        <v>3164</v>
      </c>
      <c r="F1053" s="9">
        <v>1</v>
      </c>
      <c r="G1053" s="9">
        <v>1</v>
      </c>
    </row>
    <row r="1054" spans="1:7" ht="25.5">
      <c r="A1054" s="4">
        <v>1053</v>
      </c>
      <c r="B1054" s="5" t="s">
        <v>759</v>
      </c>
      <c r="C1054" s="6" t="s">
        <v>3165</v>
      </c>
      <c r="D1054" s="5" t="s">
        <v>3166</v>
      </c>
      <c r="E1054" s="5" t="s">
        <v>3167</v>
      </c>
      <c r="F1054" s="4">
        <v>1</v>
      </c>
      <c r="G1054" s="4">
        <v>1</v>
      </c>
    </row>
    <row r="1055" spans="1:7" ht="25.5">
      <c r="A1055" s="9">
        <v>1054</v>
      </c>
      <c r="B1055" s="10" t="s">
        <v>759</v>
      </c>
      <c r="C1055" s="11" t="s">
        <v>3168</v>
      </c>
      <c r="D1055" s="10" t="s">
        <v>3169</v>
      </c>
      <c r="E1055" s="10" t="s">
        <v>3170</v>
      </c>
      <c r="F1055" s="9">
        <v>1</v>
      </c>
      <c r="G1055" s="9">
        <v>1</v>
      </c>
    </row>
    <row r="1056" spans="1:7" ht="25.5">
      <c r="A1056" s="4">
        <v>1055</v>
      </c>
      <c r="B1056" s="5" t="s">
        <v>759</v>
      </c>
      <c r="C1056" s="6" t="s">
        <v>3171</v>
      </c>
      <c r="D1056" s="5" t="s">
        <v>3172</v>
      </c>
      <c r="E1056" s="5" t="s">
        <v>3173</v>
      </c>
      <c r="F1056" s="4">
        <v>1</v>
      </c>
      <c r="G1056" s="4">
        <v>1</v>
      </c>
    </row>
    <row r="1057" spans="1:7" ht="25.5">
      <c r="A1057" s="9">
        <v>1056</v>
      </c>
      <c r="B1057" s="10" t="s">
        <v>759</v>
      </c>
      <c r="C1057" s="11" t="s">
        <v>3174</v>
      </c>
      <c r="D1057" s="10" t="s">
        <v>3175</v>
      </c>
      <c r="E1057" s="10" t="s">
        <v>3176</v>
      </c>
      <c r="F1057" s="9">
        <v>1</v>
      </c>
      <c r="G1057" s="9">
        <v>1</v>
      </c>
    </row>
    <row r="1058" spans="1:7" ht="25.5">
      <c r="A1058" s="4">
        <v>1057</v>
      </c>
      <c r="B1058" s="5" t="s">
        <v>759</v>
      </c>
      <c r="C1058" s="6" t="s">
        <v>3177</v>
      </c>
      <c r="D1058" s="5" t="s">
        <v>3178</v>
      </c>
      <c r="E1058" s="5" t="s">
        <v>3179</v>
      </c>
      <c r="F1058" s="4">
        <v>1</v>
      </c>
      <c r="G1058" s="4">
        <v>1</v>
      </c>
    </row>
    <row r="1059" spans="1:7" ht="25.5">
      <c r="A1059" s="9">
        <v>1058</v>
      </c>
      <c r="B1059" s="10" t="s">
        <v>759</v>
      </c>
      <c r="C1059" s="11" t="s">
        <v>3180</v>
      </c>
      <c r="D1059" s="10" t="s">
        <v>3181</v>
      </c>
      <c r="E1059" s="10" t="s">
        <v>3182</v>
      </c>
      <c r="F1059" s="9">
        <v>1</v>
      </c>
      <c r="G1059" s="9">
        <v>1</v>
      </c>
    </row>
    <row r="1060" spans="1:7" ht="25.5">
      <c r="A1060" s="4">
        <v>1059</v>
      </c>
      <c r="B1060" s="5" t="s">
        <v>759</v>
      </c>
      <c r="C1060" s="6" t="s">
        <v>3183</v>
      </c>
      <c r="D1060" s="5" t="s">
        <v>3184</v>
      </c>
      <c r="E1060" s="5" t="s">
        <v>3185</v>
      </c>
      <c r="F1060" s="4">
        <v>1</v>
      </c>
      <c r="G1060" s="4">
        <v>1</v>
      </c>
    </row>
    <row r="1061" spans="1:7" ht="25.5">
      <c r="A1061" s="9">
        <v>1060</v>
      </c>
      <c r="B1061" s="10" t="s">
        <v>759</v>
      </c>
      <c r="C1061" s="11" t="s">
        <v>3186</v>
      </c>
      <c r="D1061" s="10" t="s">
        <v>3187</v>
      </c>
      <c r="E1061" s="10" t="s">
        <v>3188</v>
      </c>
      <c r="F1061" s="9">
        <v>1</v>
      </c>
      <c r="G1061" s="9">
        <v>1</v>
      </c>
    </row>
    <row r="1062" spans="1:7" ht="38.25">
      <c r="A1062" s="4">
        <v>1061</v>
      </c>
      <c r="B1062" s="5" t="s">
        <v>759</v>
      </c>
      <c r="C1062" s="6" t="s">
        <v>3189</v>
      </c>
      <c r="D1062" s="5" t="s">
        <v>3190</v>
      </c>
      <c r="E1062" s="5" t="s">
        <v>3191</v>
      </c>
      <c r="F1062" s="4">
        <v>1</v>
      </c>
      <c r="G1062" s="4">
        <v>1</v>
      </c>
    </row>
    <row r="1063" spans="1:7" ht="25.5">
      <c r="A1063" s="9">
        <v>1062</v>
      </c>
      <c r="B1063" s="10" t="s">
        <v>759</v>
      </c>
      <c r="C1063" s="11" t="s">
        <v>3192</v>
      </c>
      <c r="D1063" s="10" t="s">
        <v>3193</v>
      </c>
      <c r="E1063" s="10" t="s">
        <v>3194</v>
      </c>
      <c r="F1063" s="9">
        <v>1</v>
      </c>
      <c r="G1063" s="9">
        <v>1</v>
      </c>
    </row>
    <row r="1064" spans="1:7" ht="25.5">
      <c r="A1064" s="4">
        <v>1063</v>
      </c>
      <c r="B1064" s="5" t="s">
        <v>759</v>
      </c>
      <c r="C1064" s="6" t="s">
        <v>3195</v>
      </c>
      <c r="D1064" s="5" t="s">
        <v>3196</v>
      </c>
      <c r="E1064" s="5" t="s">
        <v>3197</v>
      </c>
      <c r="F1064" s="4">
        <v>1</v>
      </c>
      <c r="G1064" s="4">
        <v>1</v>
      </c>
    </row>
    <row r="1065" spans="1:7" ht="25.5">
      <c r="A1065" s="9">
        <v>1064</v>
      </c>
      <c r="B1065" s="10" t="s">
        <v>759</v>
      </c>
      <c r="C1065" s="11" t="s">
        <v>3198</v>
      </c>
      <c r="D1065" s="10" t="s">
        <v>3199</v>
      </c>
      <c r="E1065" s="10" t="s">
        <v>3200</v>
      </c>
      <c r="F1065" s="9">
        <v>1</v>
      </c>
      <c r="G1065" s="9">
        <v>1</v>
      </c>
    </row>
    <row r="1066" spans="1:7" ht="25.5">
      <c r="A1066" s="4">
        <v>1065</v>
      </c>
      <c r="B1066" s="5" t="s">
        <v>759</v>
      </c>
      <c r="C1066" s="6" t="s">
        <v>3201</v>
      </c>
      <c r="D1066" s="5" t="s">
        <v>3202</v>
      </c>
      <c r="E1066" s="5" t="s">
        <v>3203</v>
      </c>
      <c r="F1066" s="4">
        <v>1</v>
      </c>
      <c r="G1066" s="4">
        <v>1</v>
      </c>
    </row>
    <row r="1067" spans="1:7" ht="25.5">
      <c r="A1067" s="9">
        <v>1066</v>
      </c>
      <c r="B1067" s="10" t="s">
        <v>759</v>
      </c>
      <c r="C1067" s="11" t="s">
        <v>3204</v>
      </c>
      <c r="D1067" s="10" t="s">
        <v>3205</v>
      </c>
      <c r="E1067" s="10" t="s">
        <v>3206</v>
      </c>
      <c r="F1067" s="9">
        <v>1</v>
      </c>
      <c r="G1067" s="9">
        <v>1</v>
      </c>
    </row>
    <row r="1068" spans="1:7" ht="25.5">
      <c r="A1068" s="4">
        <v>1067</v>
      </c>
      <c r="B1068" s="5" t="s">
        <v>759</v>
      </c>
      <c r="C1068" s="6" t="s">
        <v>3207</v>
      </c>
      <c r="D1068" s="5" t="s">
        <v>3208</v>
      </c>
      <c r="E1068" s="5" t="s">
        <v>3209</v>
      </c>
      <c r="F1068" s="4">
        <v>1</v>
      </c>
      <c r="G1068" s="4">
        <v>1</v>
      </c>
    </row>
    <row r="1069" spans="1:7" ht="25.5">
      <c r="A1069" s="9">
        <v>1068</v>
      </c>
      <c r="B1069" s="10" t="s">
        <v>759</v>
      </c>
      <c r="C1069" s="11" t="s">
        <v>3210</v>
      </c>
      <c r="D1069" s="10" t="s">
        <v>3211</v>
      </c>
      <c r="E1069" s="10" t="s">
        <v>3212</v>
      </c>
      <c r="F1069" s="9">
        <v>1</v>
      </c>
      <c r="G1069" s="9">
        <v>1</v>
      </c>
    </row>
    <row r="1070" spans="1:7" ht="25.5">
      <c r="A1070" s="4">
        <v>1069</v>
      </c>
      <c r="B1070" s="5" t="s">
        <v>759</v>
      </c>
      <c r="C1070" s="6" t="s">
        <v>3213</v>
      </c>
      <c r="D1070" s="5" t="s">
        <v>3214</v>
      </c>
      <c r="E1070" s="5" t="s">
        <v>3215</v>
      </c>
      <c r="F1070" s="4">
        <v>1</v>
      </c>
      <c r="G1070" s="4">
        <v>1</v>
      </c>
    </row>
    <row r="1071" spans="1:7" ht="38.25">
      <c r="A1071" s="9">
        <v>1070</v>
      </c>
      <c r="B1071" s="10" t="s">
        <v>759</v>
      </c>
      <c r="C1071" s="11" t="s">
        <v>3216</v>
      </c>
      <c r="D1071" s="10" t="s">
        <v>3217</v>
      </c>
      <c r="E1071" s="10" t="s">
        <v>3218</v>
      </c>
      <c r="F1071" s="9">
        <v>1</v>
      </c>
      <c r="G1071" s="9">
        <v>1</v>
      </c>
    </row>
    <row r="1072" spans="1:7" ht="25.5">
      <c r="A1072" s="4">
        <v>1071</v>
      </c>
      <c r="B1072" s="5" t="s">
        <v>759</v>
      </c>
      <c r="C1072" s="6" t="s">
        <v>3219</v>
      </c>
      <c r="D1072" s="5" t="s">
        <v>3220</v>
      </c>
      <c r="E1072" s="5" t="s">
        <v>3221</v>
      </c>
      <c r="F1072" s="4">
        <v>1</v>
      </c>
      <c r="G1072" s="4">
        <v>1</v>
      </c>
    </row>
    <row r="1073" spans="1:7" ht="25.5">
      <c r="A1073" s="9">
        <v>1072</v>
      </c>
      <c r="B1073" s="10" t="s">
        <v>759</v>
      </c>
      <c r="C1073" s="11" t="s">
        <v>3222</v>
      </c>
      <c r="D1073" s="10" t="s">
        <v>3223</v>
      </c>
      <c r="E1073" s="10" t="s">
        <v>3224</v>
      </c>
      <c r="F1073" s="9">
        <v>1</v>
      </c>
      <c r="G1073" s="9">
        <v>1</v>
      </c>
    </row>
    <row r="1074" spans="1:7" ht="25.5">
      <c r="A1074" s="4">
        <v>1073</v>
      </c>
      <c r="B1074" s="5" t="s">
        <v>759</v>
      </c>
      <c r="C1074" s="6" t="s">
        <v>3225</v>
      </c>
      <c r="D1074" s="5" t="s">
        <v>3226</v>
      </c>
      <c r="E1074" s="5" t="s">
        <v>3227</v>
      </c>
      <c r="F1074" s="4">
        <v>1</v>
      </c>
      <c r="G1074" s="4">
        <v>1</v>
      </c>
    </row>
    <row r="1075" spans="1:7" ht="25.5">
      <c r="A1075" s="9">
        <v>1074</v>
      </c>
      <c r="B1075" s="10" t="s">
        <v>759</v>
      </c>
      <c r="C1075" s="11" t="s">
        <v>3228</v>
      </c>
      <c r="D1075" s="10" t="s">
        <v>3229</v>
      </c>
      <c r="E1075" s="10" t="s">
        <v>3230</v>
      </c>
      <c r="F1075" s="9">
        <v>1</v>
      </c>
      <c r="G1075" s="9">
        <v>1</v>
      </c>
    </row>
    <row r="1076" spans="1:7" ht="25.5">
      <c r="A1076" s="4">
        <v>1075</v>
      </c>
      <c r="B1076" s="5" t="s">
        <v>759</v>
      </c>
      <c r="C1076" s="6" t="s">
        <v>3231</v>
      </c>
      <c r="D1076" s="5" t="s">
        <v>3232</v>
      </c>
      <c r="E1076" s="5" t="s">
        <v>3233</v>
      </c>
      <c r="F1076" s="4">
        <v>1</v>
      </c>
      <c r="G1076" s="4">
        <v>1</v>
      </c>
    </row>
    <row r="1077" spans="1:7" ht="25.5">
      <c r="A1077" s="9">
        <v>1076</v>
      </c>
      <c r="B1077" s="10" t="s">
        <v>759</v>
      </c>
      <c r="C1077" s="11" t="s">
        <v>3234</v>
      </c>
      <c r="D1077" s="10" t="s">
        <v>3235</v>
      </c>
      <c r="E1077" s="10" t="s">
        <v>3236</v>
      </c>
      <c r="F1077" s="9">
        <v>1</v>
      </c>
      <c r="G1077" s="9">
        <v>1</v>
      </c>
    </row>
    <row r="1078" spans="1:7" ht="25.5">
      <c r="A1078" s="4">
        <v>1077</v>
      </c>
      <c r="B1078" s="5" t="s">
        <v>759</v>
      </c>
      <c r="C1078" s="6" t="s">
        <v>3237</v>
      </c>
      <c r="D1078" s="5" t="s">
        <v>3238</v>
      </c>
      <c r="E1078" s="5" t="s">
        <v>3239</v>
      </c>
      <c r="F1078" s="4">
        <v>1</v>
      </c>
      <c r="G1078" s="4">
        <v>1</v>
      </c>
    </row>
    <row r="1079" spans="1:7" ht="25.5">
      <c r="A1079" s="9">
        <v>1078</v>
      </c>
      <c r="B1079" s="10" t="s">
        <v>759</v>
      </c>
      <c r="C1079" s="11" t="s">
        <v>3240</v>
      </c>
      <c r="D1079" s="10" t="s">
        <v>3241</v>
      </c>
      <c r="E1079" s="10" t="s">
        <v>3242</v>
      </c>
      <c r="F1079" s="9">
        <v>1</v>
      </c>
      <c r="G1079" s="9">
        <v>1</v>
      </c>
    </row>
    <row r="1080" spans="1:7" ht="25.5">
      <c r="A1080" s="4">
        <v>1079</v>
      </c>
      <c r="B1080" s="5" t="s">
        <v>759</v>
      </c>
      <c r="C1080" s="6" t="s">
        <v>3243</v>
      </c>
      <c r="D1080" s="5" t="s">
        <v>3244</v>
      </c>
      <c r="E1080" s="5" t="s">
        <v>3245</v>
      </c>
      <c r="F1080" s="4">
        <v>1</v>
      </c>
      <c r="G1080" s="4">
        <v>1</v>
      </c>
    </row>
    <row r="1081" spans="1:7" ht="25.5">
      <c r="A1081" s="9">
        <v>1080</v>
      </c>
      <c r="B1081" s="10" t="s">
        <v>759</v>
      </c>
      <c r="C1081" s="11" t="s">
        <v>3246</v>
      </c>
      <c r="D1081" s="10" t="s">
        <v>3247</v>
      </c>
      <c r="E1081" s="10" t="s">
        <v>3248</v>
      </c>
      <c r="F1081" s="9">
        <v>1</v>
      </c>
      <c r="G1081" s="9">
        <v>1</v>
      </c>
    </row>
    <row r="1082" spans="1:7" ht="25.5">
      <c r="A1082" s="4">
        <v>1081</v>
      </c>
      <c r="B1082" s="5" t="s">
        <v>759</v>
      </c>
      <c r="C1082" s="6" t="s">
        <v>3249</v>
      </c>
      <c r="D1082" s="5" t="s">
        <v>3250</v>
      </c>
      <c r="E1082" s="5" t="s">
        <v>3251</v>
      </c>
      <c r="F1082" s="4">
        <v>1</v>
      </c>
      <c r="G1082" s="4">
        <v>1</v>
      </c>
    </row>
    <row r="1083" spans="1:7" ht="25.5">
      <c r="A1083" s="9">
        <v>1082</v>
      </c>
      <c r="B1083" s="10" t="s">
        <v>759</v>
      </c>
      <c r="C1083" s="11" t="s">
        <v>3252</v>
      </c>
      <c r="D1083" s="10" t="s">
        <v>3253</v>
      </c>
      <c r="E1083" s="10" t="s">
        <v>3254</v>
      </c>
      <c r="F1083" s="9">
        <v>1</v>
      </c>
      <c r="G1083" s="9">
        <v>1</v>
      </c>
    </row>
    <row r="1084" spans="1:7" ht="25.5">
      <c r="A1084" s="4">
        <v>1083</v>
      </c>
      <c r="B1084" s="5" t="s">
        <v>759</v>
      </c>
      <c r="C1084" s="6" t="s">
        <v>3255</v>
      </c>
      <c r="D1084" s="5" t="s">
        <v>3256</v>
      </c>
      <c r="E1084" s="5" t="s">
        <v>3257</v>
      </c>
      <c r="F1084" s="4">
        <v>1</v>
      </c>
      <c r="G1084" s="4">
        <v>1</v>
      </c>
    </row>
    <row r="1085" spans="1:7" ht="25.5">
      <c r="A1085" s="9">
        <v>1084</v>
      </c>
      <c r="B1085" s="10" t="s">
        <v>759</v>
      </c>
      <c r="C1085" s="11" t="s">
        <v>3258</v>
      </c>
      <c r="D1085" s="10" t="s">
        <v>3259</v>
      </c>
      <c r="E1085" s="10" t="s">
        <v>3260</v>
      </c>
      <c r="F1085" s="9">
        <v>1</v>
      </c>
      <c r="G1085" s="9">
        <v>1</v>
      </c>
    </row>
    <row r="1086" spans="1:7" ht="38.25">
      <c r="A1086" s="4">
        <v>1085</v>
      </c>
      <c r="B1086" s="5" t="s">
        <v>759</v>
      </c>
      <c r="C1086" s="6" t="s">
        <v>3261</v>
      </c>
      <c r="D1086" s="5" t="s">
        <v>3262</v>
      </c>
      <c r="E1086" s="5" t="s">
        <v>3263</v>
      </c>
      <c r="F1086" s="4">
        <v>1</v>
      </c>
      <c r="G1086" s="4">
        <v>1</v>
      </c>
    </row>
    <row r="1087" spans="1:7" ht="25.5">
      <c r="A1087" s="9">
        <v>1086</v>
      </c>
      <c r="B1087" s="10" t="s">
        <v>759</v>
      </c>
      <c r="C1087" s="11" t="s">
        <v>3264</v>
      </c>
      <c r="D1087" s="10" t="s">
        <v>3265</v>
      </c>
      <c r="E1087" s="10" t="s">
        <v>3266</v>
      </c>
      <c r="F1087" s="9">
        <v>1</v>
      </c>
      <c r="G1087" s="9">
        <v>1</v>
      </c>
    </row>
    <row r="1088" spans="1:7" ht="25.5">
      <c r="A1088" s="4">
        <v>1087</v>
      </c>
      <c r="B1088" s="5" t="s">
        <v>759</v>
      </c>
      <c r="C1088" s="6" t="s">
        <v>3267</v>
      </c>
      <c r="D1088" s="5" t="s">
        <v>3268</v>
      </c>
      <c r="E1088" s="5" t="s">
        <v>3269</v>
      </c>
      <c r="F1088" s="4">
        <v>1</v>
      </c>
      <c r="G1088" s="4">
        <v>1</v>
      </c>
    </row>
    <row r="1089" spans="1:7" ht="25.5">
      <c r="A1089" s="9">
        <v>1088</v>
      </c>
      <c r="B1089" s="10" t="s">
        <v>759</v>
      </c>
      <c r="C1089" s="11" t="s">
        <v>3270</v>
      </c>
      <c r="D1089" s="10" t="s">
        <v>3271</v>
      </c>
      <c r="E1089" s="10" t="s">
        <v>3272</v>
      </c>
      <c r="F1089" s="9">
        <v>1</v>
      </c>
      <c r="G1089" s="9">
        <v>1</v>
      </c>
    </row>
    <row r="1090" spans="1:7" ht="25.5">
      <c r="A1090" s="4">
        <v>1089</v>
      </c>
      <c r="B1090" s="5" t="s">
        <v>759</v>
      </c>
      <c r="C1090" s="6" t="s">
        <v>3273</v>
      </c>
      <c r="D1090" s="5" t="s">
        <v>3274</v>
      </c>
      <c r="E1090" s="5" t="s">
        <v>3275</v>
      </c>
      <c r="F1090" s="4">
        <v>1</v>
      </c>
      <c r="G1090" s="4">
        <v>1</v>
      </c>
    </row>
    <row r="1091" spans="1:7" ht="25.5">
      <c r="A1091" s="9">
        <v>1090</v>
      </c>
      <c r="B1091" s="10" t="s">
        <v>759</v>
      </c>
      <c r="C1091" s="11" t="s">
        <v>3276</v>
      </c>
      <c r="D1091" s="10" t="s">
        <v>3277</v>
      </c>
      <c r="E1091" s="10" t="s">
        <v>3278</v>
      </c>
      <c r="F1091" s="9">
        <v>1</v>
      </c>
      <c r="G1091" s="9">
        <v>1</v>
      </c>
    </row>
    <row r="1092" spans="1:7" ht="25.5">
      <c r="A1092" s="4">
        <v>1091</v>
      </c>
      <c r="B1092" s="5" t="s">
        <v>759</v>
      </c>
      <c r="C1092" s="6" t="s">
        <v>3279</v>
      </c>
      <c r="D1092" s="5" t="s">
        <v>3280</v>
      </c>
      <c r="E1092" s="5" t="s">
        <v>3281</v>
      </c>
      <c r="F1092" s="4">
        <v>1</v>
      </c>
      <c r="G1092" s="4">
        <v>1</v>
      </c>
    </row>
    <row r="1093" spans="1:7" ht="25.5">
      <c r="A1093" s="9">
        <v>1092</v>
      </c>
      <c r="B1093" s="10" t="s">
        <v>759</v>
      </c>
      <c r="C1093" s="11" t="s">
        <v>3282</v>
      </c>
      <c r="D1093" s="10" t="s">
        <v>3283</v>
      </c>
      <c r="E1093" s="10" t="s">
        <v>3284</v>
      </c>
      <c r="F1093" s="9">
        <v>1</v>
      </c>
      <c r="G1093" s="9">
        <v>1</v>
      </c>
    </row>
    <row r="1094" spans="1:7" ht="25.5">
      <c r="A1094" s="4">
        <v>1093</v>
      </c>
      <c r="B1094" s="5" t="s">
        <v>759</v>
      </c>
      <c r="C1094" s="6" t="s">
        <v>3285</v>
      </c>
      <c r="D1094" s="5" t="s">
        <v>3286</v>
      </c>
      <c r="E1094" s="5" t="s">
        <v>3287</v>
      </c>
      <c r="F1094" s="4">
        <v>1</v>
      </c>
      <c r="G1094" s="4">
        <v>1</v>
      </c>
    </row>
    <row r="1095" spans="1:7" ht="25.5">
      <c r="A1095" s="9">
        <v>1094</v>
      </c>
      <c r="B1095" s="10" t="s">
        <v>759</v>
      </c>
      <c r="C1095" s="11" t="s">
        <v>3288</v>
      </c>
      <c r="D1095" s="10" t="s">
        <v>3289</v>
      </c>
      <c r="E1095" s="10" t="s">
        <v>3290</v>
      </c>
      <c r="F1095" s="9">
        <v>1</v>
      </c>
      <c r="G1095" s="9">
        <v>1</v>
      </c>
    </row>
    <row r="1096" spans="1:7" ht="25.5">
      <c r="A1096" s="4">
        <v>1095</v>
      </c>
      <c r="B1096" s="5" t="s">
        <v>759</v>
      </c>
      <c r="C1096" s="6" t="s">
        <v>3291</v>
      </c>
      <c r="D1096" s="5" t="s">
        <v>3292</v>
      </c>
      <c r="E1096" s="5" t="s">
        <v>3293</v>
      </c>
      <c r="F1096" s="4">
        <v>1</v>
      </c>
      <c r="G1096" s="4">
        <v>1</v>
      </c>
    </row>
    <row r="1097" spans="1:7" ht="25.5">
      <c r="A1097" s="9">
        <v>1096</v>
      </c>
      <c r="B1097" s="10" t="s">
        <v>759</v>
      </c>
      <c r="C1097" s="11" t="s">
        <v>3294</v>
      </c>
      <c r="D1097" s="10" t="s">
        <v>3295</v>
      </c>
      <c r="E1097" s="10" t="s">
        <v>3296</v>
      </c>
      <c r="F1097" s="9">
        <v>1</v>
      </c>
      <c r="G1097" s="9">
        <v>1</v>
      </c>
    </row>
    <row r="1098" spans="1:7" ht="25.5">
      <c r="A1098" s="4">
        <v>1097</v>
      </c>
      <c r="B1098" s="5" t="s">
        <v>759</v>
      </c>
      <c r="C1098" s="6" t="s">
        <v>3297</v>
      </c>
      <c r="D1098" s="5" t="s">
        <v>3298</v>
      </c>
      <c r="E1098" s="5" t="s">
        <v>3299</v>
      </c>
      <c r="F1098" s="4">
        <v>1</v>
      </c>
      <c r="G1098" s="4">
        <v>1</v>
      </c>
    </row>
    <row r="1099" spans="1:7" ht="25.5">
      <c r="A1099" s="9">
        <v>1098</v>
      </c>
      <c r="B1099" s="10" t="s">
        <v>759</v>
      </c>
      <c r="C1099" s="11" t="s">
        <v>3300</v>
      </c>
      <c r="D1099" s="10" t="s">
        <v>2827</v>
      </c>
      <c r="E1099" s="10" t="s">
        <v>3301</v>
      </c>
      <c r="F1099" s="9">
        <v>1</v>
      </c>
      <c r="G1099" s="9">
        <v>1</v>
      </c>
    </row>
    <row r="1100" spans="1:7" ht="25.5">
      <c r="A1100" s="4">
        <v>1099</v>
      </c>
      <c r="B1100" s="5" t="s">
        <v>759</v>
      </c>
      <c r="C1100" s="6" t="s">
        <v>3302</v>
      </c>
      <c r="D1100" s="5" t="s">
        <v>3303</v>
      </c>
      <c r="E1100" s="5" t="s">
        <v>3304</v>
      </c>
      <c r="F1100" s="4">
        <v>1</v>
      </c>
      <c r="G1100" s="4">
        <v>1</v>
      </c>
    </row>
    <row r="1101" spans="1:7" ht="25.5">
      <c r="A1101" s="9">
        <v>1100</v>
      </c>
      <c r="B1101" s="10" t="s">
        <v>759</v>
      </c>
      <c r="C1101" s="11" t="s">
        <v>3305</v>
      </c>
      <c r="D1101" s="10" t="s">
        <v>3306</v>
      </c>
      <c r="E1101" s="10" t="s">
        <v>3307</v>
      </c>
      <c r="F1101" s="9">
        <v>1</v>
      </c>
      <c r="G1101" s="9">
        <v>1</v>
      </c>
    </row>
    <row r="1102" spans="1:7" ht="25.5">
      <c r="A1102" s="4">
        <v>1101</v>
      </c>
      <c r="B1102" s="5" t="s">
        <v>759</v>
      </c>
      <c r="C1102" s="6" t="s">
        <v>3308</v>
      </c>
      <c r="D1102" s="5" t="s">
        <v>3309</v>
      </c>
      <c r="E1102" s="5" t="s">
        <v>3310</v>
      </c>
      <c r="F1102" s="4">
        <v>1</v>
      </c>
      <c r="G1102" s="4">
        <v>1</v>
      </c>
    </row>
    <row r="1103" spans="1:7" ht="25.5">
      <c r="A1103" s="9">
        <v>1102</v>
      </c>
      <c r="B1103" s="10" t="s">
        <v>759</v>
      </c>
      <c r="C1103" s="11" t="s">
        <v>3311</v>
      </c>
      <c r="D1103" s="10" t="s">
        <v>3312</v>
      </c>
      <c r="E1103" s="10" t="s">
        <v>3313</v>
      </c>
      <c r="F1103" s="9">
        <v>1</v>
      </c>
      <c r="G1103" s="9">
        <v>1</v>
      </c>
    </row>
    <row r="1104" spans="1:7" ht="25.5">
      <c r="A1104" s="4">
        <v>1103</v>
      </c>
      <c r="B1104" s="5" t="s">
        <v>759</v>
      </c>
      <c r="C1104" s="6" t="s">
        <v>3314</v>
      </c>
      <c r="D1104" s="5" t="s">
        <v>3315</v>
      </c>
      <c r="E1104" s="5" t="s">
        <v>3316</v>
      </c>
      <c r="F1104" s="4">
        <v>1</v>
      </c>
      <c r="G1104" s="4">
        <v>1</v>
      </c>
    </row>
    <row r="1105" spans="1:7" ht="25.5">
      <c r="A1105" s="9">
        <v>1104</v>
      </c>
      <c r="B1105" s="10" t="s">
        <v>759</v>
      </c>
      <c r="C1105" s="11" t="s">
        <v>3317</v>
      </c>
      <c r="D1105" s="10" t="s">
        <v>3318</v>
      </c>
      <c r="E1105" s="10" t="s">
        <v>3319</v>
      </c>
      <c r="F1105" s="9">
        <v>1</v>
      </c>
      <c r="G1105" s="9">
        <v>1</v>
      </c>
    </row>
    <row r="1106" spans="1:7" ht="25.5">
      <c r="A1106" s="4">
        <v>1105</v>
      </c>
      <c r="B1106" s="5" t="s">
        <v>759</v>
      </c>
      <c r="C1106" s="6" t="s">
        <v>3320</v>
      </c>
      <c r="D1106" s="5" t="s">
        <v>3321</v>
      </c>
      <c r="E1106" s="5" t="s">
        <v>3322</v>
      </c>
      <c r="F1106" s="4">
        <v>1</v>
      </c>
      <c r="G1106" s="4">
        <v>1</v>
      </c>
    </row>
    <row r="1107" spans="1:7" ht="25.5">
      <c r="A1107" s="9">
        <v>1106</v>
      </c>
      <c r="B1107" s="10" t="s">
        <v>759</v>
      </c>
      <c r="C1107" s="11" t="s">
        <v>3323</v>
      </c>
      <c r="D1107" s="10" t="s">
        <v>3324</v>
      </c>
      <c r="E1107" s="10" t="s">
        <v>3325</v>
      </c>
      <c r="F1107" s="9">
        <v>1</v>
      </c>
      <c r="G1107" s="9">
        <v>1</v>
      </c>
    </row>
    <row r="1108" spans="1:7" ht="25.5">
      <c r="A1108" s="4">
        <v>1107</v>
      </c>
      <c r="B1108" s="5" t="s">
        <v>759</v>
      </c>
      <c r="C1108" s="6" t="s">
        <v>3326</v>
      </c>
      <c r="D1108" s="5" t="s">
        <v>3327</v>
      </c>
      <c r="E1108" s="5" t="s">
        <v>3328</v>
      </c>
      <c r="F1108" s="4">
        <v>1</v>
      </c>
      <c r="G1108" s="4">
        <v>1</v>
      </c>
    </row>
    <row r="1109" spans="1:7" ht="25.5">
      <c r="A1109" s="9">
        <v>1108</v>
      </c>
      <c r="B1109" s="10" t="s">
        <v>759</v>
      </c>
      <c r="C1109" s="11" t="s">
        <v>3329</v>
      </c>
      <c r="D1109" s="10" t="s">
        <v>3330</v>
      </c>
      <c r="E1109" s="10" t="s">
        <v>3331</v>
      </c>
      <c r="F1109" s="9">
        <v>1</v>
      </c>
      <c r="G1109" s="9">
        <v>1</v>
      </c>
    </row>
    <row r="1110" spans="1:7" ht="25.5">
      <c r="A1110" s="4">
        <v>1109</v>
      </c>
      <c r="B1110" s="5" t="s">
        <v>759</v>
      </c>
      <c r="C1110" s="6" t="s">
        <v>3332</v>
      </c>
      <c r="D1110" s="5" t="s">
        <v>3333</v>
      </c>
      <c r="E1110" s="5" t="s">
        <v>3334</v>
      </c>
      <c r="F1110" s="4">
        <v>1</v>
      </c>
      <c r="G1110" s="4">
        <v>1</v>
      </c>
    </row>
    <row r="1111" spans="1:7" ht="25.5">
      <c r="A1111" s="9">
        <v>1110</v>
      </c>
      <c r="B1111" s="10" t="s">
        <v>759</v>
      </c>
      <c r="C1111" s="11" t="s">
        <v>3335</v>
      </c>
      <c r="D1111" s="10" t="s">
        <v>3336</v>
      </c>
      <c r="E1111" s="10" t="s">
        <v>3337</v>
      </c>
      <c r="F1111" s="9">
        <v>1</v>
      </c>
      <c r="G1111" s="9">
        <v>1</v>
      </c>
    </row>
    <row r="1112" spans="1:7" ht="25.5">
      <c r="A1112" s="4">
        <v>1111</v>
      </c>
      <c r="B1112" s="5" t="s">
        <v>759</v>
      </c>
      <c r="C1112" s="6" t="s">
        <v>3338</v>
      </c>
      <c r="D1112" s="5" t="s">
        <v>3339</v>
      </c>
      <c r="E1112" s="5" t="s">
        <v>3340</v>
      </c>
      <c r="F1112" s="4">
        <v>1</v>
      </c>
      <c r="G1112" s="4">
        <v>1</v>
      </c>
    </row>
    <row r="1113" spans="1:7" ht="25.5">
      <c r="A1113" s="9">
        <v>1112</v>
      </c>
      <c r="B1113" s="10" t="s">
        <v>759</v>
      </c>
      <c r="C1113" s="11" t="s">
        <v>3341</v>
      </c>
      <c r="D1113" s="10" t="s">
        <v>3342</v>
      </c>
      <c r="E1113" s="10" t="s">
        <v>3343</v>
      </c>
      <c r="F1113" s="9">
        <v>1</v>
      </c>
      <c r="G1113" s="9">
        <v>1</v>
      </c>
    </row>
    <row r="1114" spans="1:7" ht="25.5">
      <c r="A1114" s="4">
        <v>1113</v>
      </c>
      <c r="B1114" s="5" t="s">
        <v>759</v>
      </c>
      <c r="C1114" s="6" t="s">
        <v>3344</v>
      </c>
      <c r="D1114" s="5" t="s">
        <v>3345</v>
      </c>
      <c r="E1114" s="5" t="s">
        <v>3346</v>
      </c>
      <c r="F1114" s="4">
        <v>1</v>
      </c>
      <c r="G1114" s="4">
        <v>1</v>
      </c>
    </row>
    <row r="1115" spans="1:7" ht="38.25">
      <c r="A1115" s="9">
        <v>1114</v>
      </c>
      <c r="B1115" s="10" t="s">
        <v>759</v>
      </c>
      <c r="C1115" s="11" t="s">
        <v>3347</v>
      </c>
      <c r="D1115" s="10" t="s">
        <v>3348</v>
      </c>
      <c r="E1115" s="10" t="s">
        <v>3349</v>
      </c>
      <c r="F1115" s="9">
        <v>1</v>
      </c>
      <c r="G1115" s="9">
        <v>1</v>
      </c>
    </row>
    <row r="1116" spans="1:7" ht="25.5">
      <c r="A1116" s="4">
        <v>1115</v>
      </c>
      <c r="B1116" s="5" t="s">
        <v>759</v>
      </c>
      <c r="C1116" s="6" t="s">
        <v>3350</v>
      </c>
      <c r="D1116" s="5" t="s">
        <v>3351</v>
      </c>
      <c r="E1116" s="5" t="s">
        <v>3352</v>
      </c>
      <c r="F1116" s="4">
        <v>1</v>
      </c>
      <c r="G1116" s="4">
        <v>1</v>
      </c>
    </row>
    <row r="1117" spans="1:7" ht="25.5">
      <c r="A1117" s="9">
        <v>1116</v>
      </c>
      <c r="B1117" s="10" t="s">
        <v>759</v>
      </c>
      <c r="C1117" s="11" t="s">
        <v>3353</v>
      </c>
      <c r="D1117" s="10" t="s">
        <v>3354</v>
      </c>
      <c r="E1117" s="10" t="s">
        <v>3355</v>
      </c>
      <c r="F1117" s="9">
        <v>1</v>
      </c>
      <c r="G1117" s="9">
        <v>1</v>
      </c>
    </row>
    <row r="1118" spans="1:7" ht="25.5">
      <c r="A1118" s="4">
        <v>1117</v>
      </c>
      <c r="B1118" s="5" t="s">
        <v>759</v>
      </c>
      <c r="C1118" s="6" t="s">
        <v>3356</v>
      </c>
      <c r="D1118" s="5" t="s">
        <v>3357</v>
      </c>
      <c r="E1118" s="5" t="s">
        <v>3358</v>
      </c>
      <c r="F1118" s="4">
        <v>1</v>
      </c>
      <c r="G1118" s="4">
        <v>1</v>
      </c>
    </row>
    <row r="1119" spans="1:7" ht="25.5">
      <c r="A1119" s="9">
        <v>1118</v>
      </c>
      <c r="B1119" s="10" t="s">
        <v>759</v>
      </c>
      <c r="C1119" s="11" t="s">
        <v>3359</v>
      </c>
      <c r="D1119" s="10" t="s">
        <v>3360</v>
      </c>
      <c r="E1119" s="10" t="s">
        <v>3361</v>
      </c>
      <c r="F1119" s="9">
        <v>1</v>
      </c>
      <c r="G1119" s="9">
        <v>1</v>
      </c>
    </row>
    <row r="1120" spans="1:7" ht="25.5">
      <c r="A1120" s="4">
        <v>1119</v>
      </c>
      <c r="B1120" s="5" t="s">
        <v>759</v>
      </c>
      <c r="C1120" s="6" t="s">
        <v>3362</v>
      </c>
      <c r="D1120" s="5" t="s">
        <v>3363</v>
      </c>
      <c r="E1120" s="5" t="s">
        <v>3364</v>
      </c>
      <c r="F1120" s="4">
        <v>1</v>
      </c>
      <c r="G1120" s="4">
        <v>1</v>
      </c>
    </row>
    <row r="1121" spans="1:7" ht="25.5">
      <c r="A1121" s="9">
        <v>1120</v>
      </c>
      <c r="B1121" s="10" t="s">
        <v>759</v>
      </c>
      <c r="C1121" s="11" t="s">
        <v>3365</v>
      </c>
      <c r="D1121" s="10" t="s">
        <v>3366</v>
      </c>
      <c r="E1121" s="10" t="s">
        <v>3367</v>
      </c>
      <c r="F1121" s="9">
        <v>1</v>
      </c>
      <c r="G1121" s="9">
        <v>1</v>
      </c>
    </row>
    <row r="1122" spans="1:7" ht="25.5">
      <c r="A1122" s="4">
        <v>1121</v>
      </c>
      <c r="B1122" s="5" t="s">
        <v>759</v>
      </c>
      <c r="C1122" s="6" t="s">
        <v>3368</v>
      </c>
      <c r="D1122" s="5" t="s">
        <v>3369</v>
      </c>
      <c r="E1122" s="5" t="s">
        <v>3370</v>
      </c>
      <c r="F1122" s="4">
        <v>1</v>
      </c>
      <c r="G1122" s="4">
        <v>1</v>
      </c>
    </row>
    <row r="1123" spans="1:7" ht="25.5">
      <c r="A1123" s="9">
        <v>1122</v>
      </c>
      <c r="B1123" s="10" t="s">
        <v>759</v>
      </c>
      <c r="C1123" s="11" t="s">
        <v>3371</v>
      </c>
      <c r="D1123" s="10" t="s">
        <v>3372</v>
      </c>
      <c r="E1123" s="10" t="s">
        <v>3373</v>
      </c>
      <c r="F1123" s="9">
        <v>1</v>
      </c>
      <c r="G1123" s="9">
        <v>1</v>
      </c>
    </row>
    <row r="1124" spans="1:7" ht="25.5">
      <c r="A1124" s="4">
        <v>1123</v>
      </c>
      <c r="B1124" s="5" t="s">
        <v>759</v>
      </c>
      <c r="C1124" s="6" t="s">
        <v>3374</v>
      </c>
      <c r="D1124" s="5" t="s">
        <v>3375</v>
      </c>
      <c r="E1124" s="5" t="s">
        <v>3376</v>
      </c>
      <c r="F1124" s="4">
        <v>1</v>
      </c>
      <c r="G1124" s="4">
        <v>1</v>
      </c>
    </row>
    <row r="1125" spans="1:7" ht="25.5">
      <c r="A1125" s="9">
        <v>1124</v>
      </c>
      <c r="B1125" s="10" t="s">
        <v>759</v>
      </c>
      <c r="C1125" s="11" t="s">
        <v>3377</v>
      </c>
      <c r="D1125" s="10" t="s">
        <v>3378</v>
      </c>
      <c r="E1125" s="10" t="s">
        <v>3379</v>
      </c>
      <c r="F1125" s="9">
        <v>1</v>
      </c>
      <c r="G1125" s="9">
        <v>1</v>
      </c>
    </row>
    <row r="1126" spans="1:7" ht="25.5">
      <c r="A1126" s="4">
        <v>1125</v>
      </c>
      <c r="B1126" s="5" t="s">
        <v>759</v>
      </c>
      <c r="C1126" s="6" t="s">
        <v>3380</v>
      </c>
      <c r="D1126" s="5" t="s">
        <v>3381</v>
      </c>
      <c r="E1126" s="5" t="s">
        <v>3382</v>
      </c>
      <c r="F1126" s="4">
        <v>1</v>
      </c>
      <c r="G1126" s="4">
        <v>1</v>
      </c>
    </row>
    <row r="1127" spans="1:7" ht="25.5">
      <c r="A1127" s="9">
        <v>1126</v>
      </c>
      <c r="B1127" s="10" t="s">
        <v>759</v>
      </c>
      <c r="C1127" s="11" t="s">
        <v>3383</v>
      </c>
      <c r="D1127" s="10" t="s">
        <v>3384</v>
      </c>
      <c r="E1127" s="10" t="s">
        <v>3385</v>
      </c>
      <c r="F1127" s="9">
        <v>1</v>
      </c>
      <c r="G1127" s="9">
        <v>1</v>
      </c>
    </row>
    <row r="1128" spans="1:7" ht="25.5">
      <c r="A1128" s="4">
        <v>1127</v>
      </c>
      <c r="B1128" s="5" t="s">
        <v>759</v>
      </c>
      <c r="C1128" s="6" t="s">
        <v>3386</v>
      </c>
      <c r="D1128" s="5" t="s">
        <v>3387</v>
      </c>
      <c r="E1128" s="5" t="s">
        <v>3388</v>
      </c>
      <c r="F1128" s="4">
        <v>1</v>
      </c>
      <c r="G1128" s="4">
        <v>1</v>
      </c>
    </row>
    <row r="1129" spans="1:7" ht="25.5">
      <c r="A1129" s="9">
        <v>1128</v>
      </c>
      <c r="B1129" s="10" t="s">
        <v>759</v>
      </c>
      <c r="C1129" s="11" t="s">
        <v>3389</v>
      </c>
      <c r="D1129" s="10" t="s">
        <v>3390</v>
      </c>
      <c r="E1129" s="10" t="s">
        <v>3391</v>
      </c>
      <c r="F1129" s="9">
        <v>1</v>
      </c>
      <c r="G1129" s="9">
        <v>1</v>
      </c>
    </row>
    <row r="1130" spans="1:7" ht="25.5">
      <c r="A1130" s="4">
        <v>1129</v>
      </c>
      <c r="B1130" s="5" t="s">
        <v>759</v>
      </c>
      <c r="C1130" s="6" t="s">
        <v>3392</v>
      </c>
      <c r="D1130" s="5" t="s">
        <v>3393</v>
      </c>
      <c r="E1130" s="5" t="s">
        <v>3394</v>
      </c>
      <c r="F1130" s="4">
        <v>1</v>
      </c>
      <c r="G1130" s="4">
        <v>1</v>
      </c>
    </row>
    <row r="1131" spans="1:7" ht="25.5">
      <c r="A1131" s="9">
        <v>1130</v>
      </c>
      <c r="B1131" s="10" t="s">
        <v>759</v>
      </c>
      <c r="C1131" s="11" t="s">
        <v>3395</v>
      </c>
      <c r="D1131" s="10" t="s">
        <v>3396</v>
      </c>
      <c r="E1131" s="10" t="s">
        <v>3397</v>
      </c>
      <c r="F1131" s="9">
        <v>1</v>
      </c>
      <c r="G1131" s="9">
        <v>1</v>
      </c>
    </row>
    <row r="1132" spans="1:7" ht="25.5">
      <c r="A1132" s="4">
        <v>1131</v>
      </c>
      <c r="B1132" s="5" t="s">
        <v>759</v>
      </c>
      <c r="C1132" s="6" t="s">
        <v>3398</v>
      </c>
      <c r="D1132" s="5" t="s">
        <v>3399</v>
      </c>
      <c r="E1132" s="5" t="s">
        <v>3400</v>
      </c>
      <c r="F1132" s="4">
        <v>1</v>
      </c>
      <c r="G1132" s="4">
        <v>1</v>
      </c>
    </row>
    <row r="1133" spans="1:7" ht="25.5">
      <c r="A1133" s="9">
        <v>1132</v>
      </c>
      <c r="B1133" s="10" t="s">
        <v>759</v>
      </c>
      <c r="C1133" s="11" t="s">
        <v>3401</v>
      </c>
      <c r="D1133" s="10" t="s">
        <v>3402</v>
      </c>
      <c r="E1133" s="10" t="s">
        <v>3403</v>
      </c>
      <c r="F1133" s="9">
        <v>1</v>
      </c>
      <c r="G1133" s="9">
        <v>1</v>
      </c>
    </row>
    <row r="1134" spans="1:7" ht="25.5">
      <c r="A1134" s="4">
        <v>1133</v>
      </c>
      <c r="B1134" s="5" t="s">
        <v>759</v>
      </c>
      <c r="C1134" s="6" t="s">
        <v>3404</v>
      </c>
      <c r="D1134" s="5" t="s">
        <v>3405</v>
      </c>
      <c r="E1134" s="5" t="s">
        <v>3406</v>
      </c>
      <c r="F1134" s="4">
        <v>1</v>
      </c>
      <c r="G1134" s="4">
        <v>1</v>
      </c>
    </row>
    <row r="1135" spans="1:7" ht="25.5">
      <c r="A1135" s="9">
        <v>1134</v>
      </c>
      <c r="B1135" s="10" t="s">
        <v>759</v>
      </c>
      <c r="C1135" s="11" t="s">
        <v>3407</v>
      </c>
      <c r="D1135" s="10" t="s">
        <v>3408</v>
      </c>
      <c r="E1135" s="10" t="s">
        <v>3409</v>
      </c>
      <c r="F1135" s="9">
        <v>1</v>
      </c>
      <c r="G1135" s="9">
        <v>1</v>
      </c>
    </row>
    <row r="1136" spans="1:7" ht="25.5">
      <c r="A1136" s="4">
        <v>1135</v>
      </c>
      <c r="B1136" s="5" t="s">
        <v>759</v>
      </c>
      <c r="C1136" s="6" t="s">
        <v>3410</v>
      </c>
      <c r="D1136" s="5" t="s">
        <v>3411</v>
      </c>
      <c r="E1136" s="5" t="s">
        <v>3412</v>
      </c>
      <c r="F1136" s="4">
        <v>1</v>
      </c>
      <c r="G1136" s="4">
        <v>1</v>
      </c>
    </row>
    <row r="1137" spans="1:7" ht="25.5">
      <c r="A1137" s="9">
        <v>1136</v>
      </c>
      <c r="B1137" s="10" t="s">
        <v>759</v>
      </c>
      <c r="C1137" s="11" t="s">
        <v>3413</v>
      </c>
      <c r="D1137" s="10" t="s">
        <v>3414</v>
      </c>
      <c r="E1137" s="10" t="s">
        <v>3415</v>
      </c>
      <c r="F1137" s="9">
        <v>1</v>
      </c>
      <c r="G1137" s="9">
        <v>1</v>
      </c>
    </row>
    <row r="1138" spans="1:7" ht="25.5">
      <c r="A1138" s="4">
        <v>1137</v>
      </c>
      <c r="B1138" s="5" t="s">
        <v>759</v>
      </c>
      <c r="C1138" s="6" t="s">
        <v>3416</v>
      </c>
      <c r="D1138" s="5" t="s">
        <v>3417</v>
      </c>
      <c r="E1138" s="5" t="s">
        <v>3418</v>
      </c>
      <c r="F1138" s="4">
        <v>1</v>
      </c>
      <c r="G1138" s="4">
        <v>1</v>
      </c>
    </row>
    <row r="1139" spans="1:7" ht="25.5">
      <c r="A1139" s="9">
        <v>1138</v>
      </c>
      <c r="B1139" s="10" t="s">
        <v>759</v>
      </c>
      <c r="C1139" s="11" t="s">
        <v>3419</v>
      </c>
      <c r="D1139" s="10" t="s">
        <v>3420</v>
      </c>
      <c r="E1139" s="10" t="s">
        <v>3421</v>
      </c>
      <c r="F1139" s="9">
        <v>1</v>
      </c>
      <c r="G1139" s="9">
        <v>1</v>
      </c>
    </row>
    <row r="1140" spans="1:7" ht="25.5">
      <c r="A1140" s="4">
        <v>1139</v>
      </c>
      <c r="B1140" s="5" t="s">
        <v>759</v>
      </c>
      <c r="C1140" s="6" t="s">
        <v>3422</v>
      </c>
      <c r="D1140" s="5" t="s">
        <v>3423</v>
      </c>
      <c r="E1140" s="5" t="s">
        <v>3424</v>
      </c>
      <c r="F1140" s="4">
        <v>1</v>
      </c>
      <c r="G1140" s="4">
        <v>1</v>
      </c>
    </row>
    <row r="1141" spans="1:7" ht="25.5">
      <c r="A1141" s="9">
        <v>1140</v>
      </c>
      <c r="B1141" s="10" t="s">
        <v>759</v>
      </c>
      <c r="C1141" s="11" t="s">
        <v>3425</v>
      </c>
      <c r="D1141" s="10" t="s">
        <v>3426</v>
      </c>
      <c r="E1141" s="10" t="s">
        <v>3427</v>
      </c>
      <c r="F1141" s="9">
        <v>1</v>
      </c>
      <c r="G1141" s="9">
        <v>1</v>
      </c>
    </row>
    <row r="1142" spans="1:7" ht="25.5">
      <c r="A1142" s="4">
        <v>1141</v>
      </c>
      <c r="B1142" s="5" t="s">
        <v>759</v>
      </c>
      <c r="C1142" s="6" t="s">
        <v>3428</v>
      </c>
      <c r="D1142" s="5" t="s">
        <v>3429</v>
      </c>
      <c r="E1142" s="5" t="s">
        <v>3430</v>
      </c>
      <c r="F1142" s="4">
        <v>1</v>
      </c>
      <c r="G1142" s="4">
        <v>1</v>
      </c>
    </row>
    <row r="1143" spans="1:7" ht="25.5">
      <c r="A1143" s="9">
        <v>1142</v>
      </c>
      <c r="B1143" s="10" t="s">
        <v>759</v>
      </c>
      <c r="C1143" s="11" t="s">
        <v>3431</v>
      </c>
      <c r="D1143" s="10" t="s">
        <v>3432</v>
      </c>
      <c r="E1143" s="10" t="s">
        <v>3433</v>
      </c>
      <c r="F1143" s="9">
        <v>1</v>
      </c>
      <c r="G1143" s="9">
        <v>1</v>
      </c>
    </row>
    <row r="1144" spans="1:7" ht="25.5">
      <c r="A1144" s="4">
        <v>1143</v>
      </c>
      <c r="B1144" s="5" t="s">
        <v>759</v>
      </c>
      <c r="C1144" s="6" t="s">
        <v>3434</v>
      </c>
      <c r="D1144" s="5" t="s">
        <v>3435</v>
      </c>
      <c r="E1144" s="5" t="s">
        <v>3436</v>
      </c>
      <c r="F1144" s="4">
        <v>1</v>
      </c>
      <c r="G1144" s="4">
        <v>1</v>
      </c>
    </row>
    <row r="1145" spans="1:7" ht="25.5">
      <c r="A1145" s="9">
        <v>1144</v>
      </c>
      <c r="B1145" s="10" t="s">
        <v>759</v>
      </c>
      <c r="C1145" s="11" t="s">
        <v>3437</v>
      </c>
      <c r="D1145" s="10" t="s">
        <v>3438</v>
      </c>
      <c r="E1145" s="10" t="s">
        <v>3439</v>
      </c>
      <c r="F1145" s="9">
        <v>1</v>
      </c>
      <c r="G1145" s="9">
        <v>1</v>
      </c>
    </row>
    <row r="1146" spans="1:7" ht="25.5">
      <c r="A1146" s="4">
        <v>1145</v>
      </c>
      <c r="B1146" s="5" t="s">
        <v>759</v>
      </c>
      <c r="C1146" s="6" t="s">
        <v>3440</v>
      </c>
      <c r="D1146" s="5" t="s">
        <v>3441</v>
      </c>
      <c r="E1146" s="5" t="s">
        <v>3442</v>
      </c>
      <c r="F1146" s="4">
        <v>1</v>
      </c>
      <c r="G1146" s="4">
        <v>1</v>
      </c>
    </row>
    <row r="1147" spans="1:7" ht="25.5">
      <c r="A1147" s="9">
        <v>1146</v>
      </c>
      <c r="B1147" s="10" t="s">
        <v>759</v>
      </c>
      <c r="C1147" s="11" t="s">
        <v>3443</v>
      </c>
      <c r="D1147" s="10" t="s">
        <v>3444</v>
      </c>
      <c r="E1147" s="10" t="s">
        <v>3445</v>
      </c>
      <c r="F1147" s="9">
        <v>1</v>
      </c>
      <c r="G1147" s="9">
        <v>1</v>
      </c>
    </row>
    <row r="1148" spans="1:7" ht="25.5">
      <c r="A1148" s="4">
        <v>1147</v>
      </c>
      <c r="B1148" s="5" t="s">
        <v>759</v>
      </c>
      <c r="C1148" s="6" t="s">
        <v>3446</v>
      </c>
      <c r="D1148" s="5" t="s">
        <v>3447</v>
      </c>
      <c r="E1148" s="5" t="s">
        <v>3448</v>
      </c>
      <c r="F1148" s="4">
        <v>1</v>
      </c>
      <c r="G1148" s="4">
        <v>1</v>
      </c>
    </row>
    <row r="1149" spans="1:7" ht="25.5">
      <c r="A1149" s="9">
        <v>1148</v>
      </c>
      <c r="B1149" s="10" t="s">
        <v>759</v>
      </c>
      <c r="C1149" s="11" t="s">
        <v>3449</v>
      </c>
      <c r="D1149" s="10" t="s">
        <v>3450</v>
      </c>
      <c r="E1149" s="10" t="s">
        <v>3451</v>
      </c>
      <c r="F1149" s="9">
        <v>1</v>
      </c>
      <c r="G1149" s="9">
        <v>1</v>
      </c>
    </row>
    <row r="1150" spans="1:7" ht="25.5">
      <c r="A1150" s="4">
        <v>1149</v>
      </c>
      <c r="B1150" s="5" t="s">
        <v>759</v>
      </c>
      <c r="C1150" s="6" t="s">
        <v>3452</v>
      </c>
      <c r="D1150" s="5" t="s">
        <v>3453</v>
      </c>
      <c r="E1150" s="5" t="s">
        <v>3454</v>
      </c>
      <c r="F1150" s="4">
        <v>1</v>
      </c>
      <c r="G1150" s="4">
        <v>1</v>
      </c>
    </row>
    <row r="1151" spans="1:7" ht="38.25">
      <c r="A1151" s="9">
        <v>1150</v>
      </c>
      <c r="B1151" s="10" t="s">
        <v>759</v>
      </c>
      <c r="C1151" s="11" t="s">
        <v>3455</v>
      </c>
      <c r="D1151" s="12" t="s">
        <v>3456</v>
      </c>
      <c r="E1151" s="12" t="s">
        <v>3457</v>
      </c>
      <c r="F1151" s="9">
        <v>1</v>
      </c>
      <c r="G1151" s="9">
        <v>1</v>
      </c>
    </row>
    <row r="1152" spans="1:7" ht="25.5">
      <c r="A1152" s="4">
        <v>1151</v>
      </c>
      <c r="B1152" s="5" t="s">
        <v>759</v>
      </c>
      <c r="C1152" s="6" t="s">
        <v>3458</v>
      </c>
      <c r="D1152" s="5" t="s">
        <v>3459</v>
      </c>
      <c r="E1152" s="5" t="s">
        <v>3460</v>
      </c>
      <c r="F1152" s="4">
        <v>1</v>
      </c>
      <c r="G1152" s="4">
        <v>1</v>
      </c>
    </row>
    <row r="1153" spans="1:7" ht="25.5">
      <c r="A1153" s="9">
        <v>1152</v>
      </c>
      <c r="B1153" s="10" t="s">
        <v>759</v>
      </c>
      <c r="C1153" s="11" t="s">
        <v>3461</v>
      </c>
      <c r="D1153" s="10" t="s">
        <v>3462</v>
      </c>
      <c r="E1153" s="10" t="s">
        <v>3463</v>
      </c>
      <c r="F1153" s="9">
        <v>1</v>
      </c>
      <c r="G1153" s="9">
        <v>1</v>
      </c>
    </row>
    <row r="1154" spans="1:7" ht="25.5">
      <c r="A1154" s="4">
        <v>1153</v>
      </c>
      <c r="B1154" s="5" t="s">
        <v>759</v>
      </c>
      <c r="C1154" s="6" t="s">
        <v>3464</v>
      </c>
      <c r="D1154" s="5" t="s">
        <v>3465</v>
      </c>
      <c r="E1154" s="5" t="s">
        <v>3466</v>
      </c>
      <c r="F1154" s="4">
        <v>1</v>
      </c>
      <c r="G1154" s="4">
        <v>1</v>
      </c>
    </row>
    <row r="1155" spans="1:7" ht="38.25">
      <c r="A1155" s="9">
        <v>1154</v>
      </c>
      <c r="B1155" s="10" t="s">
        <v>759</v>
      </c>
      <c r="C1155" s="11" t="s">
        <v>3467</v>
      </c>
      <c r="D1155" s="10" t="s">
        <v>3468</v>
      </c>
      <c r="E1155" s="10" t="s">
        <v>3469</v>
      </c>
      <c r="F1155" s="9">
        <v>1</v>
      </c>
      <c r="G1155" s="9">
        <v>1</v>
      </c>
    </row>
    <row r="1156" spans="1:7" ht="25.5">
      <c r="A1156" s="4">
        <v>1155</v>
      </c>
      <c r="B1156" s="5" t="s">
        <v>759</v>
      </c>
      <c r="C1156" s="6" t="s">
        <v>3470</v>
      </c>
      <c r="D1156" s="5" t="s">
        <v>3471</v>
      </c>
      <c r="E1156" s="5" t="s">
        <v>3472</v>
      </c>
      <c r="F1156" s="4">
        <v>1</v>
      </c>
      <c r="G1156" s="4">
        <v>1</v>
      </c>
    </row>
    <row r="1157" spans="1:7" ht="25.5">
      <c r="A1157" s="9">
        <v>1156</v>
      </c>
      <c r="B1157" s="10" t="s">
        <v>759</v>
      </c>
      <c r="C1157" s="11" t="s">
        <v>3473</v>
      </c>
      <c r="D1157" s="10" t="s">
        <v>3474</v>
      </c>
      <c r="E1157" s="10" t="s">
        <v>3475</v>
      </c>
      <c r="F1157" s="9">
        <v>1</v>
      </c>
      <c r="G1157" s="9">
        <v>1</v>
      </c>
    </row>
    <row r="1158" spans="1:7" ht="25.5">
      <c r="A1158" s="4">
        <v>1157</v>
      </c>
      <c r="B1158" s="5" t="s">
        <v>759</v>
      </c>
      <c r="C1158" s="6" t="s">
        <v>3476</v>
      </c>
      <c r="D1158" s="5" t="s">
        <v>3477</v>
      </c>
      <c r="E1158" s="5" t="s">
        <v>3478</v>
      </c>
      <c r="F1158" s="4">
        <v>1</v>
      </c>
      <c r="G1158" s="4">
        <v>1</v>
      </c>
    </row>
    <row r="1159" spans="1:7" ht="25.5">
      <c r="A1159" s="9">
        <v>1158</v>
      </c>
      <c r="B1159" s="10" t="s">
        <v>759</v>
      </c>
      <c r="C1159" s="11" t="s">
        <v>3479</v>
      </c>
      <c r="D1159" s="10" t="s">
        <v>3480</v>
      </c>
      <c r="E1159" s="10" t="s">
        <v>3481</v>
      </c>
      <c r="F1159" s="9">
        <v>1</v>
      </c>
      <c r="G1159" s="9">
        <v>1</v>
      </c>
    </row>
    <row r="1160" spans="1:7" ht="25.5">
      <c r="A1160" s="4">
        <v>1159</v>
      </c>
      <c r="B1160" s="5" t="s">
        <v>759</v>
      </c>
      <c r="C1160" s="6" t="s">
        <v>3482</v>
      </c>
      <c r="D1160" s="5" t="s">
        <v>3483</v>
      </c>
      <c r="E1160" s="5" t="s">
        <v>3484</v>
      </c>
      <c r="F1160" s="4">
        <v>1</v>
      </c>
      <c r="G1160" s="4">
        <v>1</v>
      </c>
    </row>
    <row r="1161" spans="1:7" ht="25.5">
      <c r="A1161" s="9">
        <v>1160</v>
      </c>
      <c r="B1161" s="10" t="s">
        <v>759</v>
      </c>
      <c r="C1161" s="11" t="s">
        <v>3485</v>
      </c>
      <c r="D1161" s="10" t="s">
        <v>3486</v>
      </c>
      <c r="E1161" s="10" t="s">
        <v>3487</v>
      </c>
      <c r="F1161" s="9">
        <v>1</v>
      </c>
      <c r="G1161" s="9">
        <v>1</v>
      </c>
    </row>
    <row r="1162" spans="1:7" ht="25.5">
      <c r="A1162" s="4">
        <v>1161</v>
      </c>
      <c r="B1162" s="5" t="s">
        <v>759</v>
      </c>
      <c r="C1162" s="6" t="s">
        <v>3488</v>
      </c>
      <c r="D1162" s="5" t="s">
        <v>3489</v>
      </c>
      <c r="E1162" s="5" t="s">
        <v>3490</v>
      </c>
      <c r="F1162" s="4">
        <v>1</v>
      </c>
      <c r="G1162" s="4">
        <v>1</v>
      </c>
    </row>
    <row r="1163" spans="1:7" ht="25.5">
      <c r="A1163" s="9">
        <v>1162</v>
      </c>
      <c r="B1163" s="10" t="s">
        <v>759</v>
      </c>
      <c r="C1163" s="11" t="s">
        <v>3491</v>
      </c>
      <c r="D1163" s="10" t="s">
        <v>3492</v>
      </c>
      <c r="E1163" s="10" t="s">
        <v>3493</v>
      </c>
      <c r="F1163" s="9">
        <v>1</v>
      </c>
      <c r="G1163" s="9">
        <v>1</v>
      </c>
    </row>
    <row r="1164" spans="1:7" ht="25.5">
      <c r="A1164" s="4">
        <v>1163</v>
      </c>
      <c r="B1164" s="5" t="s">
        <v>759</v>
      </c>
      <c r="C1164" s="6" t="s">
        <v>3494</v>
      </c>
      <c r="D1164" s="5" t="s">
        <v>3495</v>
      </c>
      <c r="E1164" s="5" t="s">
        <v>3496</v>
      </c>
      <c r="F1164" s="4">
        <v>1</v>
      </c>
      <c r="G1164" s="4">
        <v>1</v>
      </c>
    </row>
    <row r="1165" spans="1:7" ht="25.5">
      <c r="A1165" s="9">
        <v>1164</v>
      </c>
      <c r="B1165" s="10" t="s">
        <v>759</v>
      </c>
      <c r="C1165" s="11" t="s">
        <v>3497</v>
      </c>
      <c r="D1165" s="10" t="s">
        <v>3498</v>
      </c>
      <c r="E1165" s="10" t="s">
        <v>3499</v>
      </c>
      <c r="F1165" s="9">
        <v>1</v>
      </c>
      <c r="G1165" s="9">
        <v>1</v>
      </c>
    </row>
    <row r="1166" spans="1:7" ht="25.5">
      <c r="A1166" s="4">
        <v>1165</v>
      </c>
      <c r="B1166" s="5" t="s">
        <v>759</v>
      </c>
      <c r="C1166" s="6" t="s">
        <v>3500</v>
      </c>
      <c r="D1166" s="5" t="s">
        <v>3501</v>
      </c>
      <c r="E1166" s="5" t="s">
        <v>3502</v>
      </c>
      <c r="F1166" s="4">
        <v>1</v>
      </c>
      <c r="G1166" s="4">
        <v>1</v>
      </c>
    </row>
    <row r="1167" spans="1:7" ht="25.5">
      <c r="A1167" s="9">
        <v>1166</v>
      </c>
      <c r="B1167" s="10" t="s">
        <v>759</v>
      </c>
      <c r="C1167" s="11" t="s">
        <v>3503</v>
      </c>
      <c r="D1167" s="10" t="s">
        <v>3504</v>
      </c>
      <c r="E1167" s="10" t="s">
        <v>3505</v>
      </c>
      <c r="F1167" s="9">
        <v>1</v>
      </c>
      <c r="G1167" s="9">
        <v>1</v>
      </c>
    </row>
    <row r="1168" spans="1:7" ht="25.5">
      <c r="A1168" s="4">
        <v>1167</v>
      </c>
      <c r="B1168" s="5" t="s">
        <v>759</v>
      </c>
      <c r="C1168" s="6" t="s">
        <v>3506</v>
      </c>
      <c r="D1168" s="5" t="s">
        <v>3507</v>
      </c>
      <c r="E1168" s="5" t="s">
        <v>3508</v>
      </c>
      <c r="F1168" s="4">
        <v>1</v>
      </c>
      <c r="G1168" s="4">
        <v>1</v>
      </c>
    </row>
    <row r="1169" spans="1:7" ht="25.5">
      <c r="A1169" s="9">
        <v>1168</v>
      </c>
      <c r="B1169" s="10" t="s">
        <v>759</v>
      </c>
      <c r="C1169" s="11" t="s">
        <v>3509</v>
      </c>
      <c r="D1169" s="10" t="s">
        <v>3510</v>
      </c>
      <c r="E1169" s="10" t="s">
        <v>3511</v>
      </c>
      <c r="F1169" s="9">
        <v>1</v>
      </c>
      <c r="G1169" s="9">
        <v>1</v>
      </c>
    </row>
    <row r="1170" spans="1:7" ht="25.5">
      <c r="A1170" s="4">
        <v>1169</v>
      </c>
      <c r="B1170" s="5" t="s">
        <v>759</v>
      </c>
      <c r="C1170" s="6" t="s">
        <v>3512</v>
      </c>
      <c r="D1170" s="5" t="s">
        <v>3513</v>
      </c>
      <c r="E1170" s="5" t="s">
        <v>3514</v>
      </c>
      <c r="F1170" s="4">
        <v>1</v>
      </c>
      <c r="G1170" s="4">
        <v>1</v>
      </c>
    </row>
    <row r="1171" spans="1:7" ht="25.5">
      <c r="A1171" s="9">
        <v>1170</v>
      </c>
      <c r="B1171" s="10" t="s">
        <v>759</v>
      </c>
      <c r="C1171" s="11" t="s">
        <v>3515</v>
      </c>
      <c r="D1171" s="10" t="s">
        <v>3516</v>
      </c>
      <c r="E1171" s="10" t="s">
        <v>3517</v>
      </c>
      <c r="F1171" s="9">
        <v>1</v>
      </c>
      <c r="G1171" s="9">
        <v>1</v>
      </c>
    </row>
    <row r="1172" spans="1:7" ht="25.5">
      <c r="A1172" s="4">
        <v>1171</v>
      </c>
      <c r="B1172" s="5" t="s">
        <v>759</v>
      </c>
      <c r="C1172" s="6" t="s">
        <v>3518</v>
      </c>
      <c r="D1172" s="5" t="s">
        <v>3519</v>
      </c>
      <c r="E1172" s="5" t="s">
        <v>3520</v>
      </c>
      <c r="F1172" s="4">
        <v>1</v>
      </c>
      <c r="G1172" s="4">
        <v>1</v>
      </c>
    </row>
    <row r="1173" spans="1:7" ht="25.5">
      <c r="A1173" s="9">
        <v>1172</v>
      </c>
      <c r="B1173" s="10" t="s">
        <v>759</v>
      </c>
      <c r="C1173" s="11" t="s">
        <v>3521</v>
      </c>
      <c r="D1173" s="10" t="s">
        <v>3519</v>
      </c>
      <c r="E1173" s="10" t="s">
        <v>3522</v>
      </c>
      <c r="F1173" s="9">
        <v>1</v>
      </c>
      <c r="G1173" s="9">
        <v>1</v>
      </c>
    </row>
    <row r="1174" spans="1:7" ht="25.5">
      <c r="A1174" s="4">
        <v>1173</v>
      </c>
      <c r="B1174" s="5" t="s">
        <v>759</v>
      </c>
      <c r="C1174" s="6" t="s">
        <v>3523</v>
      </c>
      <c r="D1174" s="5" t="s">
        <v>3524</v>
      </c>
      <c r="E1174" s="5" t="s">
        <v>3525</v>
      </c>
      <c r="F1174" s="4">
        <v>1</v>
      </c>
      <c r="G1174" s="4">
        <v>1</v>
      </c>
    </row>
    <row r="1175" spans="1:7" ht="25.5">
      <c r="A1175" s="9">
        <v>1174</v>
      </c>
      <c r="B1175" s="10" t="s">
        <v>759</v>
      </c>
      <c r="C1175" s="11" t="s">
        <v>3526</v>
      </c>
      <c r="D1175" s="10" t="s">
        <v>3527</v>
      </c>
      <c r="E1175" s="10" t="s">
        <v>3528</v>
      </c>
      <c r="F1175" s="9">
        <v>1</v>
      </c>
      <c r="G1175" s="9">
        <v>1</v>
      </c>
    </row>
    <row r="1176" spans="1:7" ht="25.5">
      <c r="A1176" s="4">
        <v>1175</v>
      </c>
      <c r="B1176" s="5" t="s">
        <v>759</v>
      </c>
      <c r="C1176" s="6" t="s">
        <v>3529</v>
      </c>
      <c r="D1176" s="5" t="s">
        <v>3530</v>
      </c>
      <c r="E1176" s="5" t="s">
        <v>3531</v>
      </c>
      <c r="F1176" s="4">
        <v>1</v>
      </c>
      <c r="G1176" s="4">
        <v>1</v>
      </c>
    </row>
    <row r="1177" spans="1:7" ht="25.5">
      <c r="A1177" s="9">
        <v>1176</v>
      </c>
      <c r="B1177" s="10" t="s">
        <v>759</v>
      </c>
      <c r="C1177" s="11" t="s">
        <v>3532</v>
      </c>
      <c r="D1177" s="10" t="s">
        <v>3533</v>
      </c>
      <c r="E1177" s="10" t="s">
        <v>3534</v>
      </c>
      <c r="F1177" s="9">
        <v>1</v>
      </c>
      <c r="G1177" s="9">
        <v>1</v>
      </c>
    </row>
    <row r="1178" spans="1:7" ht="25.5">
      <c r="A1178" s="4">
        <v>1177</v>
      </c>
      <c r="B1178" s="5" t="s">
        <v>759</v>
      </c>
      <c r="C1178" s="6" t="s">
        <v>3535</v>
      </c>
      <c r="D1178" s="5" t="s">
        <v>3536</v>
      </c>
      <c r="E1178" s="5" t="s">
        <v>3537</v>
      </c>
      <c r="F1178" s="4">
        <v>1</v>
      </c>
      <c r="G1178" s="4">
        <v>1</v>
      </c>
    </row>
    <row r="1179" spans="1:7" ht="25.5">
      <c r="A1179" s="9">
        <v>1178</v>
      </c>
      <c r="B1179" s="10" t="s">
        <v>759</v>
      </c>
      <c r="C1179" s="11" t="s">
        <v>3538</v>
      </c>
      <c r="D1179" s="10" t="s">
        <v>3539</v>
      </c>
      <c r="E1179" s="10" t="s">
        <v>3540</v>
      </c>
      <c r="F1179" s="9">
        <v>1</v>
      </c>
      <c r="G1179" s="9">
        <v>1</v>
      </c>
    </row>
    <row r="1180" spans="1:7" ht="25.5">
      <c r="A1180" s="4">
        <v>1179</v>
      </c>
      <c r="B1180" s="5" t="s">
        <v>759</v>
      </c>
      <c r="C1180" s="6" t="s">
        <v>3541</v>
      </c>
      <c r="D1180" s="5" t="s">
        <v>3542</v>
      </c>
      <c r="E1180" s="5" t="s">
        <v>3543</v>
      </c>
      <c r="F1180" s="4">
        <v>1</v>
      </c>
      <c r="G1180" s="4">
        <v>1</v>
      </c>
    </row>
    <row r="1181" spans="1:7" ht="25.5">
      <c r="A1181" s="9">
        <v>1180</v>
      </c>
      <c r="B1181" s="10" t="s">
        <v>759</v>
      </c>
      <c r="C1181" s="11" t="s">
        <v>3544</v>
      </c>
      <c r="D1181" s="10" t="s">
        <v>3545</v>
      </c>
      <c r="E1181" s="10" t="s">
        <v>3546</v>
      </c>
      <c r="F1181" s="9">
        <v>1</v>
      </c>
      <c r="G1181" s="9">
        <v>1</v>
      </c>
    </row>
    <row r="1182" spans="1:7" ht="25.5">
      <c r="A1182" s="4">
        <v>1181</v>
      </c>
      <c r="B1182" s="5" t="s">
        <v>759</v>
      </c>
      <c r="C1182" s="6" t="s">
        <v>3547</v>
      </c>
      <c r="D1182" s="5" t="s">
        <v>3548</v>
      </c>
      <c r="E1182" s="5" t="s">
        <v>3549</v>
      </c>
      <c r="F1182" s="4">
        <v>1</v>
      </c>
      <c r="G1182" s="4">
        <v>1</v>
      </c>
    </row>
    <row r="1183" spans="1:7" ht="25.5">
      <c r="A1183" s="9">
        <v>1182</v>
      </c>
      <c r="B1183" s="10" t="s">
        <v>759</v>
      </c>
      <c r="C1183" s="11" t="s">
        <v>3550</v>
      </c>
      <c r="D1183" s="10" t="s">
        <v>3551</v>
      </c>
      <c r="E1183" s="10" t="s">
        <v>3552</v>
      </c>
      <c r="F1183" s="9">
        <v>1</v>
      </c>
      <c r="G1183" s="9">
        <v>1</v>
      </c>
    </row>
    <row r="1184" spans="1:7" ht="25.5">
      <c r="A1184" s="4">
        <v>1183</v>
      </c>
      <c r="B1184" s="5" t="s">
        <v>759</v>
      </c>
      <c r="C1184" s="6" t="s">
        <v>3553</v>
      </c>
      <c r="D1184" s="5" t="s">
        <v>3554</v>
      </c>
      <c r="E1184" s="5" t="s">
        <v>3555</v>
      </c>
      <c r="F1184" s="4">
        <v>1</v>
      </c>
      <c r="G1184" s="4">
        <v>1</v>
      </c>
    </row>
    <row r="1185" spans="1:7" ht="25.5">
      <c r="A1185" s="9">
        <v>1184</v>
      </c>
      <c r="B1185" s="10" t="s">
        <v>759</v>
      </c>
      <c r="C1185" s="11" t="s">
        <v>3556</v>
      </c>
      <c r="D1185" s="10" t="s">
        <v>3557</v>
      </c>
      <c r="E1185" s="10" t="s">
        <v>3558</v>
      </c>
      <c r="F1185" s="9">
        <v>1</v>
      </c>
      <c r="G1185" s="9">
        <v>1</v>
      </c>
    </row>
    <row r="1186" spans="1:7" ht="25.5">
      <c r="A1186" s="4">
        <v>1185</v>
      </c>
      <c r="B1186" s="5" t="s">
        <v>759</v>
      </c>
      <c r="C1186" s="6" t="s">
        <v>3559</v>
      </c>
      <c r="D1186" s="5" t="s">
        <v>3560</v>
      </c>
      <c r="E1186" s="5" t="s">
        <v>3561</v>
      </c>
      <c r="F1186" s="4">
        <v>1</v>
      </c>
      <c r="G1186" s="4">
        <v>1</v>
      </c>
    </row>
    <row r="1187" spans="1:7" ht="25.5">
      <c r="A1187" s="9">
        <v>1186</v>
      </c>
      <c r="B1187" s="10" t="s">
        <v>759</v>
      </c>
      <c r="C1187" s="11" t="s">
        <v>3562</v>
      </c>
      <c r="D1187" s="10" t="s">
        <v>3563</v>
      </c>
      <c r="E1187" s="10" t="s">
        <v>3564</v>
      </c>
      <c r="F1187" s="9">
        <v>1</v>
      </c>
      <c r="G1187" s="9">
        <v>1</v>
      </c>
    </row>
    <row r="1188" spans="1:7" ht="25.5">
      <c r="A1188" s="4">
        <v>1187</v>
      </c>
      <c r="B1188" s="5" t="s">
        <v>759</v>
      </c>
      <c r="C1188" s="6" t="s">
        <v>3565</v>
      </c>
      <c r="D1188" s="5" t="s">
        <v>3566</v>
      </c>
      <c r="E1188" s="5" t="s">
        <v>3567</v>
      </c>
      <c r="F1188" s="4">
        <v>1</v>
      </c>
      <c r="G1188" s="4">
        <v>1</v>
      </c>
    </row>
    <row r="1189" spans="1:7" ht="25.5">
      <c r="A1189" s="9">
        <v>1188</v>
      </c>
      <c r="B1189" s="10" t="s">
        <v>759</v>
      </c>
      <c r="C1189" s="11" t="s">
        <v>3568</v>
      </c>
      <c r="D1189" s="10" t="s">
        <v>3569</v>
      </c>
      <c r="E1189" s="10" t="s">
        <v>3570</v>
      </c>
      <c r="F1189" s="9">
        <v>1</v>
      </c>
      <c r="G1189" s="9">
        <v>1</v>
      </c>
    </row>
    <row r="1190" spans="1:7" ht="25.5">
      <c r="A1190" s="4">
        <v>1189</v>
      </c>
      <c r="B1190" s="5" t="s">
        <v>759</v>
      </c>
      <c r="C1190" s="6" t="s">
        <v>3571</v>
      </c>
      <c r="D1190" s="5" t="s">
        <v>3572</v>
      </c>
      <c r="E1190" s="5" t="s">
        <v>3573</v>
      </c>
      <c r="F1190" s="4">
        <v>1</v>
      </c>
      <c r="G1190" s="4">
        <v>1</v>
      </c>
    </row>
    <row r="1191" spans="1:7" ht="25.5">
      <c r="A1191" s="9">
        <v>1190</v>
      </c>
      <c r="B1191" s="10" t="s">
        <v>759</v>
      </c>
      <c r="C1191" s="11" t="s">
        <v>3574</v>
      </c>
      <c r="D1191" s="10" t="s">
        <v>3575</v>
      </c>
      <c r="E1191" s="10" t="s">
        <v>3576</v>
      </c>
      <c r="F1191" s="9">
        <v>1</v>
      </c>
      <c r="G1191" s="9">
        <v>1</v>
      </c>
    </row>
    <row r="1192" spans="1:7" ht="25.5">
      <c r="A1192" s="4">
        <v>1191</v>
      </c>
      <c r="B1192" s="5" t="s">
        <v>759</v>
      </c>
      <c r="C1192" s="6" t="s">
        <v>3577</v>
      </c>
      <c r="D1192" s="5" t="s">
        <v>3578</v>
      </c>
      <c r="E1192" s="5" t="s">
        <v>3579</v>
      </c>
      <c r="F1192" s="4">
        <v>1</v>
      </c>
      <c r="G1192" s="4">
        <v>1</v>
      </c>
    </row>
    <row r="1193" spans="1:7" ht="25.5">
      <c r="A1193" s="9">
        <v>1192</v>
      </c>
      <c r="B1193" s="10" t="s">
        <v>759</v>
      </c>
      <c r="C1193" s="11" t="s">
        <v>3580</v>
      </c>
      <c r="D1193" s="10" t="s">
        <v>3581</v>
      </c>
      <c r="E1193" s="10" t="s">
        <v>3582</v>
      </c>
      <c r="F1193" s="9">
        <v>1</v>
      </c>
      <c r="G1193" s="9">
        <v>1</v>
      </c>
    </row>
    <row r="1194" spans="1:7" ht="25.5">
      <c r="A1194" s="4">
        <v>1193</v>
      </c>
      <c r="B1194" s="5" t="s">
        <v>759</v>
      </c>
      <c r="C1194" s="6" t="s">
        <v>3583</v>
      </c>
      <c r="D1194" s="5" t="s">
        <v>3584</v>
      </c>
      <c r="E1194" s="5" t="s">
        <v>3585</v>
      </c>
      <c r="F1194" s="4">
        <v>1</v>
      </c>
      <c r="G1194" s="4">
        <v>1</v>
      </c>
    </row>
    <row r="1195" spans="1:7" ht="25.5">
      <c r="A1195" s="9">
        <v>1194</v>
      </c>
      <c r="B1195" s="10" t="s">
        <v>759</v>
      </c>
      <c r="C1195" s="11" t="s">
        <v>3586</v>
      </c>
      <c r="D1195" s="10" t="s">
        <v>3587</v>
      </c>
      <c r="E1195" s="10" t="s">
        <v>3588</v>
      </c>
      <c r="F1195" s="9">
        <v>1</v>
      </c>
      <c r="G1195" s="9">
        <v>1</v>
      </c>
    </row>
    <row r="1196" spans="1:7" ht="25.5">
      <c r="A1196" s="4">
        <v>1195</v>
      </c>
      <c r="B1196" s="5" t="s">
        <v>759</v>
      </c>
      <c r="C1196" s="6" t="s">
        <v>3589</v>
      </c>
      <c r="D1196" s="5" t="s">
        <v>3590</v>
      </c>
      <c r="E1196" s="5" t="s">
        <v>3591</v>
      </c>
      <c r="F1196" s="4">
        <v>1</v>
      </c>
      <c r="G1196" s="4">
        <v>1</v>
      </c>
    </row>
    <row r="1197" spans="1:7" ht="25.5">
      <c r="A1197" s="9">
        <v>1196</v>
      </c>
      <c r="B1197" s="10" t="s">
        <v>759</v>
      </c>
      <c r="C1197" s="11" t="s">
        <v>3592</v>
      </c>
      <c r="D1197" s="10" t="s">
        <v>3593</v>
      </c>
      <c r="E1197" s="10" t="s">
        <v>3594</v>
      </c>
      <c r="F1197" s="9">
        <v>1</v>
      </c>
      <c r="G1197" s="9">
        <v>1</v>
      </c>
    </row>
    <row r="1198" spans="1:7" ht="25.5">
      <c r="A1198" s="4">
        <v>1197</v>
      </c>
      <c r="B1198" s="5" t="s">
        <v>759</v>
      </c>
      <c r="C1198" s="6" t="s">
        <v>3595</v>
      </c>
      <c r="D1198" s="5" t="s">
        <v>3596</v>
      </c>
      <c r="E1198" s="5" t="s">
        <v>3597</v>
      </c>
      <c r="F1198" s="4">
        <v>1</v>
      </c>
      <c r="G1198" s="4">
        <v>1</v>
      </c>
    </row>
    <row r="1199" spans="1:7" ht="25.5">
      <c r="A1199" s="9">
        <v>1198</v>
      </c>
      <c r="B1199" s="10" t="s">
        <v>759</v>
      </c>
      <c r="C1199" s="11" t="s">
        <v>3598</v>
      </c>
      <c r="D1199" s="10" t="s">
        <v>3599</v>
      </c>
      <c r="E1199" s="10" t="s">
        <v>3600</v>
      </c>
      <c r="F1199" s="9">
        <v>1</v>
      </c>
      <c r="G1199" s="9">
        <v>1</v>
      </c>
    </row>
    <row r="1200" spans="1:7" ht="25.5">
      <c r="A1200" s="4">
        <v>1199</v>
      </c>
      <c r="B1200" s="5" t="s">
        <v>759</v>
      </c>
      <c r="C1200" s="6" t="s">
        <v>3601</v>
      </c>
      <c r="D1200" s="5" t="s">
        <v>3602</v>
      </c>
      <c r="E1200" s="5" t="s">
        <v>3603</v>
      </c>
      <c r="F1200" s="4">
        <v>1</v>
      </c>
      <c r="G1200" s="4">
        <v>1</v>
      </c>
    </row>
    <row r="1201" spans="1:7" ht="25.5">
      <c r="A1201" s="9">
        <v>1200</v>
      </c>
      <c r="B1201" s="10" t="s">
        <v>759</v>
      </c>
      <c r="C1201" s="11" t="s">
        <v>3604</v>
      </c>
      <c r="D1201" s="10" t="s">
        <v>3605</v>
      </c>
      <c r="E1201" s="10" t="s">
        <v>3606</v>
      </c>
      <c r="F1201" s="9">
        <v>1</v>
      </c>
      <c r="G1201" s="9">
        <v>1</v>
      </c>
    </row>
    <row r="1202" spans="1:7" ht="25.5">
      <c r="A1202" s="4">
        <v>1201</v>
      </c>
      <c r="B1202" s="5" t="s">
        <v>759</v>
      </c>
      <c r="C1202" s="6" t="s">
        <v>3607</v>
      </c>
      <c r="D1202" s="5" t="s">
        <v>3608</v>
      </c>
      <c r="E1202" s="5" t="s">
        <v>3609</v>
      </c>
      <c r="F1202" s="4">
        <v>1</v>
      </c>
      <c r="G1202" s="4">
        <v>1</v>
      </c>
    </row>
    <row r="1203" spans="1:7" ht="25.5">
      <c r="A1203" s="9">
        <v>1202</v>
      </c>
      <c r="B1203" s="10" t="s">
        <v>759</v>
      </c>
      <c r="C1203" s="11" t="s">
        <v>3610</v>
      </c>
      <c r="D1203" s="10" t="s">
        <v>3611</v>
      </c>
      <c r="E1203" s="10" t="s">
        <v>3612</v>
      </c>
      <c r="F1203" s="9">
        <v>1</v>
      </c>
      <c r="G1203" s="9">
        <v>1</v>
      </c>
    </row>
    <row r="1204" spans="1:7" ht="25.5">
      <c r="A1204" s="4">
        <v>1203</v>
      </c>
      <c r="B1204" s="5" t="s">
        <v>759</v>
      </c>
      <c r="C1204" s="6" t="s">
        <v>3613</v>
      </c>
      <c r="D1204" s="5" t="s">
        <v>3614</v>
      </c>
      <c r="E1204" s="5" t="s">
        <v>3615</v>
      </c>
      <c r="F1204" s="4">
        <v>1</v>
      </c>
      <c r="G1204" s="4">
        <v>1</v>
      </c>
    </row>
    <row r="1205" spans="1:7" ht="25.5">
      <c r="A1205" s="9">
        <v>1204</v>
      </c>
      <c r="B1205" s="10" t="s">
        <v>759</v>
      </c>
      <c r="C1205" s="11" t="s">
        <v>3616</v>
      </c>
      <c r="D1205" s="10" t="s">
        <v>3617</v>
      </c>
      <c r="E1205" s="10" t="s">
        <v>3618</v>
      </c>
      <c r="F1205" s="9">
        <v>1</v>
      </c>
      <c r="G1205" s="9">
        <v>1</v>
      </c>
    </row>
    <row r="1206" spans="1:7" ht="25.5">
      <c r="A1206" s="4">
        <v>1205</v>
      </c>
      <c r="B1206" s="5" t="s">
        <v>759</v>
      </c>
      <c r="C1206" s="6" t="s">
        <v>3619</v>
      </c>
      <c r="D1206" s="5" t="s">
        <v>3620</v>
      </c>
      <c r="E1206" s="5" t="s">
        <v>3621</v>
      </c>
      <c r="F1206" s="4">
        <v>1</v>
      </c>
      <c r="G1206" s="4">
        <v>1</v>
      </c>
    </row>
    <row r="1207" spans="1:7" ht="25.5">
      <c r="A1207" s="9">
        <v>1206</v>
      </c>
      <c r="B1207" s="10" t="s">
        <v>759</v>
      </c>
      <c r="C1207" s="11" t="s">
        <v>3622</v>
      </c>
      <c r="D1207" s="10" t="s">
        <v>3623</v>
      </c>
      <c r="E1207" s="10" t="s">
        <v>3624</v>
      </c>
      <c r="F1207" s="9">
        <v>1</v>
      </c>
      <c r="G1207" s="9">
        <v>1</v>
      </c>
    </row>
    <row r="1208" spans="1:7" ht="25.5">
      <c r="A1208" s="4">
        <v>1207</v>
      </c>
      <c r="B1208" s="5" t="s">
        <v>759</v>
      </c>
      <c r="C1208" s="6" t="s">
        <v>3625</v>
      </c>
      <c r="D1208" s="5" t="s">
        <v>3626</v>
      </c>
      <c r="E1208" s="5" t="s">
        <v>3627</v>
      </c>
      <c r="F1208" s="4">
        <v>1</v>
      </c>
      <c r="G1208" s="4">
        <v>1</v>
      </c>
    </row>
    <row r="1209" spans="1:7" ht="25.5">
      <c r="A1209" s="9">
        <v>1208</v>
      </c>
      <c r="B1209" s="10" t="s">
        <v>759</v>
      </c>
      <c r="C1209" s="11" t="s">
        <v>3628</v>
      </c>
      <c r="D1209" s="10" t="s">
        <v>3629</v>
      </c>
      <c r="E1209" s="10" t="s">
        <v>3630</v>
      </c>
      <c r="F1209" s="9">
        <v>1</v>
      </c>
      <c r="G1209" s="9">
        <v>1</v>
      </c>
    </row>
    <row r="1210" spans="1:7" ht="25.5">
      <c r="A1210" s="4">
        <v>1209</v>
      </c>
      <c r="B1210" s="5" t="s">
        <v>759</v>
      </c>
      <c r="C1210" s="6" t="s">
        <v>3631</v>
      </c>
      <c r="D1210" s="5" t="s">
        <v>3632</v>
      </c>
      <c r="E1210" s="5" t="s">
        <v>3633</v>
      </c>
      <c r="F1210" s="4">
        <v>1</v>
      </c>
      <c r="G1210" s="4">
        <v>1</v>
      </c>
    </row>
    <row r="1211" spans="1:7" ht="25.5">
      <c r="A1211" s="9">
        <v>1210</v>
      </c>
      <c r="B1211" s="10" t="s">
        <v>759</v>
      </c>
      <c r="C1211" s="11" t="s">
        <v>3634</v>
      </c>
      <c r="D1211" s="10" t="s">
        <v>3635</v>
      </c>
      <c r="E1211" s="10" t="s">
        <v>3636</v>
      </c>
      <c r="F1211" s="9">
        <v>1</v>
      </c>
      <c r="G1211" s="9">
        <v>1</v>
      </c>
    </row>
    <row r="1212" spans="1:7" ht="25.5">
      <c r="A1212" s="4">
        <v>1211</v>
      </c>
      <c r="B1212" s="5" t="s">
        <v>759</v>
      </c>
      <c r="C1212" s="6" t="s">
        <v>3637</v>
      </c>
      <c r="D1212" s="5" t="s">
        <v>3638</v>
      </c>
      <c r="E1212" s="5" t="s">
        <v>3639</v>
      </c>
      <c r="F1212" s="4">
        <v>1</v>
      </c>
      <c r="G1212" s="4">
        <v>1</v>
      </c>
    </row>
    <row r="1213" spans="1:7" ht="25.5">
      <c r="A1213" s="9">
        <v>1212</v>
      </c>
      <c r="B1213" s="10" t="s">
        <v>759</v>
      </c>
      <c r="C1213" s="11" t="s">
        <v>3640</v>
      </c>
      <c r="D1213" s="10" t="s">
        <v>3641</v>
      </c>
      <c r="E1213" s="10" t="s">
        <v>3642</v>
      </c>
      <c r="F1213" s="9">
        <v>1</v>
      </c>
      <c r="G1213" s="9">
        <v>1</v>
      </c>
    </row>
    <row r="1214" spans="1:7" ht="25.5">
      <c r="A1214" s="4">
        <v>1213</v>
      </c>
      <c r="B1214" s="5" t="s">
        <v>759</v>
      </c>
      <c r="C1214" s="6" t="s">
        <v>3643</v>
      </c>
      <c r="D1214" s="5" t="s">
        <v>3644</v>
      </c>
      <c r="E1214" s="5" t="s">
        <v>3645</v>
      </c>
      <c r="F1214" s="4">
        <v>1</v>
      </c>
      <c r="G1214" s="4">
        <v>1</v>
      </c>
    </row>
    <row r="1215" spans="1:7" ht="25.5">
      <c r="A1215" s="9">
        <v>1214</v>
      </c>
      <c r="B1215" s="10" t="s">
        <v>759</v>
      </c>
      <c r="C1215" s="11" t="s">
        <v>3646</v>
      </c>
      <c r="D1215" s="10" t="s">
        <v>3647</v>
      </c>
      <c r="E1215" s="10" t="s">
        <v>3648</v>
      </c>
      <c r="F1215" s="9">
        <v>1</v>
      </c>
      <c r="G1215" s="9">
        <v>1</v>
      </c>
    </row>
    <row r="1216" spans="1:7" ht="25.5">
      <c r="A1216" s="4">
        <v>1215</v>
      </c>
      <c r="B1216" s="5" t="s">
        <v>759</v>
      </c>
      <c r="C1216" s="6" t="s">
        <v>3649</v>
      </c>
      <c r="D1216" s="5" t="s">
        <v>3650</v>
      </c>
      <c r="E1216" s="5" t="s">
        <v>3651</v>
      </c>
      <c r="F1216" s="4">
        <v>1</v>
      </c>
      <c r="G1216" s="4">
        <v>1</v>
      </c>
    </row>
    <row r="1217" spans="1:7" ht="25.5">
      <c r="A1217" s="9">
        <v>1216</v>
      </c>
      <c r="B1217" s="10" t="s">
        <v>759</v>
      </c>
      <c r="C1217" s="11" t="s">
        <v>3652</v>
      </c>
      <c r="D1217" s="10" t="s">
        <v>3653</v>
      </c>
      <c r="E1217" s="10" t="s">
        <v>3654</v>
      </c>
      <c r="F1217" s="9">
        <v>1</v>
      </c>
      <c r="G1217" s="9">
        <v>1</v>
      </c>
    </row>
    <row r="1218" spans="1:7" ht="25.5">
      <c r="A1218" s="4">
        <v>1217</v>
      </c>
      <c r="B1218" s="5" t="s">
        <v>759</v>
      </c>
      <c r="C1218" s="6" t="s">
        <v>3655</v>
      </c>
      <c r="D1218" s="5" t="s">
        <v>3656</v>
      </c>
      <c r="E1218" s="5" t="s">
        <v>3657</v>
      </c>
      <c r="F1218" s="4">
        <v>1</v>
      </c>
      <c r="G1218" s="4">
        <v>1</v>
      </c>
    </row>
    <row r="1219" spans="1:7" ht="25.5">
      <c r="A1219" s="9">
        <v>1218</v>
      </c>
      <c r="B1219" s="10" t="s">
        <v>759</v>
      </c>
      <c r="C1219" s="11" t="s">
        <v>3658</v>
      </c>
      <c r="D1219" s="10" t="s">
        <v>3659</v>
      </c>
      <c r="E1219" s="10" t="s">
        <v>3660</v>
      </c>
      <c r="F1219" s="9">
        <v>1</v>
      </c>
      <c r="G1219" s="9">
        <v>1</v>
      </c>
    </row>
    <row r="1220" spans="1:7" ht="25.5">
      <c r="A1220" s="4">
        <v>1219</v>
      </c>
      <c r="B1220" s="5" t="s">
        <v>759</v>
      </c>
      <c r="C1220" s="6" t="s">
        <v>3661</v>
      </c>
      <c r="D1220" s="5" t="s">
        <v>3662</v>
      </c>
      <c r="E1220" s="5" t="s">
        <v>3663</v>
      </c>
      <c r="F1220" s="4">
        <v>1</v>
      </c>
      <c r="G1220" s="4">
        <v>1</v>
      </c>
    </row>
    <row r="1221" spans="1:7" ht="25.5">
      <c r="A1221" s="9">
        <v>1220</v>
      </c>
      <c r="B1221" s="10" t="s">
        <v>759</v>
      </c>
      <c r="C1221" s="11" t="s">
        <v>3664</v>
      </c>
      <c r="D1221" s="10" t="s">
        <v>3665</v>
      </c>
      <c r="E1221" s="10" t="s">
        <v>3666</v>
      </c>
      <c r="F1221" s="9">
        <v>1</v>
      </c>
      <c r="G1221" s="9">
        <v>1</v>
      </c>
    </row>
    <row r="1222" spans="1:7" ht="25.5">
      <c r="A1222" s="4">
        <v>1221</v>
      </c>
      <c r="B1222" s="5" t="s">
        <v>759</v>
      </c>
      <c r="C1222" s="6" t="s">
        <v>3667</v>
      </c>
      <c r="D1222" s="5" t="s">
        <v>3668</v>
      </c>
      <c r="E1222" s="5" t="s">
        <v>3669</v>
      </c>
      <c r="F1222" s="4">
        <v>1</v>
      </c>
      <c r="G1222" s="4">
        <v>1</v>
      </c>
    </row>
    <row r="1223" spans="1:7" ht="25.5">
      <c r="A1223" s="9">
        <v>1222</v>
      </c>
      <c r="B1223" s="10" t="s">
        <v>759</v>
      </c>
      <c r="C1223" s="11" t="s">
        <v>3670</v>
      </c>
      <c r="D1223" s="10" t="s">
        <v>3671</v>
      </c>
      <c r="E1223" s="10" t="s">
        <v>3672</v>
      </c>
      <c r="F1223" s="9">
        <v>1</v>
      </c>
      <c r="G1223" s="9">
        <v>1</v>
      </c>
    </row>
    <row r="1224" spans="1:7" ht="25.5">
      <c r="A1224" s="4">
        <v>1223</v>
      </c>
      <c r="B1224" s="5" t="s">
        <v>759</v>
      </c>
      <c r="C1224" s="6" t="s">
        <v>3673</v>
      </c>
      <c r="D1224" s="5" t="s">
        <v>3674</v>
      </c>
      <c r="E1224" s="5" t="s">
        <v>3675</v>
      </c>
      <c r="F1224" s="4">
        <v>1</v>
      </c>
      <c r="G1224" s="4">
        <v>1</v>
      </c>
    </row>
    <row r="1225" spans="1:7" ht="25.5">
      <c r="A1225" s="9">
        <v>1224</v>
      </c>
      <c r="B1225" s="10" t="s">
        <v>759</v>
      </c>
      <c r="C1225" s="11" t="s">
        <v>3676</v>
      </c>
      <c r="D1225" s="10" t="s">
        <v>3677</v>
      </c>
      <c r="E1225" s="10" t="s">
        <v>3678</v>
      </c>
      <c r="F1225" s="9">
        <v>1</v>
      </c>
      <c r="G1225" s="9">
        <v>1</v>
      </c>
    </row>
    <row r="1226" spans="1:7" ht="25.5">
      <c r="A1226" s="4">
        <v>1225</v>
      </c>
      <c r="B1226" s="5" t="s">
        <v>759</v>
      </c>
      <c r="C1226" s="6" t="s">
        <v>3679</v>
      </c>
      <c r="D1226" s="5" t="s">
        <v>3680</v>
      </c>
      <c r="E1226" s="5" t="s">
        <v>3681</v>
      </c>
      <c r="F1226" s="4">
        <v>1</v>
      </c>
      <c r="G1226" s="4">
        <v>1</v>
      </c>
    </row>
    <row r="1227" spans="1:7" ht="25.5">
      <c r="A1227" s="9">
        <v>1226</v>
      </c>
      <c r="B1227" s="10" t="s">
        <v>759</v>
      </c>
      <c r="C1227" s="11" t="s">
        <v>3682</v>
      </c>
      <c r="D1227" s="10" t="s">
        <v>3683</v>
      </c>
      <c r="E1227" s="10" t="s">
        <v>3684</v>
      </c>
      <c r="F1227" s="9">
        <v>1</v>
      </c>
      <c r="G1227" s="9">
        <v>1</v>
      </c>
    </row>
    <row r="1228" spans="1:7" ht="25.5">
      <c r="A1228" s="4">
        <v>1227</v>
      </c>
      <c r="B1228" s="5" t="s">
        <v>759</v>
      </c>
      <c r="C1228" s="6" t="s">
        <v>3685</v>
      </c>
      <c r="D1228" s="5" t="s">
        <v>3686</v>
      </c>
      <c r="E1228" s="5" t="s">
        <v>3687</v>
      </c>
      <c r="F1228" s="4">
        <v>1</v>
      </c>
      <c r="G1228" s="4">
        <v>1</v>
      </c>
    </row>
    <row r="1229" spans="1:7" ht="25.5">
      <c r="A1229" s="9">
        <v>1228</v>
      </c>
      <c r="B1229" s="10" t="s">
        <v>759</v>
      </c>
      <c r="C1229" s="11" t="s">
        <v>3688</v>
      </c>
      <c r="D1229" s="10" t="s">
        <v>3689</v>
      </c>
      <c r="E1229" s="10" t="s">
        <v>3690</v>
      </c>
      <c r="F1229" s="9">
        <v>1</v>
      </c>
      <c r="G1229" s="9">
        <v>1</v>
      </c>
    </row>
    <row r="1230" spans="1:7" ht="25.5">
      <c r="A1230" s="4">
        <v>1229</v>
      </c>
      <c r="B1230" s="5" t="s">
        <v>759</v>
      </c>
      <c r="C1230" s="6" t="s">
        <v>3691</v>
      </c>
      <c r="D1230" s="5" t="s">
        <v>3692</v>
      </c>
      <c r="E1230" s="5" t="s">
        <v>3693</v>
      </c>
      <c r="F1230" s="4">
        <v>1</v>
      </c>
      <c r="G1230" s="4">
        <v>1</v>
      </c>
    </row>
    <row r="1231" spans="1:7" ht="25.5">
      <c r="A1231" s="9">
        <v>1230</v>
      </c>
      <c r="B1231" s="10" t="s">
        <v>759</v>
      </c>
      <c r="C1231" s="11" t="s">
        <v>3694</v>
      </c>
      <c r="D1231" s="10" t="s">
        <v>3695</v>
      </c>
      <c r="E1231" s="10" t="s">
        <v>3696</v>
      </c>
      <c r="F1231" s="9">
        <v>1</v>
      </c>
      <c r="G1231" s="9">
        <v>1</v>
      </c>
    </row>
    <row r="1232" spans="1:7" ht="25.5">
      <c r="A1232" s="4">
        <v>1231</v>
      </c>
      <c r="B1232" s="5" t="s">
        <v>759</v>
      </c>
      <c r="C1232" s="6" t="s">
        <v>3697</v>
      </c>
      <c r="D1232" s="5" t="s">
        <v>3698</v>
      </c>
      <c r="E1232" s="5" t="s">
        <v>3699</v>
      </c>
      <c r="F1232" s="4">
        <v>1</v>
      </c>
      <c r="G1232" s="4">
        <v>1</v>
      </c>
    </row>
    <row r="1233" spans="1:7" ht="25.5">
      <c r="A1233" s="9">
        <v>1232</v>
      </c>
      <c r="B1233" s="10" t="s">
        <v>759</v>
      </c>
      <c r="C1233" s="11" t="s">
        <v>3700</v>
      </c>
      <c r="D1233" s="10" t="s">
        <v>3701</v>
      </c>
      <c r="E1233" s="10" t="s">
        <v>3702</v>
      </c>
      <c r="F1233" s="9">
        <v>1</v>
      </c>
      <c r="G1233" s="9">
        <v>1</v>
      </c>
    </row>
    <row r="1234" spans="1:7" ht="25.5">
      <c r="A1234" s="4">
        <v>1233</v>
      </c>
      <c r="B1234" s="5" t="s">
        <v>759</v>
      </c>
      <c r="C1234" s="6" t="s">
        <v>3703</v>
      </c>
      <c r="D1234" s="5" t="s">
        <v>3704</v>
      </c>
      <c r="E1234" s="5" t="s">
        <v>3705</v>
      </c>
      <c r="F1234" s="4">
        <v>1</v>
      </c>
      <c r="G1234" s="4">
        <v>1</v>
      </c>
    </row>
    <row r="1235" spans="1:7" ht="25.5">
      <c r="A1235" s="9">
        <v>1234</v>
      </c>
      <c r="B1235" s="10" t="s">
        <v>759</v>
      </c>
      <c r="C1235" s="11" t="s">
        <v>3706</v>
      </c>
      <c r="D1235" s="10" t="s">
        <v>3707</v>
      </c>
      <c r="E1235" s="10" t="s">
        <v>3708</v>
      </c>
      <c r="F1235" s="9">
        <v>1</v>
      </c>
      <c r="G1235" s="9">
        <v>1</v>
      </c>
    </row>
    <row r="1236" spans="1:7" ht="25.5">
      <c r="A1236" s="4">
        <v>1235</v>
      </c>
      <c r="B1236" s="5" t="s">
        <v>759</v>
      </c>
      <c r="C1236" s="6" t="s">
        <v>3709</v>
      </c>
      <c r="D1236" s="5" t="s">
        <v>3710</v>
      </c>
      <c r="E1236" s="5" t="s">
        <v>3711</v>
      </c>
      <c r="F1236" s="4">
        <v>1</v>
      </c>
      <c r="G1236" s="4">
        <v>1</v>
      </c>
    </row>
    <row r="1237" spans="1:7" ht="25.5">
      <c r="A1237" s="9">
        <v>1236</v>
      </c>
      <c r="B1237" s="10" t="s">
        <v>759</v>
      </c>
      <c r="C1237" s="11" t="s">
        <v>3712</v>
      </c>
      <c r="D1237" s="10" t="s">
        <v>3713</v>
      </c>
      <c r="E1237" s="10" t="s">
        <v>3714</v>
      </c>
      <c r="F1237" s="9">
        <v>1</v>
      </c>
      <c r="G1237" s="9">
        <v>1</v>
      </c>
    </row>
    <row r="1238" spans="1:7" ht="25.5">
      <c r="A1238" s="4">
        <v>1237</v>
      </c>
      <c r="B1238" s="5" t="s">
        <v>759</v>
      </c>
      <c r="C1238" s="6" t="s">
        <v>3715</v>
      </c>
      <c r="D1238" s="5" t="s">
        <v>3716</v>
      </c>
      <c r="E1238" s="5" t="s">
        <v>3717</v>
      </c>
      <c r="F1238" s="4">
        <v>1</v>
      </c>
      <c r="G1238" s="4">
        <v>1</v>
      </c>
    </row>
    <row r="1239" spans="1:7" ht="25.5">
      <c r="A1239" s="9">
        <v>1238</v>
      </c>
      <c r="B1239" s="10" t="s">
        <v>759</v>
      </c>
      <c r="C1239" s="11" t="s">
        <v>3718</v>
      </c>
      <c r="D1239" s="10" t="s">
        <v>3719</v>
      </c>
      <c r="E1239" s="10" t="s">
        <v>3720</v>
      </c>
      <c r="F1239" s="9">
        <v>1</v>
      </c>
      <c r="G1239" s="9">
        <v>1</v>
      </c>
    </row>
    <row r="1240" spans="1:7" ht="25.5">
      <c r="A1240" s="4">
        <v>1239</v>
      </c>
      <c r="B1240" s="5" t="s">
        <v>759</v>
      </c>
      <c r="C1240" s="6" t="s">
        <v>3721</v>
      </c>
      <c r="D1240" s="5" t="s">
        <v>3722</v>
      </c>
      <c r="E1240" s="5" t="s">
        <v>3723</v>
      </c>
      <c r="F1240" s="4">
        <v>1</v>
      </c>
      <c r="G1240" s="4">
        <v>1</v>
      </c>
    </row>
    <row r="1241" spans="1:7" ht="25.5">
      <c r="A1241" s="9">
        <v>1240</v>
      </c>
      <c r="B1241" s="10" t="s">
        <v>759</v>
      </c>
      <c r="C1241" s="11" t="s">
        <v>3724</v>
      </c>
      <c r="D1241" s="10" t="s">
        <v>3725</v>
      </c>
      <c r="E1241" s="10" t="s">
        <v>3726</v>
      </c>
      <c r="F1241" s="9">
        <v>1</v>
      </c>
      <c r="G1241" s="9">
        <v>1</v>
      </c>
    </row>
    <row r="1242" spans="1:7" ht="25.5">
      <c r="A1242" s="4">
        <v>1241</v>
      </c>
      <c r="B1242" s="5" t="s">
        <v>759</v>
      </c>
      <c r="C1242" s="6" t="s">
        <v>3727</v>
      </c>
      <c r="D1242" s="5" t="s">
        <v>3728</v>
      </c>
      <c r="E1242" s="5" t="s">
        <v>3729</v>
      </c>
      <c r="F1242" s="4">
        <v>1</v>
      </c>
      <c r="G1242" s="4">
        <v>1</v>
      </c>
    </row>
    <row r="1243" spans="1:7" ht="25.5">
      <c r="A1243" s="9">
        <v>1242</v>
      </c>
      <c r="B1243" s="10" t="s">
        <v>759</v>
      </c>
      <c r="C1243" s="11" t="s">
        <v>3730</v>
      </c>
      <c r="D1243" s="10" t="s">
        <v>3731</v>
      </c>
      <c r="E1243" s="10" t="s">
        <v>3732</v>
      </c>
      <c r="F1243" s="9">
        <v>1</v>
      </c>
      <c r="G1243" s="9">
        <v>1</v>
      </c>
    </row>
    <row r="1244" spans="1:7" ht="25.5">
      <c r="A1244" s="4">
        <v>1243</v>
      </c>
      <c r="B1244" s="5" t="s">
        <v>759</v>
      </c>
      <c r="C1244" s="6" t="s">
        <v>3733</v>
      </c>
      <c r="D1244" s="5" t="s">
        <v>3734</v>
      </c>
      <c r="E1244" s="5" t="s">
        <v>3735</v>
      </c>
      <c r="F1244" s="4">
        <v>1</v>
      </c>
      <c r="G1244" s="4">
        <v>1</v>
      </c>
    </row>
    <row r="1245" spans="1:7" ht="25.5">
      <c r="A1245" s="9">
        <v>1244</v>
      </c>
      <c r="B1245" s="10" t="s">
        <v>759</v>
      </c>
      <c r="C1245" s="11" t="s">
        <v>3736</v>
      </c>
      <c r="D1245" s="10" t="s">
        <v>3737</v>
      </c>
      <c r="E1245" s="10" t="s">
        <v>3738</v>
      </c>
      <c r="F1245" s="9">
        <v>1</v>
      </c>
      <c r="G1245" s="9">
        <v>1</v>
      </c>
    </row>
    <row r="1246" spans="1:7" ht="25.5">
      <c r="A1246" s="4">
        <v>1245</v>
      </c>
      <c r="B1246" s="5" t="s">
        <v>759</v>
      </c>
      <c r="C1246" s="6" t="s">
        <v>3739</v>
      </c>
      <c r="D1246" s="5" t="s">
        <v>3740</v>
      </c>
      <c r="E1246" s="5" t="s">
        <v>3741</v>
      </c>
      <c r="F1246" s="4">
        <v>1</v>
      </c>
      <c r="G1246" s="4">
        <v>1</v>
      </c>
    </row>
    <row r="1247" spans="1:7" ht="25.5">
      <c r="A1247" s="9">
        <v>1246</v>
      </c>
      <c r="B1247" s="10" t="s">
        <v>759</v>
      </c>
      <c r="C1247" s="11" t="s">
        <v>3742</v>
      </c>
      <c r="D1247" s="10" t="s">
        <v>3743</v>
      </c>
      <c r="E1247" s="10" t="s">
        <v>3744</v>
      </c>
      <c r="F1247" s="9">
        <v>1</v>
      </c>
      <c r="G1247" s="9">
        <v>1</v>
      </c>
    </row>
    <row r="1248" spans="1:7" ht="25.5">
      <c r="A1248" s="4">
        <v>1247</v>
      </c>
      <c r="B1248" s="5" t="s">
        <v>759</v>
      </c>
      <c r="C1248" s="6" t="s">
        <v>3745</v>
      </c>
      <c r="D1248" s="5" t="s">
        <v>3746</v>
      </c>
      <c r="E1248" s="5" t="s">
        <v>3747</v>
      </c>
      <c r="F1248" s="4">
        <v>1</v>
      </c>
      <c r="G1248" s="4">
        <v>1</v>
      </c>
    </row>
    <row r="1249" spans="1:7" ht="25.5">
      <c r="A1249" s="9">
        <v>1248</v>
      </c>
      <c r="B1249" s="10" t="s">
        <v>759</v>
      </c>
      <c r="C1249" s="11" t="s">
        <v>3748</v>
      </c>
      <c r="D1249" s="10" t="s">
        <v>3749</v>
      </c>
      <c r="E1249" s="10" t="s">
        <v>3750</v>
      </c>
      <c r="F1249" s="9">
        <v>1</v>
      </c>
      <c r="G1249" s="9">
        <v>1</v>
      </c>
    </row>
    <row r="1250" spans="1:7" ht="25.5">
      <c r="A1250" s="4">
        <v>1249</v>
      </c>
      <c r="B1250" s="5" t="s">
        <v>759</v>
      </c>
      <c r="C1250" s="6" t="s">
        <v>3751</v>
      </c>
      <c r="D1250" s="5" t="s">
        <v>3752</v>
      </c>
      <c r="E1250" s="5" t="s">
        <v>3753</v>
      </c>
      <c r="F1250" s="4">
        <v>1</v>
      </c>
      <c r="G1250" s="4">
        <v>1</v>
      </c>
    </row>
    <row r="1251" spans="1:7" ht="25.5">
      <c r="A1251" s="9">
        <v>1250</v>
      </c>
      <c r="B1251" s="10" t="s">
        <v>759</v>
      </c>
      <c r="C1251" s="11" t="s">
        <v>3754</v>
      </c>
      <c r="D1251" s="10" t="s">
        <v>3755</v>
      </c>
      <c r="E1251" s="10" t="s">
        <v>3756</v>
      </c>
      <c r="F1251" s="9">
        <v>1</v>
      </c>
      <c r="G1251" s="9">
        <v>1</v>
      </c>
    </row>
    <row r="1252" spans="1:7" ht="25.5">
      <c r="A1252" s="4">
        <v>1251</v>
      </c>
      <c r="B1252" s="5" t="s">
        <v>759</v>
      </c>
      <c r="C1252" s="6" t="s">
        <v>3757</v>
      </c>
      <c r="D1252" s="5" t="s">
        <v>3758</v>
      </c>
      <c r="E1252" s="5" t="s">
        <v>3759</v>
      </c>
      <c r="F1252" s="4">
        <v>1</v>
      </c>
      <c r="G1252" s="4">
        <v>1</v>
      </c>
    </row>
    <row r="1253" spans="1:7" ht="25.5">
      <c r="A1253" s="9">
        <v>1252</v>
      </c>
      <c r="B1253" s="10" t="s">
        <v>759</v>
      </c>
      <c r="C1253" s="11" t="s">
        <v>3760</v>
      </c>
      <c r="D1253" s="10" t="s">
        <v>3761</v>
      </c>
      <c r="E1253" s="10" t="s">
        <v>3762</v>
      </c>
      <c r="F1253" s="9">
        <v>1</v>
      </c>
      <c r="G1253" s="9">
        <v>1</v>
      </c>
    </row>
    <row r="1254" spans="1:7" ht="25.5">
      <c r="A1254" s="4">
        <v>1253</v>
      </c>
      <c r="B1254" s="5" t="s">
        <v>759</v>
      </c>
      <c r="C1254" s="6" t="s">
        <v>3763</v>
      </c>
      <c r="D1254" s="5" t="s">
        <v>3764</v>
      </c>
      <c r="E1254" s="5" t="s">
        <v>3765</v>
      </c>
      <c r="F1254" s="4">
        <v>1</v>
      </c>
      <c r="G1254" s="4">
        <v>1</v>
      </c>
    </row>
    <row r="1255" spans="1:7" ht="25.5">
      <c r="A1255" s="9">
        <v>1254</v>
      </c>
      <c r="B1255" s="10" t="s">
        <v>759</v>
      </c>
      <c r="C1255" s="11" t="s">
        <v>3766</v>
      </c>
      <c r="D1255" s="10" t="s">
        <v>3767</v>
      </c>
      <c r="E1255" s="10" t="s">
        <v>3768</v>
      </c>
      <c r="F1255" s="9">
        <v>1</v>
      </c>
      <c r="G1255" s="9">
        <v>1</v>
      </c>
    </row>
    <row r="1256" spans="1:7" ht="25.5">
      <c r="A1256" s="4">
        <v>1255</v>
      </c>
      <c r="B1256" s="5" t="s">
        <v>759</v>
      </c>
      <c r="C1256" s="6" t="s">
        <v>3769</v>
      </c>
      <c r="D1256" s="5" t="s">
        <v>3770</v>
      </c>
      <c r="E1256" s="5" t="s">
        <v>3771</v>
      </c>
      <c r="F1256" s="4">
        <v>1</v>
      </c>
      <c r="G1256" s="4">
        <v>1</v>
      </c>
    </row>
    <row r="1257" spans="1:7" ht="25.5">
      <c r="A1257" s="9">
        <v>1256</v>
      </c>
      <c r="B1257" s="10" t="s">
        <v>759</v>
      </c>
      <c r="C1257" s="11" t="s">
        <v>3772</v>
      </c>
      <c r="D1257" s="10" t="s">
        <v>3773</v>
      </c>
      <c r="E1257" s="10" t="s">
        <v>3774</v>
      </c>
      <c r="F1257" s="9">
        <v>1</v>
      </c>
      <c r="G1257" s="9">
        <v>1</v>
      </c>
    </row>
    <row r="1258" spans="1:7" ht="25.5">
      <c r="A1258" s="4">
        <v>1257</v>
      </c>
      <c r="B1258" s="5" t="s">
        <v>759</v>
      </c>
      <c r="C1258" s="6" t="s">
        <v>3775</v>
      </c>
      <c r="D1258" s="5" t="s">
        <v>3776</v>
      </c>
      <c r="E1258" s="5" t="s">
        <v>3777</v>
      </c>
      <c r="F1258" s="4">
        <v>1</v>
      </c>
      <c r="G1258" s="4">
        <v>1</v>
      </c>
    </row>
    <row r="1259" spans="1:7" ht="25.5">
      <c r="A1259" s="9">
        <v>1258</v>
      </c>
      <c r="B1259" s="10" t="s">
        <v>759</v>
      </c>
      <c r="C1259" s="11" t="s">
        <v>3778</v>
      </c>
      <c r="D1259" s="10" t="s">
        <v>3779</v>
      </c>
      <c r="E1259" s="10" t="s">
        <v>3780</v>
      </c>
      <c r="F1259" s="9">
        <v>1</v>
      </c>
      <c r="G1259" s="9">
        <v>1</v>
      </c>
    </row>
    <row r="1260" spans="1:7" ht="25.5">
      <c r="A1260" s="4">
        <v>1259</v>
      </c>
      <c r="B1260" s="5" t="s">
        <v>759</v>
      </c>
      <c r="C1260" s="6" t="s">
        <v>3781</v>
      </c>
      <c r="D1260" s="5" t="s">
        <v>3782</v>
      </c>
      <c r="E1260" s="5" t="s">
        <v>3783</v>
      </c>
      <c r="F1260" s="4">
        <v>1</v>
      </c>
      <c r="G1260" s="4">
        <v>1</v>
      </c>
    </row>
    <row r="1261" spans="1:7" ht="25.5">
      <c r="A1261" s="9">
        <v>1260</v>
      </c>
      <c r="B1261" s="10" t="s">
        <v>759</v>
      </c>
      <c r="C1261" s="11" t="s">
        <v>3784</v>
      </c>
      <c r="D1261" s="10" t="s">
        <v>3785</v>
      </c>
      <c r="E1261" s="10" t="s">
        <v>3786</v>
      </c>
      <c r="F1261" s="9">
        <v>1</v>
      </c>
      <c r="G1261" s="9">
        <v>1</v>
      </c>
    </row>
    <row r="1262" spans="1:7" ht="25.5">
      <c r="A1262" s="4">
        <v>1261</v>
      </c>
      <c r="B1262" s="5" t="s">
        <v>759</v>
      </c>
      <c r="C1262" s="6" t="s">
        <v>3787</v>
      </c>
      <c r="D1262" s="5" t="s">
        <v>3788</v>
      </c>
      <c r="E1262" s="5" t="s">
        <v>3789</v>
      </c>
      <c r="F1262" s="4">
        <v>1</v>
      </c>
      <c r="G1262" s="4">
        <v>1</v>
      </c>
    </row>
    <row r="1263" spans="1:7" ht="25.5">
      <c r="A1263" s="9">
        <v>1262</v>
      </c>
      <c r="B1263" s="10" t="s">
        <v>759</v>
      </c>
      <c r="C1263" s="11" t="s">
        <v>3790</v>
      </c>
      <c r="D1263" s="10" t="s">
        <v>3791</v>
      </c>
      <c r="E1263" s="10" t="s">
        <v>3792</v>
      </c>
      <c r="F1263" s="9">
        <v>1</v>
      </c>
      <c r="G1263" s="9">
        <v>1</v>
      </c>
    </row>
    <row r="1264" spans="1:7" ht="25.5">
      <c r="A1264" s="4">
        <v>1263</v>
      </c>
      <c r="B1264" s="5" t="s">
        <v>759</v>
      </c>
      <c r="C1264" s="6" t="s">
        <v>3793</v>
      </c>
      <c r="D1264" s="5" t="s">
        <v>3794</v>
      </c>
      <c r="E1264" s="5" t="s">
        <v>3795</v>
      </c>
      <c r="F1264" s="4">
        <v>1</v>
      </c>
      <c r="G1264" s="4">
        <v>1</v>
      </c>
    </row>
    <row r="1265" spans="1:7" ht="25.5">
      <c r="A1265" s="9">
        <v>1264</v>
      </c>
      <c r="B1265" s="10" t="s">
        <v>759</v>
      </c>
      <c r="C1265" s="11" t="s">
        <v>3796</v>
      </c>
      <c r="D1265" s="10" t="s">
        <v>3797</v>
      </c>
      <c r="E1265" s="10" t="s">
        <v>3798</v>
      </c>
      <c r="F1265" s="9">
        <v>1</v>
      </c>
      <c r="G1265" s="9">
        <v>1</v>
      </c>
    </row>
    <row r="1266" spans="1:7" ht="25.5">
      <c r="A1266" s="4">
        <v>1265</v>
      </c>
      <c r="B1266" s="5" t="s">
        <v>759</v>
      </c>
      <c r="C1266" s="6" t="s">
        <v>3799</v>
      </c>
      <c r="D1266" s="5" t="s">
        <v>3800</v>
      </c>
      <c r="E1266" s="5" t="s">
        <v>3801</v>
      </c>
      <c r="F1266" s="4">
        <v>1</v>
      </c>
      <c r="G1266" s="4">
        <v>1</v>
      </c>
    </row>
    <row r="1267" spans="1:7" ht="25.5">
      <c r="A1267" s="9">
        <v>1266</v>
      </c>
      <c r="B1267" s="10" t="s">
        <v>759</v>
      </c>
      <c r="C1267" s="11" t="s">
        <v>3802</v>
      </c>
      <c r="D1267" s="10" t="s">
        <v>3803</v>
      </c>
      <c r="E1267" s="10" t="s">
        <v>3804</v>
      </c>
      <c r="F1267" s="9">
        <v>1</v>
      </c>
      <c r="G1267" s="9">
        <v>1</v>
      </c>
    </row>
    <row r="1268" spans="1:7" ht="25.5">
      <c r="A1268" s="4">
        <v>1267</v>
      </c>
      <c r="B1268" s="5" t="s">
        <v>759</v>
      </c>
      <c r="C1268" s="6" t="s">
        <v>3805</v>
      </c>
      <c r="D1268" s="5" t="s">
        <v>3806</v>
      </c>
      <c r="E1268" s="5" t="s">
        <v>3807</v>
      </c>
      <c r="F1268" s="4">
        <v>1</v>
      </c>
      <c r="G1268" s="4">
        <v>1</v>
      </c>
    </row>
    <row r="1269" spans="1:7" ht="25.5">
      <c r="A1269" s="9">
        <v>1268</v>
      </c>
      <c r="B1269" s="10" t="s">
        <v>759</v>
      </c>
      <c r="C1269" s="11" t="s">
        <v>3808</v>
      </c>
      <c r="D1269" s="10" t="s">
        <v>3809</v>
      </c>
      <c r="E1269" s="10" t="s">
        <v>3810</v>
      </c>
      <c r="F1269" s="9">
        <v>1</v>
      </c>
      <c r="G1269" s="9">
        <v>1</v>
      </c>
    </row>
    <row r="1270" spans="1:7" ht="25.5">
      <c r="A1270" s="4">
        <v>1269</v>
      </c>
      <c r="B1270" s="5" t="s">
        <v>759</v>
      </c>
      <c r="C1270" s="6" t="s">
        <v>3811</v>
      </c>
      <c r="D1270" s="5" t="s">
        <v>3812</v>
      </c>
      <c r="E1270" s="5" t="s">
        <v>3813</v>
      </c>
      <c r="F1270" s="4">
        <v>1</v>
      </c>
      <c r="G1270" s="4">
        <v>1</v>
      </c>
    </row>
    <row r="1271" spans="1:7" ht="25.5">
      <c r="A1271" s="9">
        <v>1270</v>
      </c>
      <c r="B1271" s="10" t="s">
        <v>759</v>
      </c>
      <c r="C1271" s="11" t="s">
        <v>3814</v>
      </c>
      <c r="D1271" s="10" t="s">
        <v>3815</v>
      </c>
      <c r="E1271" s="10" t="s">
        <v>3816</v>
      </c>
      <c r="F1271" s="9">
        <v>1</v>
      </c>
      <c r="G1271" s="9">
        <v>1</v>
      </c>
    </row>
    <row r="1272" spans="1:7" ht="25.5">
      <c r="A1272" s="4">
        <v>1271</v>
      </c>
      <c r="B1272" s="5" t="s">
        <v>759</v>
      </c>
      <c r="C1272" s="6" t="s">
        <v>3817</v>
      </c>
      <c r="D1272" s="5" t="s">
        <v>3818</v>
      </c>
      <c r="E1272" s="5" t="s">
        <v>3819</v>
      </c>
      <c r="F1272" s="4">
        <v>1</v>
      </c>
      <c r="G1272" s="4">
        <v>1</v>
      </c>
    </row>
    <row r="1273" spans="1:7" ht="25.5">
      <c r="A1273" s="9">
        <v>1272</v>
      </c>
      <c r="B1273" s="10" t="s">
        <v>759</v>
      </c>
      <c r="C1273" s="11" t="s">
        <v>3820</v>
      </c>
      <c r="D1273" s="10" t="s">
        <v>3821</v>
      </c>
      <c r="E1273" s="10" t="s">
        <v>3822</v>
      </c>
      <c r="F1273" s="9">
        <v>1</v>
      </c>
      <c r="G1273" s="9">
        <v>1</v>
      </c>
    </row>
    <row r="1274" spans="1:7" ht="25.5">
      <c r="A1274" s="4">
        <v>1273</v>
      </c>
      <c r="B1274" s="5" t="s">
        <v>759</v>
      </c>
      <c r="C1274" s="6" t="s">
        <v>3823</v>
      </c>
      <c r="D1274" s="5" t="s">
        <v>3824</v>
      </c>
      <c r="E1274" s="5" t="s">
        <v>3825</v>
      </c>
      <c r="F1274" s="4">
        <v>1</v>
      </c>
      <c r="G1274" s="4">
        <v>1</v>
      </c>
    </row>
    <row r="1275" spans="1:7" ht="25.5">
      <c r="A1275" s="9">
        <v>1274</v>
      </c>
      <c r="B1275" s="10" t="s">
        <v>759</v>
      </c>
      <c r="C1275" s="11" t="s">
        <v>3826</v>
      </c>
      <c r="D1275" s="10" t="s">
        <v>3827</v>
      </c>
      <c r="E1275" s="10" t="s">
        <v>3828</v>
      </c>
      <c r="F1275" s="9">
        <v>1</v>
      </c>
      <c r="G1275" s="9">
        <v>1</v>
      </c>
    </row>
    <row r="1276" spans="1:7" ht="25.5">
      <c r="A1276" s="4">
        <v>1275</v>
      </c>
      <c r="B1276" s="5" t="s">
        <v>759</v>
      </c>
      <c r="C1276" s="6" t="s">
        <v>3829</v>
      </c>
      <c r="D1276" s="5" t="s">
        <v>3830</v>
      </c>
      <c r="E1276" s="5" t="s">
        <v>3831</v>
      </c>
      <c r="F1276" s="4">
        <v>1</v>
      </c>
      <c r="G1276" s="4">
        <v>1</v>
      </c>
    </row>
    <row r="1277" spans="1:7" ht="25.5">
      <c r="A1277" s="9">
        <v>1276</v>
      </c>
      <c r="B1277" s="10" t="s">
        <v>759</v>
      </c>
      <c r="C1277" s="11" t="s">
        <v>3832</v>
      </c>
      <c r="D1277" s="10" t="s">
        <v>3833</v>
      </c>
      <c r="E1277" s="10" t="s">
        <v>3834</v>
      </c>
      <c r="F1277" s="9">
        <v>1</v>
      </c>
      <c r="G1277" s="9">
        <v>1</v>
      </c>
    </row>
    <row r="1278" spans="1:7" ht="25.5">
      <c r="A1278" s="4">
        <v>1277</v>
      </c>
      <c r="B1278" s="5" t="s">
        <v>759</v>
      </c>
      <c r="C1278" s="6" t="s">
        <v>3835</v>
      </c>
      <c r="D1278" s="5" t="s">
        <v>3836</v>
      </c>
      <c r="E1278" s="5" t="s">
        <v>3837</v>
      </c>
      <c r="F1278" s="4">
        <v>1</v>
      </c>
      <c r="G1278" s="4">
        <v>1</v>
      </c>
    </row>
    <row r="1279" spans="1:7" ht="25.5">
      <c r="A1279" s="9">
        <v>1278</v>
      </c>
      <c r="B1279" s="10" t="s">
        <v>759</v>
      </c>
      <c r="C1279" s="11" t="s">
        <v>3838</v>
      </c>
      <c r="D1279" s="10" t="s">
        <v>3839</v>
      </c>
      <c r="E1279" s="10" t="s">
        <v>3840</v>
      </c>
      <c r="F1279" s="9">
        <v>1</v>
      </c>
      <c r="G1279" s="9">
        <v>1</v>
      </c>
    </row>
    <row r="1280" spans="1:7" ht="25.5">
      <c r="A1280" s="4">
        <v>1279</v>
      </c>
      <c r="B1280" s="5" t="s">
        <v>759</v>
      </c>
      <c r="C1280" s="6" t="s">
        <v>3841</v>
      </c>
      <c r="D1280" s="5" t="s">
        <v>3842</v>
      </c>
      <c r="E1280" s="5" t="s">
        <v>3843</v>
      </c>
      <c r="F1280" s="4">
        <v>1</v>
      </c>
      <c r="G1280" s="4">
        <v>1</v>
      </c>
    </row>
    <row r="1281" spans="1:7" ht="25.5">
      <c r="A1281" s="9">
        <v>1280</v>
      </c>
      <c r="B1281" s="10" t="s">
        <v>759</v>
      </c>
      <c r="C1281" s="11" t="s">
        <v>3844</v>
      </c>
      <c r="D1281" s="10" t="s">
        <v>3845</v>
      </c>
      <c r="E1281" s="10" t="s">
        <v>3846</v>
      </c>
      <c r="F1281" s="9">
        <v>1</v>
      </c>
      <c r="G1281" s="9">
        <v>1</v>
      </c>
    </row>
    <row r="1282" spans="1:7" ht="25.5">
      <c r="A1282" s="4">
        <v>1281</v>
      </c>
      <c r="B1282" s="5" t="s">
        <v>759</v>
      </c>
      <c r="C1282" s="6" t="s">
        <v>3847</v>
      </c>
      <c r="D1282" s="5" t="s">
        <v>3848</v>
      </c>
      <c r="E1282" s="5" t="s">
        <v>3849</v>
      </c>
      <c r="F1282" s="4">
        <v>1</v>
      </c>
      <c r="G1282" s="4">
        <v>1</v>
      </c>
    </row>
    <row r="1283" spans="1:7" ht="25.5">
      <c r="A1283" s="9">
        <v>1282</v>
      </c>
      <c r="B1283" s="10" t="s">
        <v>759</v>
      </c>
      <c r="C1283" s="11" t="s">
        <v>3850</v>
      </c>
      <c r="D1283" s="10" t="s">
        <v>3851</v>
      </c>
      <c r="E1283" s="10" t="s">
        <v>3852</v>
      </c>
      <c r="F1283" s="9">
        <v>1</v>
      </c>
      <c r="G1283" s="9">
        <v>1</v>
      </c>
    </row>
    <row r="1284" spans="1:7" ht="25.5">
      <c r="A1284" s="4">
        <v>1283</v>
      </c>
      <c r="B1284" s="5" t="s">
        <v>759</v>
      </c>
      <c r="C1284" s="6" t="s">
        <v>3853</v>
      </c>
      <c r="D1284" s="5" t="s">
        <v>3854</v>
      </c>
      <c r="E1284" s="5" t="s">
        <v>3855</v>
      </c>
      <c r="F1284" s="4">
        <v>1</v>
      </c>
      <c r="G1284" s="4">
        <v>1</v>
      </c>
    </row>
    <row r="1285" spans="1:7" ht="25.5">
      <c r="A1285" s="9">
        <v>1284</v>
      </c>
      <c r="B1285" s="10" t="s">
        <v>759</v>
      </c>
      <c r="C1285" s="11" t="s">
        <v>3856</v>
      </c>
      <c r="D1285" s="10" t="s">
        <v>3857</v>
      </c>
      <c r="E1285" s="10" t="s">
        <v>3858</v>
      </c>
      <c r="F1285" s="9">
        <v>1</v>
      </c>
      <c r="G1285" s="9">
        <v>1</v>
      </c>
    </row>
    <row r="1286" spans="1:7" ht="25.5">
      <c r="A1286" s="4">
        <v>1285</v>
      </c>
      <c r="B1286" s="5" t="s">
        <v>759</v>
      </c>
      <c r="C1286" s="6" t="s">
        <v>3859</v>
      </c>
      <c r="D1286" s="5" t="s">
        <v>3860</v>
      </c>
      <c r="E1286" s="5" t="s">
        <v>3861</v>
      </c>
      <c r="F1286" s="4">
        <v>1</v>
      </c>
      <c r="G1286" s="4">
        <v>1</v>
      </c>
    </row>
    <row r="1287" spans="1:7" ht="25.5">
      <c r="A1287" s="9">
        <v>1286</v>
      </c>
      <c r="B1287" s="10" t="s">
        <v>759</v>
      </c>
      <c r="C1287" s="11" t="s">
        <v>3862</v>
      </c>
      <c r="D1287" s="10" t="s">
        <v>3863</v>
      </c>
      <c r="E1287" s="10" t="s">
        <v>3864</v>
      </c>
      <c r="F1287" s="9">
        <v>1</v>
      </c>
      <c r="G1287" s="9">
        <v>1</v>
      </c>
    </row>
    <row r="1288" spans="1:7" ht="25.5">
      <c r="A1288" s="4">
        <v>1287</v>
      </c>
      <c r="B1288" s="5" t="s">
        <v>759</v>
      </c>
      <c r="C1288" s="6" t="s">
        <v>3865</v>
      </c>
      <c r="D1288" s="5" t="s">
        <v>3866</v>
      </c>
      <c r="E1288" s="5" t="s">
        <v>3867</v>
      </c>
      <c r="F1288" s="4">
        <v>1</v>
      </c>
      <c r="G1288" s="4">
        <v>1</v>
      </c>
    </row>
    <row r="1289" spans="1:7" ht="25.5">
      <c r="A1289" s="9">
        <v>1288</v>
      </c>
      <c r="B1289" s="10" t="s">
        <v>759</v>
      </c>
      <c r="C1289" s="11" t="s">
        <v>3868</v>
      </c>
      <c r="D1289" s="10" t="s">
        <v>3869</v>
      </c>
      <c r="E1289" s="10" t="s">
        <v>3870</v>
      </c>
      <c r="F1289" s="9">
        <v>1</v>
      </c>
      <c r="G1289" s="9">
        <v>1</v>
      </c>
    </row>
    <row r="1290" spans="1:7" ht="25.5">
      <c r="A1290" s="4">
        <v>1289</v>
      </c>
      <c r="B1290" s="5" t="s">
        <v>759</v>
      </c>
      <c r="C1290" s="6" t="s">
        <v>3871</v>
      </c>
      <c r="D1290" s="5" t="s">
        <v>3872</v>
      </c>
      <c r="E1290" s="5" t="s">
        <v>3873</v>
      </c>
      <c r="F1290" s="4">
        <v>1</v>
      </c>
      <c r="G1290" s="4">
        <v>1</v>
      </c>
    </row>
    <row r="1291" spans="1:7" ht="25.5">
      <c r="A1291" s="9">
        <v>1290</v>
      </c>
      <c r="B1291" s="10" t="s">
        <v>759</v>
      </c>
      <c r="C1291" s="11" t="s">
        <v>3874</v>
      </c>
      <c r="D1291" s="10" t="s">
        <v>3875</v>
      </c>
      <c r="E1291" s="10" t="s">
        <v>3876</v>
      </c>
      <c r="F1291" s="9">
        <v>1</v>
      </c>
      <c r="G1291" s="9">
        <v>1</v>
      </c>
    </row>
    <row r="1292" spans="1:7" ht="25.5">
      <c r="A1292" s="4">
        <v>1291</v>
      </c>
      <c r="B1292" s="5" t="s">
        <v>759</v>
      </c>
      <c r="C1292" s="6" t="s">
        <v>3877</v>
      </c>
      <c r="D1292" s="5" t="s">
        <v>3878</v>
      </c>
      <c r="E1292" s="5" t="s">
        <v>3879</v>
      </c>
      <c r="F1292" s="4">
        <v>1</v>
      </c>
      <c r="G1292" s="4">
        <v>1</v>
      </c>
    </row>
    <row r="1293" spans="1:7" ht="25.5">
      <c r="A1293" s="9">
        <v>1292</v>
      </c>
      <c r="B1293" s="10" t="s">
        <v>759</v>
      </c>
      <c r="C1293" s="11" t="s">
        <v>3880</v>
      </c>
      <c r="D1293" s="10" t="s">
        <v>3881</v>
      </c>
      <c r="E1293" s="10" t="s">
        <v>3882</v>
      </c>
      <c r="F1293" s="9">
        <v>1</v>
      </c>
      <c r="G1293" s="9">
        <v>1</v>
      </c>
    </row>
    <row r="1294" spans="1:7" ht="25.5">
      <c r="A1294" s="4">
        <v>1293</v>
      </c>
      <c r="B1294" s="5" t="s">
        <v>759</v>
      </c>
      <c r="C1294" s="6" t="s">
        <v>3883</v>
      </c>
      <c r="D1294" s="5" t="s">
        <v>3884</v>
      </c>
      <c r="E1294" s="5" t="s">
        <v>3885</v>
      </c>
      <c r="F1294" s="4">
        <v>1</v>
      </c>
      <c r="G1294" s="4">
        <v>1</v>
      </c>
    </row>
    <row r="1295" spans="1:7" ht="25.5">
      <c r="A1295" s="9">
        <v>1294</v>
      </c>
      <c r="B1295" s="10" t="s">
        <v>759</v>
      </c>
      <c r="C1295" s="11" t="s">
        <v>3886</v>
      </c>
      <c r="D1295" s="10" t="s">
        <v>3887</v>
      </c>
      <c r="E1295" s="10" t="s">
        <v>3888</v>
      </c>
      <c r="F1295" s="9">
        <v>1</v>
      </c>
      <c r="G1295" s="9">
        <v>1</v>
      </c>
    </row>
    <row r="1296" spans="1:7" ht="25.5">
      <c r="A1296" s="4">
        <v>1295</v>
      </c>
      <c r="B1296" s="5" t="s">
        <v>759</v>
      </c>
      <c r="C1296" s="6" t="s">
        <v>3889</v>
      </c>
      <c r="D1296" s="5" t="s">
        <v>3890</v>
      </c>
      <c r="E1296" s="5" t="s">
        <v>3891</v>
      </c>
      <c r="F1296" s="4">
        <v>1</v>
      </c>
      <c r="G1296" s="4">
        <v>1</v>
      </c>
    </row>
    <row r="1297" spans="1:7" ht="25.5">
      <c r="A1297" s="9">
        <v>1296</v>
      </c>
      <c r="B1297" s="10" t="s">
        <v>759</v>
      </c>
      <c r="C1297" s="11" t="s">
        <v>3892</v>
      </c>
      <c r="D1297" s="10" t="s">
        <v>3893</v>
      </c>
      <c r="E1297" s="10" t="s">
        <v>3894</v>
      </c>
      <c r="F1297" s="9">
        <v>1</v>
      </c>
      <c r="G1297" s="9">
        <v>1</v>
      </c>
    </row>
    <row r="1298" spans="1:7" ht="25.5">
      <c r="A1298" s="4">
        <v>1297</v>
      </c>
      <c r="B1298" s="5" t="s">
        <v>759</v>
      </c>
      <c r="C1298" s="6" t="s">
        <v>3895</v>
      </c>
      <c r="D1298" s="5" t="s">
        <v>3896</v>
      </c>
      <c r="E1298" s="5" t="s">
        <v>3897</v>
      </c>
      <c r="F1298" s="4">
        <v>1</v>
      </c>
      <c r="G1298" s="4">
        <v>1</v>
      </c>
    </row>
    <row r="1299" spans="1:7" ht="25.5">
      <c r="A1299" s="9">
        <v>1298</v>
      </c>
      <c r="B1299" s="10" t="s">
        <v>759</v>
      </c>
      <c r="C1299" s="11" t="s">
        <v>3898</v>
      </c>
      <c r="D1299" s="10" t="s">
        <v>3899</v>
      </c>
      <c r="E1299" s="10" t="s">
        <v>3900</v>
      </c>
      <c r="F1299" s="9">
        <v>1</v>
      </c>
      <c r="G1299" s="9">
        <v>1</v>
      </c>
    </row>
    <row r="1300" spans="1:7" ht="25.5">
      <c r="A1300" s="4">
        <v>1299</v>
      </c>
      <c r="B1300" s="5" t="s">
        <v>759</v>
      </c>
      <c r="C1300" s="6" t="s">
        <v>3901</v>
      </c>
      <c r="D1300" s="5" t="s">
        <v>3902</v>
      </c>
      <c r="E1300" s="5" t="s">
        <v>3903</v>
      </c>
      <c r="F1300" s="4">
        <v>1</v>
      </c>
      <c r="G1300" s="4">
        <v>1</v>
      </c>
    </row>
    <row r="1301" spans="1:7" ht="25.5">
      <c r="A1301" s="9">
        <v>1300</v>
      </c>
      <c r="B1301" s="10" t="s">
        <v>759</v>
      </c>
      <c r="C1301" s="11" t="s">
        <v>3904</v>
      </c>
      <c r="D1301" s="10" t="s">
        <v>3905</v>
      </c>
      <c r="E1301" s="10" t="s">
        <v>3906</v>
      </c>
      <c r="F1301" s="9">
        <v>1</v>
      </c>
      <c r="G1301" s="9">
        <v>1</v>
      </c>
    </row>
    <row r="1302" spans="1:7" ht="25.5">
      <c r="A1302" s="4">
        <v>1301</v>
      </c>
      <c r="B1302" s="5" t="s">
        <v>759</v>
      </c>
      <c r="C1302" s="6" t="s">
        <v>3907</v>
      </c>
      <c r="D1302" s="5" t="s">
        <v>3908</v>
      </c>
      <c r="E1302" s="5" t="s">
        <v>3909</v>
      </c>
      <c r="F1302" s="4">
        <v>1</v>
      </c>
      <c r="G1302" s="4">
        <v>1</v>
      </c>
    </row>
    <row r="1303" spans="1:7" ht="25.5">
      <c r="A1303" s="9">
        <v>1302</v>
      </c>
      <c r="B1303" s="10" t="s">
        <v>759</v>
      </c>
      <c r="C1303" s="11" t="s">
        <v>3910</v>
      </c>
      <c r="D1303" s="10" t="s">
        <v>3911</v>
      </c>
      <c r="E1303" s="10" t="s">
        <v>3912</v>
      </c>
      <c r="F1303" s="9">
        <v>1</v>
      </c>
      <c r="G1303" s="9">
        <v>1</v>
      </c>
    </row>
    <row r="1304" spans="1:7" ht="25.5">
      <c r="A1304" s="4">
        <v>1303</v>
      </c>
      <c r="B1304" s="5" t="s">
        <v>759</v>
      </c>
      <c r="C1304" s="6" t="s">
        <v>3913</v>
      </c>
      <c r="D1304" s="5" t="s">
        <v>3914</v>
      </c>
      <c r="E1304" s="5" t="s">
        <v>3915</v>
      </c>
      <c r="F1304" s="4">
        <v>1</v>
      </c>
      <c r="G1304" s="4">
        <v>1</v>
      </c>
    </row>
    <row r="1305" spans="1:7" ht="25.5">
      <c r="A1305" s="9">
        <v>1304</v>
      </c>
      <c r="B1305" s="10" t="s">
        <v>759</v>
      </c>
      <c r="C1305" s="11" t="s">
        <v>3916</v>
      </c>
      <c r="D1305" s="10" t="s">
        <v>3917</v>
      </c>
      <c r="E1305" s="10" t="s">
        <v>3918</v>
      </c>
      <c r="F1305" s="9">
        <v>1</v>
      </c>
      <c r="G1305" s="9">
        <v>1</v>
      </c>
    </row>
    <row r="1306" spans="1:7" ht="25.5">
      <c r="A1306" s="4">
        <v>1305</v>
      </c>
      <c r="B1306" s="5" t="s">
        <v>759</v>
      </c>
      <c r="C1306" s="6" t="s">
        <v>3919</v>
      </c>
      <c r="D1306" s="5" t="s">
        <v>3920</v>
      </c>
      <c r="E1306" s="5" t="s">
        <v>3921</v>
      </c>
      <c r="F1306" s="4">
        <v>1</v>
      </c>
      <c r="G1306" s="4">
        <v>1</v>
      </c>
    </row>
    <row r="1307" spans="1:7" ht="25.5">
      <c r="A1307" s="9">
        <v>1306</v>
      </c>
      <c r="B1307" s="10" t="s">
        <v>759</v>
      </c>
      <c r="C1307" s="11" t="s">
        <v>3922</v>
      </c>
      <c r="D1307" s="10" t="s">
        <v>3923</v>
      </c>
      <c r="E1307" s="10" t="s">
        <v>3924</v>
      </c>
      <c r="F1307" s="9">
        <v>1</v>
      </c>
      <c r="G1307" s="9">
        <v>1</v>
      </c>
    </row>
    <row r="1308" spans="1:7" ht="25.5">
      <c r="A1308" s="4">
        <v>1307</v>
      </c>
      <c r="B1308" s="5" t="s">
        <v>759</v>
      </c>
      <c r="C1308" s="6" t="s">
        <v>3925</v>
      </c>
      <c r="D1308" s="5" t="s">
        <v>3926</v>
      </c>
      <c r="E1308" s="5" t="s">
        <v>3927</v>
      </c>
      <c r="F1308" s="4">
        <v>1</v>
      </c>
      <c r="G1308" s="4">
        <v>1</v>
      </c>
    </row>
    <row r="1309" spans="1:7" ht="25.5">
      <c r="A1309" s="9">
        <v>1308</v>
      </c>
      <c r="B1309" s="10" t="s">
        <v>759</v>
      </c>
      <c r="C1309" s="11" t="s">
        <v>3928</v>
      </c>
      <c r="D1309" s="10" t="s">
        <v>3929</v>
      </c>
      <c r="E1309" s="10" t="s">
        <v>3930</v>
      </c>
      <c r="F1309" s="9">
        <v>1</v>
      </c>
      <c r="G1309" s="9">
        <v>1</v>
      </c>
    </row>
    <row r="1310" spans="1:7" ht="25.5">
      <c r="A1310" s="4">
        <v>1309</v>
      </c>
      <c r="B1310" s="5" t="s">
        <v>759</v>
      </c>
      <c r="C1310" s="6" t="s">
        <v>3931</v>
      </c>
      <c r="D1310" s="5" t="s">
        <v>3932</v>
      </c>
      <c r="E1310" s="5" t="s">
        <v>3933</v>
      </c>
      <c r="F1310" s="4">
        <v>1</v>
      </c>
      <c r="G1310" s="4">
        <v>1</v>
      </c>
    </row>
    <row r="1311" spans="1:7" ht="25.5">
      <c r="A1311" s="9">
        <v>1310</v>
      </c>
      <c r="B1311" s="10" t="s">
        <v>759</v>
      </c>
      <c r="C1311" s="11" t="s">
        <v>3934</v>
      </c>
      <c r="D1311" s="10" t="s">
        <v>3935</v>
      </c>
      <c r="E1311" s="10" t="s">
        <v>3936</v>
      </c>
      <c r="F1311" s="9">
        <v>1</v>
      </c>
      <c r="G1311" s="9">
        <v>1</v>
      </c>
    </row>
    <row r="1312" spans="1:7" ht="25.5">
      <c r="A1312" s="4">
        <v>1311</v>
      </c>
      <c r="B1312" s="5" t="s">
        <v>759</v>
      </c>
      <c r="C1312" s="6" t="s">
        <v>3937</v>
      </c>
      <c r="D1312" s="5" t="s">
        <v>3938</v>
      </c>
      <c r="E1312" s="5" t="s">
        <v>3939</v>
      </c>
      <c r="F1312" s="4">
        <v>1</v>
      </c>
      <c r="G1312" s="4">
        <v>1</v>
      </c>
    </row>
    <row r="1313" spans="1:7" ht="25.5">
      <c r="A1313" s="9">
        <v>1312</v>
      </c>
      <c r="B1313" s="10" t="s">
        <v>759</v>
      </c>
      <c r="C1313" s="11" t="s">
        <v>3940</v>
      </c>
      <c r="D1313" s="10" t="s">
        <v>3941</v>
      </c>
      <c r="E1313" s="10" t="s">
        <v>3942</v>
      </c>
      <c r="F1313" s="9">
        <v>1</v>
      </c>
      <c r="G1313" s="9">
        <v>1</v>
      </c>
    </row>
    <row r="1314" spans="1:7" ht="25.5">
      <c r="A1314" s="4">
        <v>1313</v>
      </c>
      <c r="B1314" s="5" t="s">
        <v>759</v>
      </c>
      <c r="C1314" s="6" t="s">
        <v>3943</v>
      </c>
      <c r="D1314" s="5" t="s">
        <v>3944</v>
      </c>
      <c r="E1314" s="5" t="s">
        <v>3945</v>
      </c>
      <c r="F1314" s="4">
        <v>1</v>
      </c>
      <c r="G1314" s="4">
        <v>1</v>
      </c>
    </row>
    <row r="1315" spans="1:7" ht="25.5">
      <c r="A1315" s="9">
        <v>1314</v>
      </c>
      <c r="B1315" s="10" t="s">
        <v>759</v>
      </c>
      <c r="C1315" s="11" t="s">
        <v>3946</v>
      </c>
      <c r="D1315" s="10" t="s">
        <v>3947</v>
      </c>
      <c r="E1315" s="10" t="s">
        <v>3948</v>
      </c>
      <c r="F1315" s="9">
        <v>1</v>
      </c>
      <c r="G1315" s="9">
        <v>1</v>
      </c>
    </row>
    <row r="1316" spans="1:7" ht="25.5">
      <c r="A1316" s="4">
        <v>1315</v>
      </c>
      <c r="B1316" s="5" t="s">
        <v>759</v>
      </c>
      <c r="C1316" s="6" t="s">
        <v>3949</v>
      </c>
      <c r="D1316" s="5" t="s">
        <v>3950</v>
      </c>
      <c r="E1316" s="5" t="s">
        <v>3951</v>
      </c>
      <c r="F1316" s="4">
        <v>1</v>
      </c>
      <c r="G1316" s="4">
        <v>1</v>
      </c>
    </row>
    <row r="1317" spans="1:7" ht="25.5">
      <c r="A1317" s="9">
        <v>1316</v>
      </c>
      <c r="B1317" s="10" t="s">
        <v>759</v>
      </c>
      <c r="C1317" s="11" t="s">
        <v>3952</v>
      </c>
      <c r="D1317" s="10" t="s">
        <v>3953</v>
      </c>
      <c r="E1317" s="10" t="s">
        <v>3954</v>
      </c>
      <c r="F1317" s="9">
        <v>1</v>
      </c>
      <c r="G1317" s="9">
        <v>1</v>
      </c>
    </row>
    <row r="1318" spans="1:7" ht="25.5">
      <c r="A1318" s="4">
        <v>1317</v>
      </c>
      <c r="B1318" s="5" t="s">
        <v>759</v>
      </c>
      <c r="C1318" s="6" t="s">
        <v>3955</v>
      </c>
      <c r="D1318" s="5" t="s">
        <v>3956</v>
      </c>
      <c r="E1318" s="5" t="s">
        <v>3957</v>
      </c>
      <c r="F1318" s="4">
        <v>1</v>
      </c>
      <c r="G1318" s="4">
        <v>1</v>
      </c>
    </row>
    <row r="1319" spans="1:7" ht="25.5">
      <c r="A1319" s="9">
        <v>1318</v>
      </c>
      <c r="B1319" s="10" t="s">
        <v>759</v>
      </c>
      <c r="C1319" s="11" t="s">
        <v>3958</v>
      </c>
      <c r="D1319" s="10" t="s">
        <v>3959</v>
      </c>
      <c r="E1319" s="10" t="s">
        <v>3960</v>
      </c>
      <c r="F1319" s="9">
        <v>1</v>
      </c>
      <c r="G1319" s="9">
        <v>1</v>
      </c>
    </row>
    <row r="1320" spans="1:7" ht="25.5">
      <c r="A1320" s="4">
        <v>1319</v>
      </c>
      <c r="B1320" s="5" t="s">
        <v>759</v>
      </c>
      <c r="C1320" s="6" t="s">
        <v>3961</v>
      </c>
      <c r="D1320" s="5" t="s">
        <v>3962</v>
      </c>
      <c r="E1320" s="5" t="s">
        <v>3963</v>
      </c>
      <c r="F1320" s="4">
        <v>1</v>
      </c>
      <c r="G1320" s="4">
        <v>1</v>
      </c>
    </row>
    <row r="1321" spans="1:7" ht="25.5">
      <c r="A1321" s="9">
        <v>1320</v>
      </c>
      <c r="B1321" s="10" t="s">
        <v>759</v>
      </c>
      <c r="C1321" s="11" t="s">
        <v>3964</v>
      </c>
      <c r="D1321" s="10" t="s">
        <v>3965</v>
      </c>
      <c r="E1321" s="10" t="s">
        <v>3966</v>
      </c>
      <c r="F1321" s="9">
        <v>1</v>
      </c>
      <c r="G1321" s="9">
        <v>1</v>
      </c>
    </row>
    <row r="1322" spans="1:7" ht="25.5">
      <c r="A1322" s="4">
        <v>1321</v>
      </c>
      <c r="B1322" s="5" t="s">
        <v>759</v>
      </c>
      <c r="C1322" s="6" t="s">
        <v>3967</v>
      </c>
      <c r="D1322" s="5" t="s">
        <v>3968</v>
      </c>
      <c r="E1322" s="5" t="s">
        <v>3969</v>
      </c>
      <c r="F1322" s="4">
        <v>1</v>
      </c>
      <c r="G1322" s="4">
        <v>1</v>
      </c>
    </row>
    <row r="1323" spans="1:7" ht="25.5">
      <c r="A1323" s="9">
        <v>1322</v>
      </c>
      <c r="B1323" s="10" t="s">
        <v>759</v>
      </c>
      <c r="C1323" s="11" t="s">
        <v>3970</v>
      </c>
      <c r="D1323" s="10" t="s">
        <v>3971</v>
      </c>
      <c r="E1323" s="10" t="s">
        <v>3972</v>
      </c>
      <c r="F1323" s="9">
        <v>1</v>
      </c>
      <c r="G1323" s="9">
        <v>1</v>
      </c>
    </row>
    <row r="1324" spans="1:7" ht="25.5">
      <c r="A1324" s="4">
        <v>1323</v>
      </c>
      <c r="B1324" s="5" t="s">
        <v>759</v>
      </c>
      <c r="C1324" s="6" t="s">
        <v>3973</v>
      </c>
      <c r="D1324" s="5" t="s">
        <v>3974</v>
      </c>
      <c r="E1324" s="5" t="s">
        <v>3975</v>
      </c>
      <c r="F1324" s="4">
        <v>1</v>
      </c>
      <c r="G1324" s="4">
        <v>1</v>
      </c>
    </row>
    <row r="1325" spans="1:7" ht="25.5">
      <c r="A1325" s="9">
        <v>1324</v>
      </c>
      <c r="B1325" s="10" t="s">
        <v>759</v>
      </c>
      <c r="C1325" s="11" t="s">
        <v>3976</v>
      </c>
      <c r="D1325" s="10" t="s">
        <v>3977</v>
      </c>
      <c r="E1325" s="10" t="s">
        <v>3978</v>
      </c>
      <c r="F1325" s="9">
        <v>1</v>
      </c>
      <c r="G1325" s="9">
        <v>1</v>
      </c>
    </row>
    <row r="1326" spans="1:7" ht="25.5">
      <c r="A1326" s="4">
        <v>1325</v>
      </c>
      <c r="B1326" s="5" t="s">
        <v>759</v>
      </c>
      <c r="C1326" s="6" t="s">
        <v>3979</v>
      </c>
      <c r="D1326" s="5" t="s">
        <v>3980</v>
      </c>
      <c r="E1326" s="5" t="s">
        <v>3981</v>
      </c>
      <c r="F1326" s="4">
        <v>1</v>
      </c>
      <c r="G1326" s="4">
        <v>1</v>
      </c>
    </row>
    <row r="1327" spans="1:7" ht="25.5">
      <c r="A1327" s="9">
        <v>1326</v>
      </c>
      <c r="B1327" s="10" t="s">
        <v>759</v>
      </c>
      <c r="C1327" s="11" t="s">
        <v>3982</v>
      </c>
      <c r="D1327" s="10" t="s">
        <v>3983</v>
      </c>
      <c r="E1327" s="10" t="s">
        <v>3984</v>
      </c>
      <c r="F1327" s="9">
        <v>1</v>
      </c>
      <c r="G1327" s="9">
        <v>1</v>
      </c>
    </row>
    <row r="1328" spans="1:7" ht="25.5">
      <c r="A1328" s="4">
        <v>1327</v>
      </c>
      <c r="B1328" s="5" t="s">
        <v>759</v>
      </c>
      <c r="C1328" s="6" t="s">
        <v>3985</v>
      </c>
      <c r="D1328" s="5" t="s">
        <v>3986</v>
      </c>
      <c r="E1328" s="5" t="s">
        <v>3987</v>
      </c>
      <c r="F1328" s="4">
        <v>1</v>
      </c>
      <c r="G1328" s="4">
        <v>1</v>
      </c>
    </row>
    <row r="1329" spans="1:7" ht="25.5">
      <c r="A1329" s="9">
        <v>1328</v>
      </c>
      <c r="B1329" s="10" t="s">
        <v>759</v>
      </c>
      <c r="C1329" s="11" t="s">
        <v>3988</v>
      </c>
      <c r="D1329" s="10" t="s">
        <v>3989</v>
      </c>
      <c r="E1329" s="10" t="s">
        <v>3990</v>
      </c>
      <c r="F1329" s="9">
        <v>1</v>
      </c>
      <c r="G1329" s="9">
        <v>1</v>
      </c>
    </row>
    <row r="1330" spans="1:7" ht="51">
      <c r="A1330" s="4">
        <v>1329</v>
      </c>
      <c r="B1330" s="5" t="s">
        <v>759</v>
      </c>
      <c r="C1330" s="6" t="s">
        <v>3991</v>
      </c>
      <c r="D1330" s="5" t="s">
        <v>3992</v>
      </c>
      <c r="E1330" s="5" t="s">
        <v>3993</v>
      </c>
      <c r="F1330" s="4">
        <v>1</v>
      </c>
      <c r="G1330" s="4">
        <v>1</v>
      </c>
    </row>
    <row r="1331" spans="1:7" ht="25.5">
      <c r="A1331" s="9">
        <v>1330</v>
      </c>
      <c r="B1331" s="10" t="s">
        <v>759</v>
      </c>
      <c r="C1331" s="11" t="s">
        <v>3994</v>
      </c>
      <c r="D1331" s="10" t="s">
        <v>3995</v>
      </c>
      <c r="E1331" s="10" t="s">
        <v>3996</v>
      </c>
      <c r="F1331" s="9">
        <v>1</v>
      </c>
      <c r="G1331" s="9">
        <v>1</v>
      </c>
    </row>
    <row r="1332" spans="1:7" ht="25.5">
      <c r="A1332" s="4">
        <v>1331</v>
      </c>
      <c r="B1332" s="5" t="s">
        <v>759</v>
      </c>
      <c r="C1332" s="6" t="s">
        <v>3997</v>
      </c>
      <c r="D1332" s="5" t="s">
        <v>3998</v>
      </c>
      <c r="E1332" s="5" t="s">
        <v>3999</v>
      </c>
      <c r="F1332" s="4">
        <v>1</v>
      </c>
      <c r="G1332" s="4">
        <v>1</v>
      </c>
    </row>
    <row r="1333" spans="1:7" ht="25.5">
      <c r="A1333" s="9">
        <v>1332</v>
      </c>
      <c r="B1333" s="10" t="s">
        <v>759</v>
      </c>
      <c r="C1333" s="11" t="s">
        <v>4000</v>
      </c>
      <c r="D1333" s="10" t="s">
        <v>4001</v>
      </c>
      <c r="E1333" s="10" t="s">
        <v>4002</v>
      </c>
      <c r="F1333" s="9">
        <v>1</v>
      </c>
      <c r="G1333" s="9">
        <v>1</v>
      </c>
    </row>
    <row r="1334" spans="1:7" ht="25.5">
      <c r="A1334" s="4">
        <v>1333</v>
      </c>
      <c r="B1334" s="5" t="s">
        <v>759</v>
      </c>
      <c r="C1334" s="6" t="s">
        <v>4003</v>
      </c>
      <c r="D1334" s="5" t="s">
        <v>4004</v>
      </c>
      <c r="E1334" s="5" t="s">
        <v>4005</v>
      </c>
      <c r="F1334" s="4">
        <v>1</v>
      </c>
      <c r="G1334" s="4">
        <v>1</v>
      </c>
    </row>
    <row r="1335" spans="1:7" ht="25.5">
      <c r="A1335" s="9">
        <v>1334</v>
      </c>
      <c r="B1335" s="10" t="s">
        <v>759</v>
      </c>
      <c r="C1335" s="11" t="s">
        <v>4006</v>
      </c>
      <c r="D1335" s="10" t="s">
        <v>4007</v>
      </c>
      <c r="E1335" s="10" t="s">
        <v>4008</v>
      </c>
      <c r="F1335" s="9">
        <v>1</v>
      </c>
      <c r="G1335" s="9">
        <v>1</v>
      </c>
    </row>
    <row r="1336" spans="1:7" ht="25.5">
      <c r="A1336" s="4">
        <v>1335</v>
      </c>
      <c r="B1336" s="5" t="s">
        <v>759</v>
      </c>
      <c r="C1336" s="6" t="s">
        <v>4009</v>
      </c>
      <c r="D1336" s="5" t="s">
        <v>4010</v>
      </c>
      <c r="E1336" s="5" t="s">
        <v>4011</v>
      </c>
      <c r="F1336" s="4">
        <v>1</v>
      </c>
      <c r="G1336" s="4">
        <v>1</v>
      </c>
    </row>
    <row r="1337" spans="1:7" ht="25.5">
      <c r="A1337" s="9">
        <v>1336</v>
      </c>
      <c r="B1337" s="10" t="s">
        <v>759</v>
      </c>
      <c r="C1337" s="11" t="s">
        <v>4012</v>
      </c>
      <c r="D1337" s="10" t="s">
        <v>4013</v>
      </c>
      <c r="E1337" s="10" t="s">
        <v>4014</v>
      </c>
      <c r="F1337" s="9">
        <v>1</v>
      </c>
      <c r="G1337" s="9">
        <v>1</v>
      </c>
    </row>
    <row r="1338" spans="1:7" ht="25.5">
      <c r="A1338" s="4">
        <v>1337</v>
      </c>
      <c r="B1338" s="5" t="s">
        <v>759</v>
      </c>
      <c r="C1338" s="6" t="s">
        <v>4015</v>
      </c>
      <c r="D1338" s="5" t="s">
        <v>4016</v>
      </c>
      <c r="E1338" s="5" t="s">
        <v>4017</v>
      </c>
      <c r="F1338" s="4">
        <v>1</v>
      </c>
      <c r="G1338" s="4">
        <v>1</v>
      </c>
    </row>
    <row r="1339" spans="1:7" ht="25.5">
      <c r="A1339" s="9">
        <v>1338</v>
      </c>
      <c r="B1339" s="10" t="s">
        <v>759</v>
      </c>
      <c r="C1339" s="11" t="s">
        <v>4018</v>
      </c>
      <c r="D1339" s="10" t="s">
        <v>4019</v>
      </c>
      <c r="E1339" s="10" t="s">
        <v>4020</v>
      </c>
      <c r="F1339" s="9">
        <v>1</v>
      </c>
      <c r="G1339" s="9">
        <v>1</v>
      </c>
    </row>
    <row r="1340" spans="1:7" ht="25.5">
      <c r="A1340" s="4">
        <v>1339</v>
      </c>
      <c r="B1340" s="5" t="s">
        <v>759</v>
      </c>
      <c r="C1340" s="6" t="s">
        <v>4021</v>
      </c>
      <c r="D1340" s="5" t="s">
        <v>4022</v>
      </c>
      <c r="E1340" s="5" t="s">
        <v>4023</v>
      </c>
      <c r="F1340" s="4">
        <v>1</v>
      </c>
      <c r="G1340" s="4">
        <v>1</v>
      </c>
    </row>
    <row r="1341" spans="1:7" ht="25.5">
      <c r="A1341" s="9">
        <v>1340</v>
      </c>
      <c r="B1341" s="10" t="s">
        <v>759</v>
      </c>
      <c r="C1341" s="11" t="s">
        <v>4024</v>
      </c>
      <c r="D1341" s="10" t="s">
        <v>4025</v>
      </c>
      <c r="E1341" s="10" t="s">
        <v>4026</v>
      </c>
      <c r="F1341" s="9">
        <v>1</v>
      </c>
      <c r="G1341" s="9">
        <v>1</v>
      </c>
    </row>
    <row r="1342" spans="1:7" ht="25.5">
      <c r="A1342" s="4">
        <v>1341</v>
      </c>
      <c r="B1342" s="5" t="s">
        <v>759</v>
      </c>
      <c r="C1342" s="6" t="s">
        <v>4027</v>
      </c>
      <c r="D1342" s="5" t="s">
        <v>4028</v>
      </c>
      <c r="E1342" s="5" t="s">
        <v>4029</v>
      </c>
      <c r="F1342" s="4">
        <v>1</v>
      </c>
      <c r="G1342" s="4">
        <v>1</v>
      </c>
    </row>
    <row r="1343" spans="1:7" ht="25.5">
      <c r="A1343" s="9">
        <v>1342</v>
      </c>
      <c r="B1343" s="10" t="s">
        <v>759</v>
      </c>
      <c r="C1343" s="11" t="s">
        <v>4030</v>
      </c>
      <c r="D1343" s="10" t="s">
        <v>4031</v>
      </c>
      <c r="E1343" s="10" t="s">
        <v>4032</v>
      </c>
      <c r="F1343" s="9">
        <v>1</v>
      </c>
      <c r="G1343" s="9">
        <v>1</v>
      </c>
    </row>
    <row r="1344" spans="1:7" ht="25.5">
      <c r="A1344" s="4">
        <v>1343</v>
      </c>
      <c r="B1344" s="5" t="s">
        <v>759</v>
      </c>
      <c r="C1344" s="6" t="s">
        <v>4033</v>
      </c>
      <c r="D1344" s="5" t="s">
        <v>4034</v>
      </c>
      <c r="E1344" s="5" t="s">
        <v>4035</v>
      </c>
      <c r="F1344" s="4">
        <v>1</v>
      </c>
      <c r="G1344" s="4">
        <v>1</v>
      </c>
    </row>
    <row r="1345" spans="1:7" ht="25.5">
      <c r="A1345" s="9">
        <v>1344</v>
      </c>
      <c r="B1345" s="10" t="s">
        <v>759</v>
      </c>
      <c r="C1345" s="11" t="s">
        <v>4036</v>
      </c>
      <c r="D1345" s="10" t="s">
        <v>4037</v>
      </c>
      <c r="E1345" s="10" t="s">
        <v>4038</v>
      </c>
      <c r="F1345" s="9">
        <v>1</v>
      </c>
      <c r="G1345" s="9">
        <v>1</v>
      </c>
    </row>
    <row r="1346" spans="1:7" ht="25.5">
      <c r="A1346" s="4">
        <v>1345</v>
      </c>
      <c r="B1346" s="5" t="s">
        <v>759</v>
      </c>
      <c r="C1346" s="6" t="s">
        <v>4039</v>
      </c>
      <c r="D1346" s="5" t="s">
        <v>4040</v>
      </c>
      <c r="E1346" s="5" t="s">
        <v>4041</v>
      </c>
      <c r="F1346" s="4">
        <v>1</v>
      </c>
      <c r="G1346" s="4">
        <v>1</v>
      </c>
    </row>
    <row r="1347" spans="1:7" ht="25.5">
      <c r="A1347" s="9">
        <v>1346</v>
      </c>
      <c r="B1347" s="10" t="s">
        <v>759</v>
      </c>
      <c r="C1347" s="11" t="s">
        <v>4042</v>
      </c>
      <c r="D1347" s="10" t="s">
        <v>4043</v>
      </c>
      <c r="E1347" s="10" t="s">
        <v>4044</v>
      </c>
      <c r="F1347" s="9">
        <v>1</v>
      </c>
      <c r="G1347" s="9">
        <v>1</v>
      </c>
    </row>
    <row r="1348" spans="1:7" ht="25.5">
      <c r="A1348" s="4">
        <v>1347</v>
      </c>
      <c r="B1348" s="5" t="s">
        <v>759</v>
      </c>
      <c r="C1348" s="6" t="s">
        <v>4045</v>
      </c>
      <c r="D1348" s="5" t="s">
        <v>4046</v>
      </c>
      <c r="E1348" s="5" t="s">
        <v>4047</v>
      </c>
      <c r="F1348" s="4">
        <v>1</v>
      </c>
      <c r="G1348" s="4">
        <v>1</v>
      </c>
    </row>
    <row r="1349" spans="1:7" ht="25.5">
      <c r="A1349" s="9">
        <v>1348</v>
      </c>
      <c r="B1349" s="10" t="s">
        <v>759</v>
      </c>
      <c r="C1349" s="11" t="s">
        <v>4048</v>
      </c>
      <c r="D1349" s="10" t="s">
        <v>4049</v>
      </c>
      <c r="E1349" s="10" t="s">
        <v>4050</v>
      </c>
      <c r="F1349" s="9">
        <v>1</v>
      </c>
      <c r="G1349" s="9">
        <v>1</v>
      </c>
    </row>
    <row r="1350" spans="1:7" ht="25.5">
      <c r="A1350" s="4">
        <v>1349</v>
      </c>
      <c r="B1350" s="5" t="s">
        <v>759</v>
      </c>
      <c r="C1350" s="6" t="s">
        <v>4051</v>
      </c>
      <c r="D1350" s="5" t="s">
        <v>4052</v>
      </c>
      <c r="E1350" s="5" t="s">
        <v>4053</v>
      </c>
      <c r="F1350" s="4">
        <v>1</v>
      </c>
      <c r="G1350" s="4">
        <v>1</v>
      </c>
    </row>
    <row r="1351" spans="1:7" ht="25.5">
      <c r="A1351" s="9">
        <v>1350</v>
      </c>
      <c r="B1351" s="10" t="s">
        <v>759</v>
      </c>
      <c r="C1351" s="11" t="s">
        <v>4054</v>
      </c>
      <c r="D1351" s="10" t="s">
        <v>4055</v>
      </c>
      <c r="E1351" s="10" t="s">
        <v>4056</v>
      </c>
      <c r="F1351" s="9">
        <v>1</v>
      </c>
      <c r="G1351" s="9">
        <v>1</v>
      </c>
    </row>
    <row r="1352" spans="1:7" ht="25.5">
      <c r="A1352" s="4">
        <v>1351</v>
      </c>
      <c r="B1352" s="5" t="s">
        <v>759</v>
      </c>
      <c r="C1352" s="6" t="s">
        <v>4057</v>
      </c>
      <c r="D1352" s="5" t="s">
        <v>4058</v>
      </c>
      <c r="E1352" s="5" t="s">
        <v>4059</v>
      </c>
      <c r="F1352" s="4">
        <v>1</v>
      </c>
      <c r="G1352" s="4">
        <v>1</v>
      </c>
    </row>
    <row r="1353" spans="1:7" ht="25.5">
      <c r="A1353" s="9">
        <v>1352</v>
      </c>
      <c r="B1353" s="10" t="s">
        <v>759</v>
      </c>
      <c r="C1353" s="11" t="s">
        <v>4060</v>
      </c>
      <c r="D1353" s="10" t="s">
        <v>4061</v>
      </c>
      <c r="E1353" s="10" t="s">
        <v>4062</v>
      </c>
      <c r="F1353" s="9">
        <v>1</v>
      </c>
      <c r="G1353" s="9">
        <v>1</v>
      </c>
    </row>
    <row r="1354" spans="1:7" ht="25.5">
      <c r="A1354" s="4">
        <v>1353</v>
      </c>
      <c r="B1354" s="5" t="s">
        <v>759</v>
      </c>
      <c r="C1354" s="6" t="s">
        <v>4063</v>
      </c>
      <c r="D1354" s="5" t="s">
        <v>4064</v>
      </c>
      <c r="E1354" s="5" t="s">
        <v>4065</v>
      </c>
      <c r="F1354" s="4">
        <v>1</v>
      </c>
      <c r="G1354" s="4">
        <v>1</v>
      </c>
    </row>
    <row r="1355" spans="1:7" ht="25.5">
      <c r="A1355" s="9">
        <v>1354</v>
      </c>
      <c r="B1355" s="10" t="s">
        <v>759</v>
      </c>
      <c r="C1355" s="11" t="s">
        <v>4066</v>
      </c>
      <c r="D1355" s="10" t="s">
        <v>4067</v>
      </c>
      <c r="E1355" s="10" t="s">
        <v>4068</v>
      </c>
      <c r="F1355" s="9">
        <v>1</v>
      </c>
      <c r="G1355" s="9">
        <v>1</v>
      </c>
    </row>
    <row r="1356" spans="1:7" ht="25.5">
      <c r="A1356" s="4">
        <v>1355</v>
      </c>
      <c r="B1356" s="5" t="s">
        <v>759</v>
      </c>
      <c r="C1356" s="6" t="s">
        <v>4069</v>
      </c>
      <c r="D1356" s="5" t="s">
        <v>4070</v>
      </c>
      <c r="E1356" s="5" t="s">
        <v>4071</v>
      </c>
      <c r="F1356" s="4">
        <v>1</v>
      </c>
      <c r="G1356" s="4">
        <v>1</v>
      </c>
    </row>
    <row r="1357" spans="1:7" ht="25.5">
      <c r="A1357" s="9">
        <v>1356</v>
      </c>
      <c r="B1357" s="10" t="s">
        <v>759</v>
      </c>
      <c r="C1357" s="11" t="s">
        <v>4072</v>
      </c>
      <c r="D1357" s="10" t="s">
        <v>4073</v>
      </c>
      <c r="E1357" s="10" t="s">
        <v>4074</v>
      </c>
      <c r="F1357" s="9">
        <v>1</v>
      </c>
      <c r="G1357" s="9">
        <v>1</v>
      </c>
    </row>
    <row r="1358" spans="1:7" ht="25.5">
      <c r="A1358" s="4">
        <v>1357</v>
      </c>
      <c r="B1358" s="5" t="s">
        <v>759</v>
      </c>
      <c r="C1358" s="6" t="s">
        <v>4075</v>
      </c>
      <c r="D1358" s="5" t="s">
        <v>4076</v>
      </c>
      <c r="E1358" s="5" t="s">
        <v>4077</v>
      </c>
      <c r="F1358" s="4">
        <v>1</v>
      </c>
      <c r="G1358" s="4">
        <v>1</v>
      </c>
    </row>
    <row r="1359" spans="1:7" ht="25.5">
      <c r="A1359" s="9">
        <v>1358</v>
      </c>
      <c r="B1359" s="10" t="s">
        <v>759</v>
      </c>
      <c r="C1359" s="11" t="s">
        <v>4078</v>
      </c>
      <c r="D1359" s="10" t="s">
        <v>4079</v>
      </c>
      <c r="E1359" s="10" t="s">
        <v>4080</v>
      </c>
      <c r="F1359" s="9">
        <v>1</v>
      </c>
      <c r="G1359" s="9">
        <v>1</v>
      </c>
    </row>
    <row r="1360" spans="1:7" ht="25.5">
      <c r="A1360" s="4">
        <v>1359</v>
      </c>
      <c r="B1360" s="5" t="s">
        <v>759</v>
      </c>
      <c r="C1360" s="6" t="s">
        <v>4081</v>
      </c>
      <c r="D1360" s="5" t="s">
        <v>4082</v>
      </c>
      <c r="E1360" s="5" t="s">
        <v>4083</v>
      </c>
      <c r="F1360" s="4">
        <v>1</v>
      </c>
      <c r="G1360" s="4">
        <v>1</v>
      </c>
    </row>
    <row r="1361" spans="1:7" ht="25.5">
      <c r="A1361" s="9">
        <v>1360</v>
      </c>
      <c r="B1361" s="10" t="s">
        <v>759</v>
      </c>
      <c r="C1361" s="11" t="s">
        <v>4084</v>
      </c>
      <c r="D1361" s="10" t="s">
        <v>4085</v>
      </c>
      <c r="E1361" s="10" t="s">
        <v>4086</v>
      </c>
      <c r="F1361" s="9">
        <v>1</v>
      </c>
      <c r="G1361" s="9">
        <v>1</v>
      </c>
    </row>
    <row r="1362" spans="1:7" ht="25.5">
      <c r="A1362" s="4">
        <v>1361</v>
      </c>
      <c r="B1362" s="5" t="s">
        <v>759</v>
      </c>
      <c r="C1362" s="6" t="s">
        <v>4087</v>
      </c>
      <c r="D1362" s="5" t="s">
        <v>4088</v>
      </c>
      <c r="E1362" s="5" t="s">
        <v>4089</v>
      </c>
      <c r="F1362" s="4">
        <v>1</v>
      </c>
      <c r="G1362" s="4">
        <v>1</v>
      </c>
    </row>
    <row r="1363" spans="1:7" ht="25.5">
      <c r="A1363" s="9">
        <v>1362</v>
      </c>
      <c r="B1363" s="10" t="s">
        <v>759</v>
      </c>
      <c r="C1363" s="11" t="s">
        <v>4090</v>
      </c>
      <c r="D1363" s="10" t="s">
        <v>4091</v>
      </c>
      <c r="E1363" s="10" t="s">
        <v>4092</v>
      </c>
      <c r="F1363" s="9">
        <v>1</v>
      </c>
      <c r="G1363" s="9">
        <v>1</v>
      </c>
    </row>
    <row r="1364" spans="1:7" ht="25.5">
      <c r="A1364" s="4">
        <v>1363</v>
      </c>
      <c r="B1364" s="5" t="s">
        <v>759</v>
      </c>
      <c r="C1364" s="6" t="s">
        <v>4093</v>
      </c>
      <c r="D1364" s="5" t="s">
        <v>4094</v>
      </c>
      <c r="E1364" s="5" t="s">
        <v>4095</v>
      </c>
      <c r="F1364" s="4">
        <v>1</v>
      </c>
      <c r="G1364" s="4">
        <v>1</v>
      </c>
    </row>
    <row r="1365" spans="1:7" ht="25.5">
      <c r="A1365" s="9">
        <v>1364</v>
      </c>
      <c r="B1365" s="10" t="s">
        <v>759</v>
      </c>
      <c r="C1365" s="11" t="s">
        <v>4096</v>
      </c>
      <c r="D1365" s="10" t="s">
        <v>4097</v>
      </c>
      <c r="E1365" s="10" t="s">
        <v>4098</v>
      </c>
      <c r="F1365" s="9">
        <v>1</v>
      </c>
      <c r="G1365" s="9">
        <v>1</v>
      </c>
    </row>
    <row r="1366" spans="1:7" ht="25.5">
      <c r="A1366" s="4">
        <v>1365</v>
      </c>
      <c r="B1366" s="5" t="s">
        <v>759</v>
      </c>
      <c r="C1366" s="6" t="s">
        <v>4099</v>
      </c>
      <c r="D1366" s="5" t="s">
        <v>4100</v>
      </c>
      <c r="E1366" s="5" t="s">
        <v>4101</v>
      </c>
      <c r="F1366" s="4">
        <v>1</v>
      </c>
      <c r="G1366" s="4">
        <v>1</v>
      </c>
    </row>
    <row r="1367" spans="1:7" ht="25.5">
      <c r="A1367" s="9">
        <v>1366</v>
      </c>
      <c r="B1367" s="10" t="s">
        <v>759</v>
      </c>
      <c r="C1367" s="11" t="s">
        <v>4102</v>
      </c>
      <c r="D1367" s="10" t="s">
        <v>4103</v>
      </c>
      <c r="E1367" s="10" t="s">
        <v>4104</v>
      </c>
      <c r="F1367" s="9">
        <v>1</v>
      </c>
      <c r="G1367" s="9">
        <v>1</v>
      </c>
    </row>
    <row r="1368" spans="1:7" ht="25.5">
      <c r="A1368" s="4">
        <v>1367</v>
      </c>
      <c r="B1368" s="5" t="s">
        <v>759</v>
      </c>
      <c r="C1368" s="6" t="s">
        <v>4105</v>
      </c>
      <c r="D1368" s="5" t="s">
        <v>4106</v>
      </c>
      <c r="E1368" s="5" t="s">
        <v>4107</v>
      </c>
      <c r="F1368" s="4">
        <v>1</v>
      </c>
      <c r="G1368" s="4">
        <v>1</v>
      </c>
    </row>
    <row r="1369" spans="1:7" ht="25.5">
      <c r="A1369" s="9">
        <v>1368</v>
      </c>
      <c r="B1369" s="10" t="s">
        <v>759</v>
      </c>
      <c r="C1369" s="11" t="s">
        <v>4108</v>
      </c>
      <c r="D1369" s="10" t="s">
        <v>4109</v>
      </c>
      <c r="E1369" s="10" t="s">
        <v>4110</v>
      </c>
      <c r="F1369" s="9">
        <v>1</v>
      </c>
      <c r="G1369" s="9">
        <v>1</v>
      </c>
    </row>
    <row r="1370" spans="1:7" ht="25.5">
      <c r="A1370" s="4">
        <v>1369</v>
      </c>
      <c r="B1370" s="5" t="s">
        <v>759</v>
      </c>
      <c r="C1370" s="6" t="s">
        <v>4111</v>
      </c>
      <c r="D1370" s="5" t="s">
        <v>4112</v>
      </c>
      <c r="E1370" s="5" t="s">
        <v>4113</v>
      </c>
      <c r="F1370" s="4">
        <v>1</v>
      </c>
      <c r="G1370" s="4">
        <v>1</v>
      </c>
    </row>
    <row r="1371" spans="1:7" ht="25.5">
      <c r="A1371" s="9">
        <v>1370</v>
      </c>
      <c r="B1371" s="10" t="s">
        <v>759</v>
      </c>
      <c r="C1371" s="11" t="s">
        <v>4114</v>
      </c>
      <c r="D1371" s="10" t="s">
        <v>4115</v>
      </c>
      <c r="E1371" s="10" t="s">
        <v>4116</v>
      </c>
      <c r="F1371" s="9">
        <v>1</v>
      </c>
      <c r="G1371" s="9">
        <v>1</v>
      </c>
    </row>
    <row r="1372" spans="1:7" ht="25.5">
      <c r="A1372" s="4">
        <v>1371</v>
      </c>
      <c r="B1372" s="5" t="s">
        <v>759</v>
      </c>
      <c r="C1372" s="6" t="s">
        <v>4117</v>
      </c>
      <c r="D1372" s="5" t="s">
        <v>4118</v>
      </c>
      <c r="E1372" s="5" t="s">
        <v>4119</v>
      </c>
      <c r="F1372" s="4">
        <v>1</v>
      </c>
      <c r="G1372" s="4">
        <v>1</v>
      </c>
    </row>
    <row r="1373" spans="1:7" ht="25.5">
      <c r="A1373" s="9">
        <v>1372</v>
      </c>
      <c r="B1373" s="10" t="s">
        <v>759</v>
      </c>
      <c r="C1373" s="11" t="s">
        <v>4120</v>
      </c>
      <c r="D1373" s="10" t="s">
        <v>4121</v>
      </c>
      <c r="E1373" s="10" t="s">
        <v>4122</v>
      </c>
      <c r="F1373" s="9">
        <v>1</v>
      </c>
      <c r="G1373" s="9">
        <v>1</v>
      </c>
    </row>
    <row r="1374" spans="1:7" ht="25.5">
      <c r="A1374" s="4">
        <v>1373</v>
      </c>
      <c r="B1374" s="5" t="s">
        <v>759</v>
      </c>
      <c r="C1374" s="6" t="s">
        <v>4123</v>
      </c>
      <c r="D1374" s="5" t="s">
        <v>4124</v>
      </c>
      <c r="E1374" s="5" t="s">
        <v>4125</v>
      </c>
      <c r="F1374" s="4">
        <v>1</v>
      </c>
      <c r="G1374" s="4">
        <v>1</v>
      </c>
    </row>
    <row r="1375" spans="1:7" ht="25.5">
      <c r="A1375" s="9">
        <v>1374</v>
      </c>
      <c r="B1375" s="10" t="s">
        <v>759</v>
      </c>
      <c r="C1375" s="11" t="s">
        <v>4126</v>
      </c>
      <c r="D1375" s="10" t="s">
        <v>4127</v>
      </c>
      <c r="E1375" s="10" t="s">
        <v>4128</v>
      </c>
      <c r="F1375" s="9">
        <v>1</v>
      </c>
      <c r="G1375" s="9">
        <v>1</v>
      </c>
    </row>
    <row r="1376" spans="1:7" ht="25.5">
      <c r="A1376" s="4">
        <v>1375</v>
      </c>
      <c r="B1376" s="5" t="s">
        <v>759</v>
      </c>
      <c r="C1376" s="6" t="s">
        <v>4129</v>
      </c>
      <c r="D1376" s="5" t="s">
        <v>4130</v>
      </c>
      <c r="E1376" s="5" t="s">
        <v>4131</v>
      </c>
      <c r="F1376" s="4">
        <v>1</v>
      </c>
      <c r="G1376" s="4">
        <v>1</v>
      </c>
    </row>
    <row r="1377" spans="1:7" ht="25.5">
      <c r="A1377" s="9">
        <v>1376</v>
      </c>
      <c r="B1377" s="10" t="s">
        <v>759</v>
      </c>
      <c r="C1377" s="11" t="s">
        <v>4132</v>
      </c>
      <c r="D1377" s="10" t="s">
        <v>4133</v>
      </c>
      <c r="E1377" s="10" t="s">
        <v>4134</v>
      </c>
      <c r="F1377" s="9">
        <v>1</v>
      </c>
      <c r="G1377" s="9">
        <v>1</v>
      </c>
    </row>
    <row r="1378" spans="1:7" ht="38.25">
      <c r="A1378" s="4">
        <v>1377</v>
      </c>
      <c r="B1378" s="5" t="s">
        <v>759</v>
      </c>
      <c r="C1378" s="6" t="s">
        <v>4135</v>
      </c>
      <c r="D1378" s="5" t="s">
        <v>4136</v>
      </c>
      <c r="E1378" s="5" t="s">
        <v>4137</v>
      </c>
      <c r="F1378" s="4">
        <v>1</v>
      </c>
      <c r="G1378" s="4">
        <v>1</v>
      </c>
    </row>
    <row r="1379" spans="1:7" ht="25.5">
      <c r="A1379" s="9">
        <v>1378</v>
      </c>
      <c r="B1379" s="10" t="s">
        <v>759</v>
      </c>
      <c r="C1379" s="11" t="s">
        <v>4138</v>
      </c>
      <c r="D1379" s="10" t="s">
        <v>4139</v>
      </c>
      <c r="E1379" s="10" t="s">
        <v>4140</v>
      </c>
      <c r="F1379" s="9">
        <v>1</v>
      </c>
      <c r="G1379" s="9">
        <v>1</v>
      </c>
    </row>
    <row r="1380" spans="1:7" ht="25.5">
      <c r="A1380" s="4">
        <v>1379</v>
      </c>
      <c r="B1380" s="5" t="s">
        <v>759</v>
      </c>
      <c r="C1380" s="6" t="s">
        <v>4141</v>
      </c>
      <c r="D1380" s="5" t="s">
        <v>4142</v>
      </c>
      <c r="E1380" s="5" t="s">
        <v>4143</v>
      </c>
      <c r="F1380" s="4">
        <v>1</v>
      </c>
      <c r="G1380" s="4">
        <v>1</v>
      </c>
    </row>
    <row r="1381" spans="1:7" ht="25.5">
      <c r="A1381" s="9">
        <v>1380</v>
      </c>
      <c r="B1381" s="10" t="s">
        <v>759</v>
      </c>
      <c r="C1381" s="11" t="s">
        <v>4144</v>
      </c>
      <c r="D1381" s="10" t="s">
        <v>4145</v>
      </c>
      <c r="E1381" s="10" t="s">
        <v>4146</v>
      </c>
      <c r="F1381" s="9">
        <v>1</v>
      </c>
      <c r="G1381" s="9">
        <v>1</v>
      </c>
    </row>
    <row r="1382" spans="1:7" ht="25.5">
      <c r="A1382" s="4">
        <v>1381</v>
      </c>
      <c r="B1382" s="5" t="s">
        <v>759</v>
      </c>
      <c r="C1382" s="6" t="s">
        <v>4147</v>
      </c>
      <c r="D1382" s="5" t="s">
        <v>4148</v>
      </c>
      <c r="E1382" s="5" t="s">
        <v>4149</v>
      </c>
      <c r="F1382" s="4">
        <v>1</v>
      </c>
      <c r="G1382" s="4">
        <v>1</v>
      </c>
    </row>
    <row r="1383" spans="1:7" ht="25.5">
      <c r="A1383" s="9">
        <v>1382</v>
      </c>
      <c r="B1383" s="10" t="s">
        <v>759</v>
      </c>
      <c r="C1383" s="11" t="s">
        <v>4150</v>
      </c>
      <c r="D1383" s="10" t="s">
        <v>4151</v>
      </c>
      <c r="E1383" s="10" t="s">
        <v>4152</v>
      </c>
      <c r="F1383" s="9">
        <v>1</v>
      </c>
      <c r="G1383" s="9">
        <v>1</v>
      </c>
    </row>
    <row r="1384" spans="1:7" ht="25.5">
      <c r="A1384" s="4">
        <v>1383</v>
      </c>
      <c r="B1384" s="5" t="s">
        <v>759</v>
      </c>
      <c r="C1384" s="6" t="s">
        <v>4153</v>
      </c>
      <c r="D1384" s="5" t="s">
        <v>4154</v>
      </c>
      <c r="E1384" s="5" t="s">
        <v>4155</v>
      </c>
      <c r="F1384" s="4">
        <v>1</v>
      </c>
      <c r="G1384" s="4">
        <v>1</v>
      </c>
    </row>
    <row r="1385" spans="1:7" ht="25.5">
      <c r="A1385" s="9">
        <v>1384</v>
      </c>
      <c r="B1385" s="10" t="s">
        <v>759</v>
      </c>
      <c r="C1385" s="11" t="s">
        <v>4156</v>
      </c>
      <c r="D1385" s="10" t="s">
        <v>4157</v>
      </c>
      <c r="E1385" s="10" t="s">
        <v>4158</v>
      </c>
      <c r="F1385" s="9">
        <v>1</v>
      </c>
      <c r="G1385" s="9">
        <v>1</v>
      </c>
    </row>
    <row r="1386" spans="1:7" ht="51">
      <c r="A1386" s="4">
        <v>1385</v>
      </c>
      <c r="B1386" s="5" t="s">
        <v>759</v>
      </c>
      <c r="C1386" s="6" t="s">
        <v>4159</v>
      </c>
      <c r="D1386" s="5" t="s">
        <v>4160</v>
      </c>
      <c r="E1386" s="5" t="s">
        <v>4161</v>
      </c>
      <c r="F1386" s="4">
        <v>1</v>
      </c>
      <c r="G1386" s="4">
        <v>1</v>
      </c>
    </row>
    <row r="1387" spans="1:7" ht="25.5">
      <c r="A1387" s="9">
        <v>1386</v>
      </c>
      <c r="B1387" s="10" t="s">
        <v>759</v>
      </c>
      <c r="C1387" s="11" t="s">
        <v>4162</v>
      </c>
      <c r="D1387" s="10" t="s">
        <v>4163</v>
      </c>
      <c r="E1387" s="10" t="s">
        <v>4164</v>
      </c>
      <c r="F1387" s="9">
        <v>1</v>
      </c>
      <c r="G1387" s="9">
        <v>1</v>
      </c>
    </row>
    <row r="1388" spans="1:7" ht="25.5">
      <c r="A1388" s="4">
        <v>1387</v>
      </c>
      <c r="B1388" s="5" t="s">
        <v>759</v>
      </c>
      <c r="C1388" s="6" t="s">
        <v>4165</v>
      </c>
      <c r="D1388" s="5" t="s">
        <v>4166</v>
      </c>
      <c r="E1388" s="5" t="s">
        <v>4167</v>
      </c>
      <c r="F1388" s="4">
        <v>1</v>
      </c>
      <c r="G1388" s="4">
        <v>1</v>
      </c>
    </row>
    <row r="1389" spans="1:7" ht="25.5">
      <c r="A1389" s="9">
        <v>1388</v>
      </c>
      <c r="B1389" s="10" t="s">
        <v>759</v>
      </c>
      <c r="C1389" s="11" t="s">
        <v>4168</v>
      </c>
      <c r="D1389" s="10" t="s">
        <v>4169</v>
      </c>
      <c r="E1389" s="10" t="s">
        <v>4170</v>
      </c>
      <c r="F1389" s="9">
        <v>1</v>
      </c>
      <c r="G1389" s="9">
        <v>1</v>
      </c>
    </row>
    <row r="1390" spans="1:7" ht="25.5">
      <c r="A1390" s="4">
        <v>1389</v>
      </c>
      <c r="B1390" s="5" t="s">
        <v>759</v>
      </c>
      <c r="C1390" s="6" t="s">
        <v>4171</v>
      </c>
      <c r="D1390" s="5" t="s">
        <v>4172</v>
      </c>
      <c r="E1390" s="5" t="s">
        <v>4173</v>
      </c>
      <c r="F1390" s="4">
        <v>1</v>
      </c>
      <c r="G1390" s="4">
        <v>1</v>
      </c>
    </row>
    <row r="1391" spans="1:7" ht="25.5">
      <c r="A1391" s="9">
        <v>1390</v>
      </c>
      <c r="B1391" s="10" t="s">
        <v>759</v>
      </c>
      <c r="C1391" s="11" t="s">
        <v>4174</v>
      </c>
      <c r="D1391" s="10" t="s">
        <v>4175</v>
      </c>
      <c r="E1391" s="10" t="s">
        <v>4176</v>
      </c>
      <c r="F1391" s="9">
        <v>1</v>
      </c>
      <c r="G1391" s="9">
        <v>1</v>
      </c>
    </row>
    <row r="1392" spans="1:7" ht="25.5">
      <c r="A1392" s="4">
        <v>1391</v>
      </c>
      <c r="B1392" s="5" t="s">
        <v>759</v>
      </c>
      <c r="C1392" s="6" t="s">
        <v>4177</v>
      </c>
      <c r="D1392" s="5" t="s">
        <v>4178</v>
      </c>
      <c r="E1392" s="5" t="s">
        <v>4179</v>
      </c>
      <c r="F1392" s="4">
        <v>1</v>
      </c>
      <c r="G1392" s="4">
        <v>1</v>
      </c>
    </row>
    <row r="1393" spans="1:7" ht="25.5">
      <c r="A1393" s="9">
        <v>1392</v>
      </c>
      <c r="B1393" s="10" t="s">
        <v>759</v>
      </c>
      <c r="C1393" s="11" t="s">
        <v>4180</v>
      </c>
      <c r="D1393" s="10" t="s">
        <v>4181</v>
      </c>
      <c r="E1393" s="10" t="s">
        <v>4182</v>
      </c>
      <c r="F1393" s="9">
        <v>1</v>
      </c>
      <c r="G1393" s="9">
        <v>1</v>
      </c>
    </row>
    <row r="1394" spans="1:7" ht="25.5">
      <c r="A1394" s="4">
        <v>1393</v>
      </c>
      <c r="B1394" s="5" t="s">
        <v>759</v>
      </c>
      <c r="C1394" s="6" t="s">
        <v>4183</v>
      </c>
      <c r="D1394" s="5" t="s">
        <v>4184</v>
      </c>
      <c r="E1394" s="5" t="s">
        <v>4185</v>
      </c>
      <c r="F1394" s="4">
        <v>1</v>
      </c>
      <c r="G1394" s="4">
        <v>1</v>
      </c>
    </row>
    <row r="1395" spans="1:7" ht="25.5">
      <c r="A1395" s="9">
        <v>1394</v>
      </c>
      <c r="B1395" s="10" t="s">
        <v>759</v>
      </c>
      <c r="C1395" s="11" t="s">
        <v>4186</v>
      </c>
      <c r="D1395" s="10" t="s">
        <v>4187</v>
      </c>
      <c r="E1395" s="10" t="s">
        <v>4188</v>
      </c>
      <c r="F1395" s="9">
        <v>1</v>
      </c>
      <c r="G1395" s="9">
        <v>1</v>
      </c>
    </row>
    <row r="1396" spans="1:7" ht="25.5">
      <c r="A1396" s="4">
        <v>1395</v>
      </c>
      <c r="B1396" s="5" t="s">
        <v>759</v>
      </c>
      <c r="C1396" s="6" t="s">
        <v>4189</v>
      </c>
      <c r="D1396" s="5" t="s">
        <v>4190</v>
      </c>
      <c r="E1396" s="5" t="s">
        <v>4191</v>
      </c>
      <c r="F1396" s="4">
        <v>1</v>
      </c>
      <c r="G1396" s="4">
        <v>1</v>
      </c>
    </row>
    <row r="1397" spans="1:7" ht="25.5">
      <c r="A1397" s="9">
        <v>1396</v>
      </c>
      <c r="B1397" s="10" t="s">
        <v>759</v>
      </c>
      <c r="C1397" s="11" t="s">
        <v>4192</v>
      </c>
      <c r="D1397" s="10" t="s">
        <v>4193</v>
      </c>
      <c r="E1397" s="10" t="s">
        <v>4194</v>
      </c>
      <c r="F1397" s="9">
        <v>1</v>
      </c>
      <c r="G1397" s="9">
        <v>1</v>
      </c>
    </row>
    <row r="1398" spans="1:7" ht="25.5">
      <c r="A1398" s="4">
        <v>1397</v>
      </c>
      <c r="B1398" s="5" t="s">
        <v>759</v>
      </c>
      <c r="C1398" s="6" t="s">
        <v>4195</v>
      </c>
      <c r="D1398" s="5" t="s">
        <v>4196</v>
      </c>
      <c r="E1398" s="5" t="s">
        <v>4197</v>
      </c>
      <c r="F1398" s="4">
        <v>1</v>
      </c>
      <c r="G1398" s="4">
        <v>1</v>
      </c>
    </row>
    <row r="1399" spans="1:7" ht="38.25">
      <c r="A1399" s="9">
        <v>1398</v>
      </c>
      <c r="B1399" s="10" t="s">
        <v>759</v>
      </c>
      <c r="C1399" s="11" t="s">
        <v>4198</v>
      </c>
      <c r="D1399" s="10" t="s">
        <v>4199</v>
      </c>
      <c r="E1399" s="10" t="s">
        <v>4200</v>
      </c>
      <c r="F1399" s="9">
        <v>1</v>
      </c>
      <c r="G1399" s="9">
        <v>1</v>
      </c>
    </row>
    <row r="1400" spans="1:7" ht="38.25">
      <c r="A1400" s="4">
        <v>1399</v>
      </c>
      <c r="B1400" s="5" t="s">
        <v>759</v>
      </c>
      <c r="C1400" s="6" t="s">
        <v>4201</v>
      </c>
      <c r="D1400" s="5" t="s">
        <v>4202</v>
      </c>
      <c r="E1400" s="5" t="s">
        <v>4203</v>
      </c>
      <c r="F1400" s="4">
        <v>1</v>
      </c>
      <c r="G1400" s="4">
        <v>1</v>
      </c>
    </row>
    <row r="1401" spans="1:7" ht="25.5">
      <c r="A1401" s="9">
        <v>1400</v>
      </c>
      <c r="B1401" s="10" t="s">
        <v>759</v>
      </c>
      <c r="C1401" s="11" t="s">
        <v>4204</v>
      </c>
      <c r="D1401" s="10" t="s">
        <v>4205</v>
      </c>
      <c r="E1401" s="10" t="s">
        <v>4206</v>
      </c>
      <c r="F1401" s="9">
        <v>1</v>
      </c>
      <c r="G1401" s="9">
        <v>1</v>
      </c>
    </row>
    <row r="1402" spans="1:7" ht="25.5">
      <c r="A1402" s="4">
        <v>1401</v>
      </c>
      <c r="B1402" s="5" t="s">
        <v>759</v>
      </c>
      <c r="C1402" s="6" t="s">
        <v>4207</v>
      </c>
      <c r="D1402" s="5" t="s">
        <v>4208</v>
      </c>
      <c r="E1402" s="5" t="s">
        <v>4209</v>
      </c>
      <c r="F1402" s="4">
        <v>1</v>
      </c>
      <c r="G1402" s="4">
        <v>1</v>
      </c>
    </row>
    <row r="1403" spans="1:7" ht="25.5">
      <c r="A1403" s="9">
        <v>1402</v>
      </c>
      <c r="B1403" s="10" t="s">
        <v>759</v>
      </c>
      <c r="C1403" s="11" t="s">
        <v>4210</v>
      </c>
      <c r="D1403" s="10" t="s">
        <v>4211</v>
      </c>
      <c r="E1403" s="10" t="s">
        <v>4212</v>
      </c>
      <c r="F1403" s="9">
        <v>1</v>
      </c>
      <c r="G1403" s="9">
        <v>1</v>
      </c>
    </row>
    <row r="1404" spans="1:7" ht="38.25">
      <c r="A1404" s="4">
        <v>1403</v>
      </c>
      <c r="B1404" s="5" t="s">
        <v>759</v>
      </c>
      <c r="C1404" s="6" t="s">
        <v>4213</v>
      </c>
      <c r="D1404" s="5" t="s">
        <v>4214</v>
      </c>
      <c r="E1404" s="5" t="s">
        <v>4215</v>
      </c>
      <c r="F1404" s="4">
        <v>1</v>
      </c>
      <c r="G1404" s="4">
        <v>1</v>
      </c>
    </row>
    <row r="1405" spans="1:7" ht="25.5">
      <c r="A1405" s="9">
        <v>1404</v>
      </c>
      <c r="B1405" s="10" t="s">
        <v>759</v>
      </c>
      <c r="C1405" s="11" t="s">
        <v>4216</v>
      </c>
      <c r="D1405" s="10" t="s">
        <v>4217</v>
      </c>
      <c r="E1405" s="10" t="s">
        <v>4218</v>
      </c>
      <c r="F1405" s="9">
        <v>1</v>
      </c>
      <c r="G1405" s="9">
        <v>1</v>
      </c>
    </row>
    <row r="1406" spans="1:7" ht="25.5">
      <c r="A1406" s="4">
        <v>1405</v>
      </c>
      <c r="B1406" s="5" t="s">
        <v>759</v>
      </c>
      <c r="C1406" s="6" t="s">
        <v>4219</v>
      </c>
      <c r="D1406" s="5" t="s">
        <v>4220</v>
      </c>
      <c r="E1406" s="5" t="s">
        <v>4221</v>
      </c>
      <c r="F1406" s="4">
        <v>1</v>
      </c>
      <c r="G1406" s="4">
        <v>1</v>
      </c>
    </row>
    <row r="1407" spans="1:7" ht="25.5">
      <c r="A1407" s="9">
        <v>1406</v>
      </c>
      <c r="B1407" s="10" t="s">
        <v>759</v>
      </c>
      <c r="C1407" s="11" t="s">
        <v>4222</v>
      </c>
      <c r="D1407" s="10" t="s">
        <v>4223</v>
      </c>
      <c r="E1407" s="10" t="s">
        <v>4224</v>
      </c>
      <c r="F1407" s="9">
        <v>1</v>
      </c>
      <c r="G1407" s="9">
        <v>1</v>
      </c>
    </row>
    <row r="1408" spans="1:7" ht="25.5">
      <c r="A1408" s="4">
        <v>1407</v>
      </c>
      <c r="B1408" s="5" t="s">
        <v>759</v>
      </c>
      <c r="C1408" s="6" t="s">
        <v>4225</v>
      </c>
      <c r="D1408" s="5" t="s">
        <v>4226</v>
      </c>
      <c r="E1408" s="5" t="s">
        <v>4227</v>
      </c>
      <c r="F1408" s="4">
        <v>1</v>
      </c>
      <c r="G1408" s="4">
        <v>1</v>
      </c>
    </row>
    <row r="1409" spans="1:7" ht="25.5">
      <c r="A1409" s="9">
        <v>1408</v>
      </c>
      <c r="B1409" s="10" t="s">
        <v>759</v>
      </c>
      <c r="C1409" s="11" t="s">
        <v>4228</v>
      </c>
      <c r="D1409" s="10" t="s">
        <v>4229</v>
      </c>
      <c r="E1409" s="10" t="s">
        <v>4230</v>
      </c>
      <c r="F1409" s="9">
        <v>1</v>
      </c>
      <c r="G1409" s="9">
        <v>1</v>
      </c>
    </row>
    <row r="1410" spans="1:7" ht="51">
      <c r="A1410" s="4">
        <v>1409</v>
      </c>
      <c r="B1410" s="5" t="s">
        <v>759</v>
      </c>
      <c r="C1410" s="6" t="s">
        <v>4231</v>
      </c>
      <c r="D1410" s="5" t="s">
        <v>4232</v>
      </c>
      <c r="E1410" s="5" t="s">
        <v>4233</v>
      </c>
      <c r="F1410" s="4">
        <v>1</v>
      </c>
      <c r="G1410" s="4">
        <v>1</v>
      </c>
    </row>
    <row r="1411" spans="1:7" ht="38.25">
      <c r="A1411" s="9">
        <v>1410</v>
      </c>
      <c r="B1411" s="10" t="s">
        <v>759</v>
      </c>
      <c r="C1411" s="11" t="s">
        <v>4234</v>
      </c>
      <c r="D1411" s="10" t="s">
        <v>4235</v>
      </c>
      <c r="E1411" s="10" t="s">
        <v>4236</v>
      </c>
      <c r="F1411" s="9">
        <v>1</v>
      </c>
      <c r="G1411" s="9">
        <v>1</v>
      </c>
    </row>
    <row r="1412" spans="1:7" ht="25.5">
      <c r="A1412" s="4">
        <v>1411</v>
      </c>
      <c r="B1412" s="5" t="s">
        <v>759</v>
      </c>
      <c r="C1412" s="6" t="s">
        <v>4237</v>
      </c>
      <c r="D1412" s="5" t="s">
        <v>4238</v>
      </c>
      <c r="E1412" s="5" t="s">
        <v>4239</v>
      </c>
      <c r="F1412" s="4">
        <v>1</v>
      </c>
      <c r="G1412" s="4">
        <v>1</v>
      </c>
    </row>
    <row r="1413" spans="1:7" ht="25.5">
      <c r="A1413" s="9">
        <v>1412</v>
      </c>
      <c r="B1413" s="10" t="s">
        <v>759</v>
      </c>
      <c r="C1413" s="11" t="s">
        <v>4240</v>
      </c>
      <c r="D1413" s="10" t="s">
        <v>4241</v>
      </c>
      <c r="E1413" s="10" t="s">
        <v>4242</v>
      </c>
      <c r="F1413" s="9">
        <v>1</v>
      </c>
      <c r="G1413" s="9">
        <v>1</v>
      </c>
    </row>
    <row r="1414" spans="1:7" ht="25.5">
      <c r="A1414" s="4">
        <v>1413</v>
      </c>
      <c r="B1414" s="5" t="s">
        <v>759</v>
      </c>
      <c r="C1414" s="6" t="s">
        <v>4243</v>
      </c>
      <c r="D1414" s="5" t="s">
        <v>4244</v>
      </c>
      <c r="E1414" s="5" t="s">
        <v>4245</v>
      </c>
      <c r="F1414" s="4">
        <v>1</v>
      </c>
      <c r="G1414" s="4">
        <v>1</v>
      </c>
    </row>
    <row r="1415" spans="1:7" ht="25.5">
      <c r="A1415" s="9">
        <v>1414</v>
      </c>
      <c r="B1415" s="10" t="s">
        <v>759</v>
      </c>
      <c r="C1415" s="11" t="s">
        <v>4246</v>
      </c>
      <c r="D1415" s="10" t="s">
        <v>4247</v>
      </c>
      <c r="E1415" s="10" t="s">
        <v>4248</v>
      </c>
      <c r="F1415" s="9">
        <v>1</v>
      </c>
      <c r="G1415" s="9">
        <v>1</v>
      </c>
    </row>
    <row r="1416" spans="1:7" ht="25.5">
      <c r="A1416" s="4">
        <v>1415</v>
      </c>
      <c r="B1416" s="5" t="s">
        <v>759</v>
      </c>
      <c r="C1416" s="6" t="s">
        <v>4249</v>
      </c>
      <c r="D1416" s="5" t="s">
        <v>4250</v>
      </c>
      <c r="E1416" s="5" t="s">
        <v>4251</v>
      </c>
      <c r="F1416" s="4">
        <v>1</v>
      </c>
      <c r="G1416" s="4">
        <v>1</v>
      </c>
    </row>
    <row r="1417" spans="1:7" ht="25.5">
      <c r="A1417" s="9">
        <v>1416</v>
      </c>
      <c r="B1417" s="10" t="s">
        <v>759</v>
      </c>
      <c r="C1417" s="11" t="s">
        <v>4252</v>
      </c>
      <c r="D1417" s="10" t="s">
        <v>4253</v>
      </c>
      <c r="E1417" s="10" t="s">
        <v>4254</v>
      </c>
      <c r="F1417" s="9">
        <v>1</v>
      </c>
      <c r="G1417" s="9">
        <v>1</v>
      </c>
    </row>
    <row r="1418" spans="1:7" ht="25.5">
      <c r="A1418" s="4">
        <v>1417</v>
      </c>
      <c r="B1418" s="5" t="s">
        <v>759</v>
      </c>
      <c r="C1418" s="6" t="s">
        <v>4255</v>
      </c>
      <c r="D1418" s="5" t="s">
        <v>4256</v>
      </c>
      <c r="E1418" s="5" t="s">
        <v>4257</v>
      </c>
      <c r="F1418" s="4">
        <v>1</v>
      </c>
      <c r="G1418" s="4">
        <v>1</v>
      </c>
    </row>
    <row r="1419" spans="1:7" ht="25.5">
      <c r="A1419" s="9">
        <v>1418</v>
      </c>
      <c r="B1419" s="10" t="s">
        <v>759</v>
      </c>
      <c r="C1419" s="11" t="s">
        <v>4258</v>
      </c>
      <c r="D1419" s="10" t="s">
        <v>4259</v>
      </c>
      <c r="E1419" s="10" t="s">
        <v>4260</v>
      </c>
      <c r="F1419" s="9">
        <v>1</v>
      </c>
      <c r="G1419" s="9">
        <v>1</v>
      </c>
    </row>
    <row r="1420" spans="1:7" ht="25.5">
      <c r="A1420" s="4">
        <v>1419</v>
      </c>
      <c r="B1420" s="5" t="s">
        <v>759</v>
      </c>
      <c r="C1420" s="6" t="s">
        <v>4261</v>
      </c>
      <c r="D1420" s="5" t="s">
        <v>4262</v>
      </c>
      <c r="E1420" s="5" t="s">
        <v>4263</v>
      </c>
      <c r="F1420" s="4">
        <v>1</v>
      </c>
      <c r="G1420" s="4">
        <v>1</v>
      </c>
    </row>
    <row r="1421" spans="1:7" ht="25.5">
      <c r="A1421" s="9">
        <v>1420</v>
      </c>
      <c r="B1421" s="10" t="s">
        <v>759</v>
      </c>
      <c r="C1421" s="11" t="s">
        <v>4264</v>
      </c>
      <c r="D1421" s="10" t="s">
        <v>4265</v>
      </c>
      <c r="E1421" s="10" t="s">
        <v>4266</v>
      </c>
      <c r="F1421" s="9">
        <v>1</v>
      </c>
      <c r="G1421" s="9">
        <v>1</v>
      </c>
    </row>
    <row r="1422" spans="1:7" ht="25.5">
      <c r="A1422" s="4">
        <v>1421</v>
      </c>
      <c r="B1422" s="5" t="s">
        <v>759</v>
      </c>
      <c r="C1422" s="6" t="s">
        <v>4267</v>
      </c>
      <c r="D1422" s="5" t="s">
        <v>4268</v>
      </c>
      <c r="E1422" s="5" t="s">
        <v>4269</v>
      </c>
      <c r="F1422" s="4">
        <v>1</v>
      </c>
      <c r="G1422" s="4">
        <v>1</v>
      </c>
    </row>
    <row r="1423" spans="1:7" ht="25.5">
      <c r="A1423" s="9">
        <v>1422</v>
      </c>
      <c r="B1423" s="10" t="s">
        <v>759</v>
      </c>
      <c r="C1423" s="11" t="s">
        <v>4270</v>
      </c>
      <c r="D1423" s="10" t="s">
        <v>4271</v>
      </c>
      <c r="E1423" s="10" t="s">
        <v>4272</v>
      </c>
      <c r="F1423" s="9">
        <v>1</v>
      </c>
      <c r="G1423" s="9">
        <v>1</v>
      </c>
    </row>
    <row r="1424" spans="1:7" ht="25.5">
      <c r="A1424" s="4">
        <v>1423</v>
      </c>
      <c r="B1424" s="5" t="s">
        <v>759</v>
      </c>
      <c r="C1424" s="6" t="s">
        <v>4273</v>
      </c>
      <c r="D1424" s="5" t="s">
        <v>4274</v>
      </c>
      <c r="E1424" s="5" t="s">
        <v>4275</v>
      </c>
      <c r="F1424" s="4">
        <v>1</v>
      </c>
      <c r="G1424" s="4">
        <v>1</v>
      </c>
    </row>
    <row r="1425" spans="1:7" ht="25.5">
      <c r="A1425" s="9">
        <v>1424</v>
      </c>
      <c r="B1425" s="10" t="s">
        <v>759</v>
      </c>
      <c r="C1425" s="11" t="s">
        <v>4276</v>
      </c>
      <c r="D1425" s="10" t="s">
        <v>4277</v>
      </c>
      <c r="E1425" s="10" t="s">
        <v>4278</v>
      </c>
      <c r="F1425" s="9">
        <v>1</v>
      </c>
      <c r="G1425" s="9">
        <v>1</v>
      </c>
    </row>
    <row r="1426" spans="1:7" ht="25.5">
      <c r="A1426" s="4">
        <v>1425</v>
      </c>
      <c r="B1426" s="5" t="s">
        <v>759</v>
      </c>
      <c r="C1426" s="6" t="s">
        <v>4279</v>
      </c>
      <c r="D1426" s="5" t="s">
        <v>4280</v>
      </c>
      <c r="E1426" s="5" t="s">
        <v>4281</v>
      </c>
      <c r="F1426" s="4">
        <v>1</v>
      </c>
      <c r="G1426" s="4">
        <v>1</v>
      </c>
    </row>
    <row r="1427" spans="1:7" ht="25.5">
      <c r="A1427" s="9">
        <v>1426</v>
      </c>
      <c r="B1427" s="10" t="s">
        <v>759</v>
      </c>
      <c r="C1427" s="11" t="s">
        <v>4282</v>
      </c>
      <c r="D1427" s="10" t="s">
        <v>4283</v>
      </c>
      <c r="E1427" s="10" t="s">
        <v>4284</v>
      </c>
      <c r="F1427" s="9">
        <v>1</v>
      </c>
      <c r="G1427" s="9">
        <v>1</v>
      </c>
    </row>
    <row r="1428" spans="1:7" ht="25.5">
      <c r="A1428" s="4">
        <v>1427</v>
      </c>
      <c r="B1428" s="5" t="s">
        <v>759</v>
      </c>
      <c r="C1428" s="6" t="s">
        <v>4285</v>
      </c>
      <c r="D1428" s="5" t="s">
        <v>4286</v>
      </c>
      <c r="E1428" s="5" t="s">
        <v>4287</v>
      </c>
      <c r="F1428" s="4">
        <v>1</v>
      </c>
      <c r="G1428" s="4">
        <v>1</v>
      </c>
    </row>
    <row r="1429" spans="1:7" ht="25.5">
      <c r="A1429" s="9">
        <v>1428</v>
      </c>
      <c r="B1429" s="10" t="s">
        <v>759</v>
      </c>
      <c r="C1429" s="11" t="s">
        <v>4288</v>
      </c>
      <c r="D1429" s="10" t="s">
        <v>4289</v>
      </c>
      <c r="E1429" s="10" t="s">
        <v>4290</v>
      </c>
      <c r="F1429" s="9">
        <v>1</v>
      </c>
      <c r="G1429" s="9">
        <v>1</v>
      </c>
    </row>
    <row r="1430" spans="1:7" ht="25.5">
      <c r="A1430" s="4">
        <v>1429</v>
      </c>
      <c r="B1430" s="5" t="s">
        <v>759</v>
      </c>
      <c r="C1430" s="6" t="s">
        <v>4291</v>
      </c>
      <c r="D1430" s="5" t="s">
        <v>4292</v>
      </c>
      <c r="E1430" s="5" t="s">
        <v>4293</v>
      </c>
      <c r="F1430" s="4">
        <v>1</v>
      </c>
      <c r="G1430" s="4">
        <v>1</v>
      </c>
    </row>
    <row r="1431" spans="1:7" ht="25.5">
      <c r="A1431" s="9">
        <v>1430</v>
      </c>
      <c r="B1431" s="10" t="s">
        <v>759</v>
      </c>
      <c r="C1431" s="11" t="s">
        <v>4294</v>
      </c>
      <c r="D1431" s="10" t="s">
        <v>4295</v>
      </c>
      <c r="E1431" s="10" t="s">
        <v>4296</v>
      </c>
      <c r="F1431" s="9">
        <v>1</v>
      </c>
      <c r="G1431" s="9">
        <v>1</v>
      </c>
    </row>
    <row r="1432" spans="1:7" ht="25.5">
      <c r="A1432" s="4">
        <v>1431</v>
      </c>
      <c r="B1432" s="5" t="s">
        <v>759</v>
      </c>
      <c r="C1432" s="6" t="s">
        <v>4297</v>
      </c>
      <c r="D1432" s="5" t="s">
        <v>4298</v>
      </c>
      <c r="E1432" s="5" t="s">
        <v>4299</v>
      </c>
      <c r="F1432" s="4">
        <v>1</v>
      </c>
      <c r="G1432" s="4">
        <v>1</v>
      </c>
    </row>
    <row r="1433" spans="1:7" ht="25.5">
      <c r="A1433" s="9">
        <v>1432</v>
      </c>
      <c r="B1433" s="10" t="s">
        <v>759</v>
      </c>
      <c r="C1433" s="11" t="s">
        <v>4300</v>
      </c>
      <c r="D1433" s="10" t="s">
        <v>4301</v>
      </c>
      <c r="E1433" s="10" t="s">
        <v>4302</v>
      </c>
      <c r="F1433" s="9">
        <v>1</v>
      </c>
      <c r="G1433" s="9">
        <v>1</v>
      </c>
    </row>
    <row r="1434" spans="1:7" ht="25.5">
      <c r="A1434" s="4">
        <v>1433</v>
      </c>
      <c r="B1434" s="5" t="s">
        <v>759</v>
      </c>
      <c r="C1434" s="6" t="s">
        <v>4303</v>
      </c>
      <c r="D1434" s="5" t="s">
        <v>4304</v>
      </c>
      <c r="E1434" s="5" t="s">
        <v>4305</v>
      </c>
      <c r="F1434" s="4">
        <v>1</v>
      </c>
      <c r="G1434" s="4">
        <v>1</v>
      </c>
    </row>
    <row r="1435" spans="1:7" ht="25.5">
      <c r="A1435" s="9">
        <v>1434</v>
      </c>
      <c r="B1435" s="10" t="s">
        <v>759</v>
      </c>
      <c r="C1435" s="11" t="s">
        <v>4306</v>
      </c>
      <c r="D1435" s="10" t="s">
        <v>4307</v>
      </c>
      <c r="E1435" s="10" t="s">
        <v>4308</v>
      </c>
      <c r="F1435" s="9">
        <v>1</v>
      </c>
      <c r="G1435" s="9">
        <v>1</v>
      </c>
    </row>
    <row r="1436" spans="1:7" ht="25.5">
      <c r="A1436" s="4">
        <v>1435</v>
      </c>
      <c r="B1436" s="5" t="s">
        <v>759</v>
      </c>
      <c r="C1436" s="6" t="s">
        <v>4309</v>
      </c>
      <c r="D1436" s="5" t="s">
        <v>4310</v>
      </c>
      <c r="E1436" s="5" t="s">
        <v>4311</v>
      </c>
      <c r="F1436" s="4">
        <v>1</v>
      </c>
      <c r="G1436" s="4">
        <v>1</v>
      </c>
    </row>
    <row r="1437" spans="1:7" ht="25.5">
      <c r="A1437" s="9">
        <v>1436</v>
      </c>
      <c r="B1437" s="10" t="s">
        <v>759</v>
      </c>
      <c r="C1437" s="11" t="s">
        <v>4312</v>
      </c>
      <c r="D1437" s="10" t="s">
        <v>4313</v>
      </c>
      <c r="E1437" s="10" t="s">
        <v>4314</v>
      </c>
      <c r="F1437" s="9">
        <v>1</v>
      </c>
      <c r="G1437" s="9">
        <v>1</v>
      </c>
    </row>
    <row r="1438" spans="1:7" ht="25.5">
      <c r="A1438" s="4">
        <v>1437</v>
      </c>
      <c r="B1438" s="5" t="s">
        <v>759</v>
      </c>
      <c r="C1438" s="6" t="s">
        <v>4315</v>
      </c>
      <c r="D1438" s="5" t="s">
        <v>4316</v>
      </c>
      <c r="E1438" s="5" t="s">
        <v>4317</v>
      </c>
      <c r="F1438" s="4">
        <v>1</v>
      </c>
      <c r="G1438" s="4">
        <v>1</v>
      </c>
    </row>
    <row r="1439" spans="1:7" ht="25.5">
      <c r="A1439" s="9">
        <v>1438</v>
      </c>
      <c r="B1439" s="10" t="s">
        <v>759</v>
      </c>
      <c r="C1439" s="11" t="s">
        <v>4318</v>
      </c>
      <c r="D1439" s="10" t="s">
        <v>4319</v>
      </c>
      <c r="E1439" s="10" t="s">
        <v>4320</v>
      </c>
      <c r="F1439" s="9">
        <v>1</v>
      </c>
      <c r="G1439" s="9">
        <v>1</v>
      </c>
    </row>
    <row r="1440" spans="1:7" ht="25.5">
      <c r="A1440" s="4">
        <v>1439</v>
      </c>
      <c r="B1440" s="5" t="s">
        <v>759</v>
      </c>
      <c r="C1440" s="6" t="s">
        <v>4321</v>
      </c>
      <c r="D1440" s="5" t="s">
        <v>4322</v>
      </c>
      <c r="E1440" s="5" t="s">
        <v>4323</v>
      </c>
      <c r="F1440" s="4">
        <v>1</v>
      </c>
      <c r="G1440" s="4">
        <v>1</v>
      </c>
    </row>
    <row r="1441" spans="1:7" ht="25.5">
      <c r="A1441" s="9">
        <v>1440</v>
      </c>
      <c r="B1441" s="10" t="s">
        <v>759</v>
      </c>
      <c r="C1441" s="11" t="s">
        <v>4324</v>
      </c>
      <c r="D1441" s="10" t="s">
        <v>4325</v>
      </c>
      <c r="E1441" s="10" t="s">
        <v>4326</v>
      </c>
      <c r="F1441" s="9">
        <v>1</v>
      </c>
      <c r="G1441" s="9">
        <v>1</v>
      </c>
    </row>
    <row r="1442" spans="1:7" ht="25.5">
      <c r="A1442" s="4">
        <v>1441</v>
      </c>
      <c r="B1442" s="5" t="s">
        <v>759</v>
      </c>
      <c r="C1442" s="6" t="s">
        <v>4327</v>
      </c>
      <c r="D1442" s="5" t="s">
        <v>4328</v>
      </c>
      <c r="E1442" s="5" t="s">
        <v>4329</v>
      </c>
      <c r="F1442" s="4">
        <v>1</v>
      </c>
      <c r="G1442" s="4">
        <v>1</v>
      </c>
    </row>
    <row r="1443" spans="1:7" ht="25.5">
      <c r="A1443" s="9">
        <v>1442</v>
      </c>
      <c r="B1443" s="10" t="s">
        <v>759</v>
      </c>
      <c r="C1443" s="11" t="s">
        <v>4330</v>
      </c>
      <c r="D1443" s="10" t="s">
        <v>4019</v>
      </c>
      <c r="E1443" s="10" t="s">
        <v>4331</v>
      </c>
      <c r="F1443" s="9">
        <v>1</v>
      </c>
      <c r="G1443" s="9">
        <v>1</v>
      </c>
    </row>
    <row r="1444" spans="1:7" ht="25.5">
      <c r="A1444" s="4">
        <v>1443</v>
      </c>
      <c r="B1444" s="5" t="s">
        <v>759</v>
      </c>
      <c r="C1444" s="6" t="s">
        <v>4332</v>
      </c>
      <c r="D1444" s="5" t="s">
        <v>4333</v>
      </c>
      <c r="E1444" s="5" t="s">
        <v>4334</v>
      </c>
      <c r="F1444" s="4">
        <v>1</v>
      </c>
      <c r="G1444" s="4">
        <v>1</v>
      </c>
    </row>
    <row r="1445" spans="1:7" ht="25.5">
      <c r="A1445" s="9">
        <v>1444</v>
      </c>
      <c r="B1445" s="10" t="s">
        <v>759</v>
      </c>
      <c r="C1445" s="11" t="s">
        <v>4335</v>
      </c>
      <c r="D1445" s="10" t="s">
        <v>4336</v>
      </c>
      <c r="E1445" s="10" t="s">
        <v>4337</v>
      </c>
      <c r="F1445" s="9">
        <v>1</v>
      </c>
      <c r="G1445" s="9">
        <v>1</v>
      </c>
    </row>
    <row r="1446" spans="1:7" ht="25.5">
      <c r="A1446" s="4">
        <v>1445</v>
      </c>
      <c r="B1446" s="5" t="s">
        <v>759</v>
      </c>
      <c r="C1446" s="6" t="s">
        <v>4338</v>
      </c>
      <c r="D1446" s="5" t="s">
        <v>4339</v>
      </c>
      <c r="E1446" s="5" t="s">
        <v>4340</v>
      </c>
      <c r="F1446" s="4">
        <v>1</v>
      </c>
      <c r="G1446" s="4">
        <v>1</v>
      </c>
    </row>
    <row r="1447" spans="1:7" ht="25.5">
      <c r="A1447" s="9">
        <v>1446</v>
      </c>
      <c r="B1447" s="10" t="s">
        <v>759</v>
      </c>
      <c r="C1447" s="11" t="s">
        <v>4341</v>
      </c>
      <c r="D1447" s="10" t="s">
        <v>4342</v>
      </c>
      <c r="E1447" s="10" t="s">
        <v>4343</v>
      </c>
      <c r="F1447" s="9">
        <v>1</v>
      </c>
      <c r="G1447" s="9">
        <v>1</v>
      </c>
    </row>
    <row r="1448" spans="1:7" ht="25.5">
      <c r="A1448" s="4">
        <v>1447</v>
      </c>
      <c r="B1448" s="5" t="s">
        <v>759</v>
      </c>
      <c r="C1448" s="6" t="s">
        <v>4344</v>
      </c>
      <c r="D1448" s="5" t="s">
        <v>4345</v>
      </c>
      <c r="E1448" s="5" t="s">
        <v>4346</v>
      </c>
      <c r="F1448" s="4">
        <v>1</v>
      </c>
      <c r="G1448" s="4">
        <v>1</v>
      </c>
    </row>
    <row r="1449" spans="1:7" ht="25.5">
      <c r="A1449" s="9">
        <v>1448</v>
      </c>
      <c r="B1449" s="10" t="s">
        <v>759</v>
      </c>
      <c r="C1449" s="11" t="s">
        <v>4347</v>
      </c>
      <c r="D1449" s="10" t="s">
        <v>4348</v>
      </c>
      <c r="E1449" s="10" t="s">
        <v>4349</v>
      </c>
      <c r="F1449" s="9">
        <v>1</v>
      </c>
      <c r="G1449" s="9">
        <v>1</v>
      </c>
    </row>
    <row r="1450" spans="1:7" ht="25.5">
      <c r="A1450" s="4">
        <v>1449</v>
      </c>
      <c r="B1450" s="5" t="s">
        <v>759</v>
      </c>
      <c r="C1450" s="6" t="s">
        <v>4350</v>
      </c>
      <c r="D1450" s="5" t="s">
        <v>4351</v>
      </c>
      <c r="E1450" s="5" t="s">
        <v>4352</v>
      </c>
      <c r="F1450" s="4">
        <v>1</v>
      </c>
      <c r="G1450" s="4">
        <v>1</v>
      </c>
    </row>
    <row r="1451" spans="1:7" ht="25.5">
      <c r="A1451" s="9">
        <v>1450</v>
      </c>
      <c r="B1451" s="10" t="s">
        <v>759</v>
      </c>
      <c r="C1451" s="11" t="s">
        <v>4353</v>
      </c>
      <c r="D1451" s="10" t="s">
        <v>4354</v>
      </c>
      <c r="E1451" s="10" t="s">
        <v>4355</v>
      </c>
      <c r="F1451" s="9">
        <v>1</v>
      </c>
      <c r="G1451" s="9">
        <v>1</v>
      </c>
    </row>
    <row r="1452" spans="1:7" ht="25.5">
      <c r="A1452" s="4">
        <v>1451</v>
      </c>
      <c r="B1452" s="5" t="s">
        <v>759</v>
      </c>
      <c r="C1452" s="6" t="s">
        <v>4356</v>
      </c>
      <c r="D1452" s="5" t="s">
        <v>4357</v>
      </c>
      <c r="E1452" s="5" t="s">
        <v>4358</v>
      </c>
      <c r="F1452" s="4">
        <v>1</v>
      </c>
      <c r="G1452" s="4">
        <v>1</v>
      </c>
    </row>
    <row r="1453" spans="1:7" ht="25.5">
      <c r="A1453" s="9">
        <v>1452</v>
      </c>
      <c r="B1453" s="10" t="s">
        <v>759</v>
      </c>
      <c r="C1453" s="11" t="s">
        <v>4359</v>
      </c>
      <c r="D1453" s="10" t="s">
        <v>4360</v>
      </c>
      <c r="E1453" s="10" t="s">
        <v>4361</v>
      </c>
      <c r="F1453" s="9">
        <v>1</v>
      </c>
      <c r="G1453" s="9">
        <v>1</v>
      </c>
    </row>
    <row r="1454" spans="1:7" ht="25.5">
      <c r="A1454" s="4">
        <v>1453</v>
      </c>
      <c r="B1454" s="5" t="s">
        <v>759</v>
      </c>
      <c r="C1454" s="6" t="s">
        <v>4362</v>
      </c>
      <c r="D1454" s="5" t="s">
        <v>4363</v>
      </c>
      <c r="E1454" s="5" t="s">
        <v>4364</v>
      </c>
      <c r="F1454" s="4">
        <v>1</v>
      </c>
      <c r="G1454" s="4">
        <v>1</v>
      </c>
    </row>
    <row r="1455" spans="1:7" ht="25.5">
      <c r="A1455" s="9">
        <v>1454</v>
      </c>
      <c r="B1455" s="10" t="s">
        <v>759</v>
      </c>
      <c r="C1455" s="11" t="s">
        <v>4365</v>
      </c>
      <c r="D1455" s="10" t="s">
        <v>4366</v>
      </c>
      <c r="E1455" s="10" t="s">
        <v>4367</v>
      </c>
      <c r="F1455" s="9">
        <v>1</v>
      </c>
      <c r="G1455" s="9">
        <v>1</v>
      </c>
    </row>
    <row r="1456" spans="1:7" ht="25.5">
      <c r="A1456" s="4">
        <v>1455</v>
      </c>
      <c r="B1456" s="5" t="s">
        <v>759</v>
      </c>
      <c r="C1456" s="6" t="s">
        <v>4368</v>
      </c>
      <c r="D1456" s="5" t="s">
        <v>4369</v>
      </c>
      <c r="E1456" s="5" t="s">
        <v>4370</v>
      </c>
      <c r="F1456" s="4">
        <v>1</v>
      </c>
      <c r="G1456" s="4">
        <v>1</v>
      </c>
    </row>
    <row r="1457" spans="1:7" ht="25.5">
      <c r="A1457" s="9">
        <v>1456</v>
      </c>
      <c r="B1457" s="10" t="s">
        <v>759</v>
      </c>
      <c r="C1457" s="11" t="s">
        <v>4371</v>
      </c>
      <c r="D1457" s="10" t="s">
        <v>4372</v>
      </c>
      <c r="E1457" s="10" t="s">
        <v>4373</v>
      </c>
      <c r="F1457" s="9">
        <v>1</v>
      </c>
      <c r="G1457" s="9">
        <v>1</v>
      </c>
    </row>
    <row r="1458" spans="1:7" ht="38.25">
      <c r="A1458" s="4">
        <v>1457</v>
      </c>
      <c r="B1458" s="5" t="s">
        <v>759</v>
      </c>
      <c r="C1458" s="6" t="s">
        <v>4374</v>
      </c>
      <c r="D1458" s="5" t="s">
        <v>4375</v>
      </c>
      <c r="E1458" s="5" t="s">
        <v>4376</v>
      </c>
      <c r="F1458" s="4">
        <v>1</v>
      </c>
      <c r="G1458" s="4">
        <v>1</v>
      </c>
    </row>
    <row r="1459" spans="1:7" ht="25.5">
      <c r="A1459" s="9">
        <v>1458</v>
      </c>
      <c r="B1459" s="10" t="s">
        <v>759</v>
      </c>
      <c r="C1459" s="11" t="s">
        <v>4377</v>
      </c>
      <c r="D1459" s="10" t="s">
        <v>4378</v>
      </c>
      <c r="E1459" s="10" t="s">
        <v>4379</v>
      </c>
      <c r="F1459" s="9">
        <v>1</v>
      </c>
      <c r="G1459" s="9">
        <v>1</v>
      </c>
    </row>
    <row r="1460" spans="1:7" ht="25.5">
      <c r="A1460" s="4">
        <v>1459</v>
      </c>
      <c r="B1460" s="5" t="s">
        <v>759</v>
      </c>
      <c r="C1460" s="6" t="s">
        <v>4380</v>
      </c>
      <c r="D1460" s="5" t="s">
        <v>4381</v>
      </c>
      <c r="E1460" s="5" t="s">
        <v>4382</v>
      </c>
      <c r="F1460" s="4">
        <v>1</v>
      </c>
      <c r="G1460" s="4">
        <v>1</v>
      </c>
    </row>
    <row r="1461" spans="1:7" ht="25.5">
      <c r="A1461" s="9">
        <v>1460</v>
      </c>
      <c r="B1461" s="10" t="s">
        <v>759</v>
      </c>
      <c r="C1461" s="11" t="s">
        <v>4383</v>
      </c>
      <c r="D1461" s="10" t="s">
        <v>4384</v>
      </c>
      <c r="E1461" s="10" t="s">
        <v>4385</v>
      </c>
      <c r="F1461" s="9">
        <v>1</v>
      </c>
      <c r="G1461" s="9">
        <v>1</v>
      </c>
    </row>
    <row r="1462" spans="1:7" ht="25.5">
      <c r="A1462" s="4">
        <v>1461</v>
      </c>
      <c r="B1462" s="5" t="s">
        <v>759</v>
      </c>
      <c r="C1462" s="6" t="s">
        <v>4386</v>
      </c>
      <c r="D1462" s="5" t="s">
        <v>4387</v>
      </c>
      <c r="E1462" s="5" t="s">
        <v>4388</v>
      </c>
      <c r="F1462" s="4">
        <v>1</v>
      </c>
      <c r="G1462" s="4">
        <v>1</v>
      </c>
    </row>
    <row r="1463" spans="1:7" ht="25.5">
      <c r="A1463" s="9">
        <v>1462</v>
      </c>
      <c r="B1463" s="10" t="s">
        <v>759</v>
      </c>
      <c r="C1463" s="11" t="s">
        <v>4389</v>
      </c>
      <c r="D1463" s="10" t="s">
        <v>4390</v>
      </c>
      <c r="E1463" s="10" t="s">
        <v>4391</v>
      </c>
      <c r="F1463" s="9">
        <v>1</v>
      </c>
      <c r="G1463" s="9">
        <v>1</v>
      </c>
    </row>
    <row r="1464" spans="1:7" ht="25.5">
      <c r="A1464" s="4">
        <v>1463</v>
      </c>
      <c r="B1464" s="5" t="s">
        <v>759</v>
      </c>
      <c r="C1464" s="6" t="s">
        <v>4392</v>
      </c>
      <c r="D1464" s="5" t="s">
        <v>4393</v>
      </c>
      <c r="E1464" s="5" t="s">
        <v>4394</v>
      </c>
      <c r="F1464" s="4">
        <v>1</v>
      </c>
      <c r="G1464" s="4">
        <v>1</v>
      </c>
    </row>
    <row r="1465" spans="1:7" ht="25.5">
      <c r="A1465" s="9">
        <v>1464</v>
      </c>
      <c r="B1465" s="10" t="s">
        <v>759</v>
      </c>
      <c r="C1465" s="11" t="s">
        <v>4395</v>
      </c>
      <c r="D1465" s="10" t="s">
        <v>4396</v>
      </c>
      <c r="E1465" s="10" t="s">
        <v>4397</v>
      </c>
      <c r="F1465" s="9">
        <v>1</v>
      </c>
      <c r="G1465" s="9">
        <v>1</v>
      </c>
    </row>
    <row r="1466" spans="1:7" ht="25.5">
      <c r="A1466" s="4">
        <v>1465</v>
      </c>
      <c r="B1466" s="5" t="s">
        <v>759</v>
      </c>
      <c r="C1466" s="6" t="s">
        <v>4398</v>
      </c>
      <c r="D1466" s="5" t="s">
        <v>4399</v>
      </c>
      <c r="E1466" s="5" t="s">
        <v>4400</v>
      </c>
      <c r="F1466" s="4">
        <v>1</v>
      </c>
      <c r="G1466" s="4">
        <v>1</v>
      </c>
    </row>
    <row r="1467" spans="1:7" ht="25.5">
      <c r="A1467" s="9">
        <v>1466</v>
      </c>
      <c r="B1467" s="10" t="s">
        <v>759</v>
      </c>
      <c r="C1467" s="11" t="s">
        <v>4401</v>
      </c>
      <c r="D1467" s="10" t="s">
        <v>4402</v>
      </c>
      <c r="E1467" s="10" t="s">
        <v>4403</v>
      </c>
      <c r="F1467" s="9">
        <v>1</v>
      </c>
      <c r="G1467" s="9">
        <v>1</v>
      </c>
    </row>
    <row r="1468" spans="1:7" ht="25.5">
      <c r="A1468" s="4">
        <v>1467</v>
      </c>
      <c r="B1468" s="5" t="s">
        <v>759</v>
      </c>
      <c r="C1468" s="6" t="s">
        <v>4404</v>
      </c>
      <c r="D1468" s="5" t="s">
        <v>4405</v>
      </c>
      <c r="E1468" s="5" t="s">
        <v>4406</v>
      </c>
      <c r="F1468" s="4">
        <v>1</v>
      </c>
      <c r="G1468" s="4">
        <v>1</v>
      </c>
    </row>
    <row r="1469" spans="1:7" ht="25.5">
      <c r="A1469" s="9">
        <v>1468</v>
      </c>
      <c r="B1469" s="10" t="s">
        <v>759</v>
      </c>
      <c r="C1469" s="11" t="s">
        <v>4407</v>
      </c>
      <c r="D1469" s="10" t="s">
        <v>4408</v>
      </c>
      <c r="E1469" s="10" t="s">
        <v>4409</v>
      </c>
      <c r="F1469" s="9">
        <v>1</v>
      </c>
      <c r="G1469" s="9">
        <v>1</v>
      </c>
    </row>
    <row r="1470" spans="1:7" ht="25.5">
      <c r="A1470" s="4">
        <v>1469</v>
      </c>
      <c r="B1470" s="5" t="s">
        <v>759</v>
      </c>
      <c r="C1470" s="6" t="s">
        <v>4410</v>
      </c>
      <c r="D1470" s="5" t="s">
        <v>4411</v>
      </c>
      <c r="E1470" s="5" t="s">
        <v>4412</v>
      </c>
      <c r="F1470" s="4">
        <v>1</v>
      </c>
      <c r="G1470" s="4">
        <v>1</v>
      </c>
    </row>
    <row r="1471" spans="1:7" ht="25.5">
      <c r="A1471" s="9">
        <v>1470</v>
      </c>
      <c r="B1471" s="10" t="s">
        <v>759</v>
      </c>
      <c r="C1471" s="11" t="s">
        <v>4413</v>
      </c>
      <c r="D1471" s="10" t="s">
        <v>4414</v>
      </c>
      <c r="E1471" s="10" t="s">
        <v>4415</v>
      </c>
      <c r="F1471" s="9">
        <v>1</v>
      </c>
      <c r="G1471" s="9">
        <v>1</v>
      </c>
    </row>
    <row r="1472" spans="1:7" ht="38.25">
      <c r="A1472" s="4">
        <v>1471</v>
      </c>
      <c r="B1472" s="5" t="s">
        <v>759</v>
      </c>
      <c r="C1472" s="6" t="s">
        <v>4416</v>
      </c>
      <c r="D1472" s="5" t="s">
        <v>4417</v>
      </c>
      <c r="E1472" s="5" t="s">
        <v>4418</v>
      </c>
      <c r="F1472" s="4">
        <v>1</v>
      </c>
      <c r="G1472" s="4">
        <v>1</v>
      </c>
    </row>
    <row r="1473" spans="1:7" ht="25.5">
      <c r="A1473" s="9">
        <v>1472</v>
      </c>
      <c r="B1473" s="10" t="s">
        <v>759</v>
      </c>
      <c r="C1473" s="11" t="s">
        <v>4419</v>
      </c>
      <c r="D1473" s="10" t="s">
        <v>4420</v>
      </c>
      <c r="E1473" s="10" t="s">
        <v>4421</v>
      </c>
      <c r="F1473" s="9">
        <v>1</v>
      </c>
      <c r="G1473" s="9">
        <v>1</v>
      </c>
    </row>
    <row r="1474" spans="1:7" ht="25.5">
      <c r="A1474" s="4">
        <v>1473</v>
      </c>
      <c r="B1474" s="5" t="s">
        <v>759</v>
      </c>
      <c r="C1474" s="6" t="s">
        <v>4422</v>
      </c>
      <c r="D1474" s="5" t="s">
        <v>4423</v>
      </c>
      <c r="E1474" s="5" t="s">
        <v>4424</v>
      </c>
      <c r="F1474" s="4">
        <v>1</v>
      </c>
      <c r="G1474" s="4">
        <v>1</v>
      </c>
    </row>
    <row r="1475" spans="1:7" ht="25.5">
      <c r="A1475" s="9">
        <v>1474</v>
      </c>
      <c r="B1475" s="10" t="s">
        <v>759</v>
      </c>
      <c r="C1475" s="11" t="s">
        <v>4425</v>
      </c>
      <c r="D1475" s="10" t="s">
        <v>4426</v>
      </c>
      <c r="E1475" s="10" t="s">
        <v>4427</v>
      </c>
      <c r="F1475" s="9">
        <v>1</v>
      </c>
      <c r="G1475" s="9">
        <v>1</v>
      </c>
    </row>
    <row r="1476" spans="1:7" ht="25.5">
      <c r="A1476" s="4">
        <v>1475</v>
      </c>
      <c r="B1476" s="5" t="s">
        <v>759</v>
      </c>
      <c r="C1476" s="6" t="s">
        <v>4428</v>
      </c>
      <c r="D1476" s="5" t="s">
        <v>4429</v>
      </c>
      <c r="E1476" s="5" t="s">
        <v>4430</v>
      </c>
      <c r="F1476" s="4">
        <v>1</v>
      </c>
      <c r="G1476" s="4">
        <v>1</v>
      </c>
    </row>
    <row r="1477" spans="1:7" ht="25.5">
      <c r="A1477" s="9">
        <v>1476</v>
      </c>
      <c r="B1477" s="10" t="s">
        <v>759</v>
      </c>
      <c r="C1477" s="11" t="s">
        <v>4431</v>
      </c>
      <c r="D1477" s="10" t="s">
        <v>4432</v>
      </c>
      <c r="E1477" s="10" t="s">
        <v>4433</v>
      </c>
      <c r="F1477" s="9">
        <v>1</v>
      </c>
      <c r="G1477" s="9">
        <v>1</v>
      </c>
    </row>
    <row r="1478" spans="1:7" ht="25.5">
      <c r="A1478" s="4">
        <v>1477</v>
      </c>
      <c r="B1478" s="5" t="s">
        <v>759</v>
      </c>
      <c r="C1478" s="6" t="s">
        <v>4434</v>
      </c>
      <c r="D1478" s="5" t="s">
        <v>4435</v>
      </c>
      <c r="E1478" s="5" t="s">
        <v>4436</v>
      </c>
      <c r="F1478" s="4">
        <v>1</v>
      </c>
      <c r="G1478" s="4">
        <v>1</v>
      </c>
    </row>
    <row r="1479" spans="1:7" ht="25.5">
      <c r="A1479" s="9">
        <v>1478</v>
      </c>
      <c r="B1479" s="10" t="s">
        <v>759</v>
      </c>
      <c r="C1479" s="11" t="s">
        <v>4437</v>
      </c>
      <c r="D1479" s="10" t="s">
        <v>4438</v>
      </c>
      <c r="E1479" s="10" t="s">
        <v>4439</v>
      </c>
      <c r="F1479" s="9">
        <v>1</v>
      </c>
      <c r="G1479" s="9">
        <v>1</v>
      </c>
    </row>
    <row r="1480" spans="1:7" ht="25.5">
      <c r="A1480" s="4">
        <v>1479</v>
      </c>
      <c r="B1480" s="5" t="s">
        <v>759</v>
      </c>
      <c r="C1480" s="6" t="s">
        <v>4440</v>
      </c>
      <c r="D1480" s="5" t="s">
        <v>4441</v>
      </c>
      <c r="E1480" s="5" t="s">
        <v>4442</v>
      </c>
      <c r="F1480" s="4">
        <v>1</v>
      </c>
      <c r="G1480" s="4">
        <v>1</v>
      </c>
    </row>
    <row r="1481" spans="1:7" ht="25.5">
      <c r="A1481" s="9">
        <v>1480</v>
      </c>
      <c r="B1481" s="10" t="s">
        <v>759</v>
      </c>
      <c r="C1481" s="11" t="s">
        <v>4443</v>
      </c>
      <c r="D1481" s="10" t="s">
        <v>4444</v>
      </c>
      <c r="E1481" s="10" t="s">
        <v>4445</v>
      </c>
      <c r="F1481" s="9">
        <v>1</v>
      </c>
      <c r="G1481" s="9">
        <v>1</v>
      </c>
    </row>
    <row r="1482" spans="1:7" ht="25.5">
      <c r="A1482" s="4">
        <v>1481</v>
      </c>
      <c r="B1482" s="5" t="s">
        <v>759</v>
      </c>
      <c r="C1482" s="6" t="s">
        <v>4446</v>
      </c>
      <c r="D1482" s="5" t="s">
        <v>4447</v>
      </c>
      <c r="E1482" s="5" t="s">
        <v>4448</v>
      </c>
      <c r="F1482" s="4">
        <v>1</v>
      </c>
      <c r="G1482" s="4">
        <v>1</v>
      </c>
    </row>
    <row r="1483" spans="1:7" ht="25.5">
      <c r="A1483" s="9">
        <v>1482</v>
      </c>
      <c r="B1483" s="10" t="s">
        <v>759</v>
      </c>
      <c r="C1483" s="11" t="s">
        <v>4449</v>
      </c>
      <c r="D1483" s="10" t="s">
        <v>4450</v>
      </c>
      <c r="E1483" s="10" t="s">
        <v>4451</v>
      </c>
      <c r="F1483" s="9">
        <v>1</v>
      </c>
      <c r="G1483" s="9">
        <v>1</v>
      </c>
    </row>
    <row r="1484" spans="1:7" ht="25.5">
      <c r="A1484" s="4">
        <v>1483</v>
      </c>
      <c r="B1484" s="5" t="s">
        <v>759</v>
      </c>
      <c r="C1484" s="6" t="s">
        <v>4452</v>
      </c>
      <c r="D1484" s="5" t="s">
        <v>4453</v>
      </c>
      <c r="E1484" s="5" t="s">
        <v>4454</v>
      </c>
      <c r="F1484" s="4">
        <v>1</v>
      </c>
      <c r="G1484" s="4">
        <v>1</v>
      </c>
    </row>
    <row r="1485" spans="1:7" ht="25.5">
      <c r="A1485" s="9">
        <v>1484</v>
      </c>
      <c r="B1485" s="10" t="s">
        <v>759</v>
      </c>
      <c r="C1485" s="11" t="s">
        <v>4455</v>
      </c>
      <c r="D1485" s="10" t="s">
        <v>4456</v>
      </c>
      <c r="E1485" s="10" t="s">
        <v>4457</v>
      </c>
      <c r="F1485" s="9">
        <v>1</v>
      </c>
      <c r="G1485" s="9">
        <v>1</v>
      </c>
    </row>
    <row r="1486" spans="1:7" ht="25.5">
      <c r="A1486" s="4">
        <v>1485</v>
      </c>
      <c r="B1486" s="5" t="s">
        <v>759</v>
      </c>
      <c r="C1486" s="6" t="s">
        <v>4458</v>
      </c>
      <c r="D1486" s="5" t="s">
        <v>4459</v>
      </c>
      <c r="E1486" s="5" t="s">
        <v>4460</v>
      </c>
      <c r="F1486" s="4">
        <v>1</v>
      </c>
      <c r="G1486" s="4">
        <v>1</v>
      </c>
    </row>
    <row r="1487" spans="1:7" ht="25.5">
      <c r="A1487" s="9">
        <v>1486</v>
      </c>
      <c r="B1487" s="10" t="s">
        <v>759</v>
      </c>
      <c r="C1487" s="11" t="s">
        <v>4461</v>
      </c>
      <c r="D1487" s="10" t="s">
        <v>4462</v>
      </c>
      <c r="E1487" s="10" t="s">
        <v>4463</v>
      </c>
      <c r="F1487" s="9">
        <v>1</v>
      </c>
      <c r="G1487" s="9">
        <v>1</v>
      </c>
    </row>
    <row r="1488" spans="1:7" ht="25.5">
      <c r="A1488" s="4">
        <v>1487</v>
      </c>
      <c r="B1488" s="5" t="s">
        <v>759</v>
      </c>
      <c r="C1488" s="6" t="s">
        <v>4464</v>
      </c>
      <c r="D1488" s="5" t="s">
        <v>4465</v>
      </c>
      <c r="E1488" s="5" t="s">
        <v>4466</v>
      </c>
      <c r="F1488" s="4">
        <v>1</v>
      </c>
      <c r="G1488" s="4">
        <v>1</v>
      </c>
    </row>
    <row r="1489" spans="1:7" ht="25.5">
      <c r="A1489" s="9">
        <v>1488</v>
      </c>
      <c r="B1489" s="10" t="s">
        <v>759</v>
      </c>
      <c r="C1489" s="11" t="s">
        <v>4467</v>
      </c>
      <c r="D1489" s="10" t="s">
        <v>4468</v>
      </c>
      <c r="E1489" s="10" t="s">
        <v>4469</v>
      </c>
      <c r="F1489" s="9">
        <v>1</v>
      </c>
      <c r="G1489" s="9">
        <v>1</v>
      </c>
    </row>
    <row r="1490" spans="1:7" ht="25.5">
      <c r="A1490" s="4">
        <v>1489</v>
      </c>
      <c r="B1490" s="5" t="s">
        <v>759</v>
      </c>
      <c r="C1490" s="6" t="s">
        <v>4470</v>
      </c>
      <c r="D1490" s="5" t="s">
        <v>4471</v>
      </c>
      <c r="E1490" s="5" t="s">
        <v>4472</v>
      </c>
      <c r="F1490" s="4">
        <v>1</v>
      </c>
      <c r="G1490" s="4">
        <v>1</v>
      </c>
    </row>
    <row r="1491" spans="1:7" ht="25.5">
      <c r="A1491" s="9">
        <v>1490</v>
      </c>
      <c r="B1491" s="10" t="s">
        <v>759</v>
      </c>
      <c r="C1491" s="11" t="s">
        <v>4473</v>
      </c>
      <c r="D1491" s="10" t="s">
        <v>4474</v>
      </c>
      <c r="E1491" s="10" t="s">
        <v>4475</v>
      </c>
      <c r="F1491" s="9">
        <v>1</v>
      </c>
      <c r="G1491" s="9">
        <v>1</v>
      </c>
    </row>
    <row r="1492" spans="1:7" ht="25.5">
      <c r="A1492" s="4">
        <v>1491</v>
      </c>
      <c r="B1492" s="5" t="s">
        <v>759</v>
      </c>
      <c r="C1492" s="6" t="s">
        <v>4476</v>
      </c>
      <c r="D1492" s="5" t="s">
        <v>4477</v>
      </c>
      <c r="E1492" s="5" t="s">
        <v>4478</v>
      </c>
      <c r="F1492" s="4">
        <v>1</v>
      </c>
      <c r="G1492" s="4">
        <v>1</v>
      </c>
    </row>
    <row r="1493" spans="1:7" ht="25.5">
      <c r="A1493" s="9">
        <v>1492</v>
      </c>
      <c r="B1493" s="10" t="s">
        <v>759</v>
      </c>
      <c r="C1493" s="11" t="s">
        <v>4479</v>
      </c>
      <c r="D1493" s="10" t="s">
        <v>4480</v>
      </c>
      <c r="E1493" s="10" t="s">
        <v>4481</v>
      </c>
      <c r="F1493" s="9">
        <v>1</v>
      </c>
      <c r="G1493" s="9">
        <v>1</v>
      </c>
    </row>
    <row r="1494" spans="1:7" ht="25.5">
      <c r="A1494" s="4">
        <v>1493</v>
      </c>
      <c r="B1494" s="5" t="s">
        <v>759</v>
      </c>
      <c r="C1494" s="6" t="s">
        <v>4482</v>
      </c>
      <c r="D1494" s="5" t="s">
        <v>4483</v>
      </c>
      <c r="E1494" s="5" t="s">
        <v>4484</v>
      </c>
      <c r="F1494" s="4">
        <v>1</v>
      </c>
      <c r="G1494" s="4">
        <v>1</v>
      </c>
    </row>
    <row r="1495" spans="1:7" ht="25.5">
      <c r="A1495" s="9">
        <v>1494</v>
      </c>
      <c r="B1495" s="10" t="s">
        <v>759</v>
      </c>
      <c r="C1495" s="11" t="s">
        <v>4485</v>
      </c>
      <c r="D1495" s="10" t="s">
        <v>4486</v>
      </c>
      <c r="E1495" s="10" t="s">
        <v>4487</v>
      </c>
      <c r="F1495" s="9">
        <v>1</v>
      </c>
      <c r="G1495" s="9">
        <v>1</v>
      </c>
    </row>
    <row r="1496" spans="1:7" ht="25.5">
      <c r="A1496" s="4">
        <v>1495</v>
      </c>
      <c r="B1496" s="5" t="s">
        <v>759</v>
      </c>
      <c r="C1496" s="6" t="s">
        <v>4488</v>
      </c>
      <c r="D1496" s="5" t="s">
        <v>4489</v>
      </c>
      <c r="E1496" s="5" t="s">
        <v>4490</v>
      </c>
      <c r="F1496" s="4">
        <v>1</v>
      </c>
      <c r="G1496" s="4">
        <v>1</v>
      </c>
    </row>
    <row r="1497" spans="1:7" ht="25.5">
      <c r="A1497" s="9">
        <v>1496</v>
      </c>
      <c r="B1497" s="10" t="s">
        <v>759</v>
      </c>
      <c r="C1497" s="11" t="s">
        <v>4491</v>
      </c>
      <c r="D1497" s="10" t="s">
        <v>4492</v>
      </c>
      <c r="E1497" s="10" t="s">
        <v>4493</v>
      </c>
      <c r="F1497" s="9">
        <v>1</v>
      </c>
      <c r="G1497" s="9">
        <v>1</v>
      </c>
    </row>
    <row r="1498" spans="1:7" ht="25.5">
      <c r="A1498" s="4">
        <v>1497</v>
      </c>
      <c r="B1498" s="5" t="s">
        <v>759</v>
      </c>
      <c r="C1498" s="6" t="s">
        <v>4494</v>
      </c>
      <c r="D1498" s="5" t="s">
        <v>4495</v>
      </c>
      <c r="E1498" s="5" t="s">
        <v>4496</v>
      </c>
      <c r="F1498" s="4">
        <v>1</v>
      </c>
      <c r="G1498" s="4">
        <v>1</v>
      </c>
    </row>
    <row r="1499" spans="1:7" ht="25.5">
      <c r="A1499" s="9">
        <v>1498</v>
      </c>
      <c r="B1499" s="10" t="s">
        <v>759</v>
      </c>
      <c r="C1499" s="11" t="s">
        <v>4497</v>
      </c>
      <c r="D1499" s="10" t="s">
        <v>4498</v>
      </c>
      <c r="E1499" s="10" t="s">
        <v>4499</v>
      </c>
      <c r="F1499" s="9">
        <v>1</v>
      </c>
      <c r="G1499" s="9">
        <v>1</v>
      </c>
    </row>
    <row r="1500" spans="1:7" ht="25.5">
      <c r="A1500" s="4">
        <v>1499</v>
      </c>
      <c r="B1500" s="5" t="s">
        <v>759</v>
      </c>
      <c r="C1500" s="6" t="s">
        <v>4500</v>
      </c>
      <c r="D1500" s="5" t="s">
        <v>4501</v>
      </c>
      <c r="E1500" s="5" t="s">
        <v>4502</v>
      </c>
      <c r="F1500" s="4">
        <v>1</v>
      </c>
      <c r="G1500" s="4">
        <v>1</v>
      </c>
    </row>
    <row r="1501" spans="1:7" ht="25.5">
      <c r="A1501" s="9">
        <v>1500</v>
      </c>
      <c r="B1501" s="10" t="s">
        <v>759</v>
      </c>
      <c r="C1501" s="11" t="s">
        <v>4503</v>
      </c>
      <c r="D1501" s="10" t="s">
        <v>4504</v>
      </c>
      <c r="E1501" s="10" t="s">
        <v>4505</v>
      </c>
      <c r="F1501" s="9">
        <v>1</v>
      </c>
      <c r="G1501" s="9">
        <v>1</v>
      </c>
    </row>
    <row r="1502" spans="1:7" ht="25.5">
      <c r="A1502" s="4">
        <v>1501</v>
      </c>
      <c r="B1502" s="5" t="s">
        <v>759</v>
      </c>
      <c r="C1502" s="6" t="s">
        <v>4506</v>
      </c>
      <c r="D1502" s="5" t="s">
        <v>4507</v>
      </c>
      <c r="E1502" s="5" t="s">
        <v>4508</v>
      </c>
      <c r="F1502" s="4">
        <v>1</v>
      </c>
      <c r="G1502" s="4">
        <v>1</v>
      </c>
    </row>
    <row r="1503" spans="1:7" ht="25.5">
      <c r="A1503" s="9">
        <v>1502</v>
      </c>
      <c r="B1503" s="10" t="s">
        <v>759</v>
      </c>
      <c r="C1503" s="11" t="s">
        <v>4509</v>
      </c>
      <c r="D1503" s="10" t="s">
        <v>4510</v>
      </c>
      <c r="E1503" s="10" t="s">
        <v>4511</v>
      </c>
      <c r="F1503" s="9">
        <v>1</v>
      </c>
      <c r="G1503" s="9">
        <v>1</v>
      </c>
    </row>
    <row r="1504" spans="1:7" ht="25.5">
      <c r="A1504" s="4">
        <v>1503</v>
      </c>
      <c r="B1504" s="5" t="s">
        <v>759</v>
      </c>
      <c r="C1504" s="6" t="s">
        <v>4512</v>
      </c>
      <c r="D1504" s="5" t="s">
        <v>4513</v>
      </c>
      <c r="E1504" s="5" t="s">
        <v>4514</v>
      </c>
      <c r="F1504" s="4">
        <v>1</v>
      </c>
      <c r="G1504" s="4">
        <v>1</v>
      </c>
    </row>
    <row r="1505" spans="1:7" ht="25.5">
      <c r="A1505" s="9">
        <v>1504</v>
      </c>
      <c r="B1505" s="10" t="s">
        <v>759</v>
      </c>
      <c r="C1505" s="11" t="s">
        <v>4515</v>
      </c>
      <c r="D1505" s="10" t="s">
        <v>4516</v>
      </c>
      <c r="E1505" s="10" t="s">
        <v>4517</v>
      </c>
      <c r="F1505" s="9">
        <v>1</v>
      </c>
      <c r="G1505" s="9">
        <v>1</v>
      </c>
    </row>
    <row r="1506" spans="1:7" ht="25.5">
      <c r="A1506" s="4">
        <v>1505</v>
      </c>
      <c r="B1506" s="5" t="s">
        <v>759</v>
      </c>
      <c r="C1506" s="6" t="s">
        <v>4518</v>
      </c>
      <c r="D1506" s="5" t="s">
        <v>4519</v>
      </c>
      <c r="E1506" s="5" t="s">
        <v>4520</v>
      </c>
      <c r="F1506" s="4">
        <v>1</v>
      </c>
      <c r="G1506" s="4">
        <v>1</v>
      </c>
    </row>
    <row r="1507" spans="1:7" ht="25.5">
      <c r="A1507" s="9">
        <v>1506</v>
      </c>
      <c r="B1507" s="10" t="s">
        <v>759</v>
      </c>
      <c r="C1507" s="11" t="s">
        <v>4521</v>
      </c>
      <c r="D1507" s="10" t="s">
        <v>4522</v>
      </c>
      <c r="E1507" s="10" t="s">
        <v>4523</v>
      </c>
      <c r="F1507" s="9">
        <v>1</v>
      </c>
      <c r="G1507" s="9">
        <v>1</v>
      </c>
    </row>
    <row r="1508" spans="1:7" ht="25.5">
      <c r="A1508" s="4">
        <v>1507</v>
      </c>
      <c r="B1508" s="5" t="s">
        <v>759</v>
      </c>
      <c r="C1508" s="6" t="s">
        <v>4524</v>
      </c>
      <c r="D1508" s="5" t="s">
        <v>4525</v>
      </c>
      <c r="E1508" s="5" t="s">
        <v>4526</v>
      </c>
      <c r="F1508" s="4">
        <v>1</v>
      </c>
      <c r="G1508" s="4">
        <v>1</v>
      </c>
    </row>
    <row r="1509" spans="1:7" ht="25.5">
      <c r="A1509" s="9">
        <v>1508</v>
      </c>
      <c r="B1509" s="10" t="s">
        <v>759</v>
      </c>
      <c r="C1509" s="11" t="s">
        <v>4527</v>
      </c>
      <c r="D1509" s="10" t="s">
        <v>4528</v>
      </c>
      <c r="E1509" s="10" t="s">
        <v>4529</v>
      </c>
      <c r="F1509" s="9">
        <v>1</v>
      </c>
      <c r="G1509" s="9">
        <v>1</v>
      </c>
    </row>
    <row r="1510" spans="1:7" ht="25.5">
      <c r="A1510" s="4">
        <v>1509</v>
      </c>
      <c r="B1510" s="5" t="s">
        <v>759</v>
      </c>
      <c r="C1510" s="6" t="s">
        <v>4530</v>
      </c>
      <c r="D1510" s="5" t="s">
        <v>4531</v>
      </c>
      <c r="E1510" s="5" t="s">
        <v>4532</v>
      </c>
      <c r="F1510" s="4">
        <v>1</v>
      </c>
      <c r="G1510" s="4">
        <v>1</v>
      </c>
    </row>
    <row r="1511" spans="1:7" ht="25.5">
      <c r="A1511" s="9">
        <v>1510</v>
      </c>
      <c r="B1511" s="10" t="s">
        <v>759</v>
      </c>
      <c r="C1511" s="11" t="s">
        <v>4533</v>
      </c>
      <c r="D1511" s="10" t="s">
        <v>4534</v>
      </c>
      <c r="E1511" s="10" t="s">
        <v>4535</v>
      </c>
      <c r="F1511" s="9">
        <v>1</v>
      </c>
      <c r="G1511" s="9">
        <v>1</v>
      </c>
    </row>
    <row r="1512" spans="1:7" ht="25.5">
      <c r="A1512" s="4">
        <v>1511</v>
      </c>
      <c r="B1512" s="5" t="s">
        <v>759</v>
      </c>
      <c r="C1512" s="6" t="s">
        <v>4536</v>
      </c>
      <c r="D1512" s="5" t="s">
        <v>4537</v>
      </c>
      <c r="E1512" s="5" t="s">
        <v>4538</v>
      </c>
      <c r="F1512" s="4">
        <v>1</v>
      </c>
      <c r="G1512" s="4">
        <v>1</v>
      </c>
    </row>
    <row r="1513" spans="1:7" ht="25.5">
      <c r="A1513" s="9">
        <v>1512</v>
      </c>
      <c r="B1513" s="10" t="s">
        <v>759</v>
      </c>
      <c r="C1513" s="11" t="s">
        <v>4539</v>
      </c>
      <c r="D1513" s="10" t="s">
        <v>4540</v>
      </c>
      <c r="E1513" s="10" t="s">
        <v>4541</v>
      </c>
      <c r="F1513" s="9">
        <v>1</v>
      </c>
      <c r="G1513" s="9">
        <v>1</v>
      </c>
    </row>
    <row r="1514" spans="1:7" ht="25.5">
      <c r="A1514" s="4">
        <v>1513</v>
      </c>
      <c r="B1514" s="5" t="s">
        <v>759</v>
      </c>
      <c r="C1514" s="6" t="s">
        <v>4542</v>
      </c>
      <c r="D1514" s="5" t="s">
        <v>4543</v>
      </c>
      <c r="E1514" s="5" t="s">
        <v>4544</v>
      </c>
      <c r="F1514" s="4">
        <v>1</v>
      </c>
      <c r="G1514" s="4">
        <v>1</v>
      </c>
    </row>
    <row r="1515" spans="1:7" ht="25.5">
      <c r="A1515" s="9">
        <v>1514</v>
      </c>
      <c r="B1515" s="10" t="s">
        <v>759</v>
      </c>
      <c r="C1515" s="11" t="s">
        <v>4545</v>
      </c>
      <c r="D1515" s="10" t="s">
        <v>4546</v>
      </c>
      <c r="E1515" s="10" t="s">
        <v>4547</v>
      </c>
      <c r="F1515" s="9">
        <v>1</v>
      </c>
      <c r="G1515" s="9">
        <v>1</v>
      </c>
    </row>
    <row r="1516" spans="1:7" ht="25.5">
      <c r="A1516" s="4">
        <v>1515</v>
      </c>
      <c r="B1516" s="5" t="s">
        <v>759</v>
      </c>
      <c r="C1516" s="6" t="s">
        <v>4548</v>
      </c>
      <c r="D1516" s="5" t="s">
        <v>4549</v>
      </c>
      <c r="E1516" s="5" t="s">
        <v>4550</v>
      </c>
      <c r="F1516" s="4">
        <v>1</v>
      </c>
      <c r="G1516" s="4">
        <v>1</v>
      </c>
    </row>
    <row r="1517" spans="1:7" ht="25.5">
      <c r="A1517" s="9">
        <v>1516</v>
      </c>
      <c r="B1517" s="10" t="s">
        <v>759</v>
      </c>
      <c r="C1517" s="11" t="s">
        <v>4551</v>
      </c>
      <c r="D1517" s="10" t="s">
        <v>4552</v>
      </c>
      <c r="E1517" s="10" t="s">
        <v>4553</v>
      </c>
      <c r="F1517" s="9">
        <v>1</v>
      </c>
      <c r="G1517" s="9">
        <v>1</v>
      </c>
    </row>
    <row r="1518" spans="1:7" ht="25.5">
      <c r="A1518" s="4">
        <v>1517</v>
      </c>
      <c r="B1518" s="5" t="s">
        <v>759</v>
      </c>
      <c r="C1518" s="6" t="s">
        <v>4554</v>
      </c>
      <c r="D1518" s="5" t="s">
        <v>4555</v>
      </c>
      <c r="E1518" s="5" t="s">
        <v>4556</v>
      </c>
      <c r="F1518" s="4">
        <v>1</v>
      </c>
      <c r="G1518" s="4">
        <v>1</v>
      </c>
    </row>
    <row r="1519" spans="1:7" ht="38.25">
      <c r="A1519" s="9">
        <v>1518</v>
      </c>
      <c r="B1519" s="10" t="s">
        <v>759</v>
      </c>
      <c r="C1519" s="11" t="s">
        <v>4557</v>
      </c>
      <c r="D1519" s="10" t="s">
        <v>4558</v>
      </c>
      <c r="E1519" s="10" t="s">
        <v>4559</v>
      </c>
      <c r="F1519" s="9">
        <v>1</v>
      </c>
      <c r="G1519" s="9">
        <v>1</v>
      </c>
    </row>
    <row r="1520" spans="1:7" ht="25.5">
      <c r="A1520" s="4">
        <v>1519</v>
      </c>
      <c r="B1520" s="5" t="s">
        <v>759</v>
      </c>
      <c r="C1520" s="6" t="s">
        <v>4560</v>
      </c>
      <c r="D1520" s="5" t="s">
        <v>4561</v>
      </c>
      <c r="E1520" s="5" t="s">
        <v>4562</v>
      </c>
      <c r="F1520" s="4">
        <v>1</v>
      </c>
      <c r="G1520" s="4">
        <v>1</v>
      </c>
    </row>
    <row r="1521" spans="1:7" ht="25.5">
      <c r="A1521" s="9">
        <v>1520</v>
      </c>
      <c r="B1521" s="10" t="s">
        <v>759</v>
      </c>
      <c r="C1521" s="11" t="s">
        <v>4563</v>
      </c>
      <c r="D1521" s="10" t="s">
        <v>4564</v>
      </c>
      <c r="E1521" s="10" t="s">
        <v>4565</v>
      </c>
      <c r="F1521" s="9">
        <v>1</v>
      </c>
      <c r="G1521" s="9">
        <v>1</v>
      </c>
    </row>
    <row r="1522" spans="1:7" ht="25.5">
      <c r="A1522" s="4">
        <v>1521</v>
      </c>
      <c r="B1522" s="5" t="s">
        <v>759</v>
      </c>
      <c r="C1522" s="6" t="s">
        <v>4566</v>
      </c>
      <c r="D1522" s="5" t="s">
        <v>4567</v>
      </c>
      <c r="E1522" s="5" t="s">
        <v>4568</v>
      </c>
      <c r="F1522" s="4">
        <v>1</v>
      </c>
      <c r="G1522" s="4">
        <v>1</v>
      </c>
    </row>
    <row r="1523" spans="1:7" ht="25.5">
      <c r="A1523" s="9">
        <v>1522</v>
      </c>
      <c r="B1523" s="10" t="s">
        <v>759</v>
      </c>
      <c r="C1523" s="11" t="s">
        <v>4569</v>
      </c>
      <c r="D1523" s="10" t="s">
        <v>4570</v>
      </c>
      <c r="E1523" s="10" t="s">
        <v>4571</v>
      </c>
      <c r="F1523" s="9">
        <v>1</v>
      </c>
      <c r="G1523" s="9">
        <v>1</v>
      </c>
    </row>
    <row r="1524" spans="1:7" ht="25.5">
      <c r="A1524" s="4">
        <v>1523</v>
      </c>
      <c r="B1524" s="5" t="s">
        <v>759</v>
      </c>
      <c r="C1524" s="6" t="s">
        <v>4572</v>
      </c>
      <c r="D1524" s="5" t="s">
        <v>4573</v>
      </c>
      <c r="E1524" s="5" t="s">
        <v>4574</v>
      </c>
      <c r="F1524" s="4">
        <v>1</v>
      </c>
      <c r="G1524" s="4">
        <v>1</v>
      </c>
    </row>
    <row r="1525" spans="1:7" ht="25.5">
      <c r="A1525" s="9">
        <v>1524</v>
      </c>
      <c r="B1525" s="10" t="s">
        <v>759</v>
      </c>
      <c r="C1525" s="11" t="s">
        <v>4575</v>
      </c>
      <c r="D1525" s="10" t="s">
        <v>4576</v>
      </c>
      <c r="E1525" s="10" t="s">
        <v>4577</v>
      </c>
      <c r="F1525" s="9">
        <v>1</v>
      </c>
      <c r="G1525" s="9">
        <v>1</v>
      </c>
    </row>
    <row r="1526" spans="1:7" ht="25.5">
      <c r="A1526" s="4">
        <v>1525</v>
      </c>
      <c r="B1526" s="5" t="s">
        <v>759</v>
      </c>
      <c r="C1526" s="6" t="s">
        <v>4578</v>
      </c>
      <c r="D1526" s="5" t="s">
        <v>4579</v>
      </c>
      <c r="E1526" s="5" t="s">
        <v>4580</v>
      </c>
      <c r="F1526" s="4">
        <v>1</v>
      </c>
      <c r="G1526" s="4">
        <v>1</v>
      </c>
    </row>
    <row r="1527" spans="1:7" ht="25.5">
      <c r="A1527" s="9">
        <v>1526</v>
      </c>
      <c r="B1527" s="10" t="s">
        <v>759</v>
      </c>
      <c r="C1527" s="11" t="s">
        <v>4581</v>
      </c>
      <c r="D1527" s="10" t="s">
        <v>4582</v>
      </c>
      <c r="E1527" s="10" t="s">
        <v>4583</v>
      </c>
      <c r="F1527" s="9">
        <v>1</v>
      </c>
      <c r="G1527" s="9">
        <v>1</v>
      </c>
    </row>
    <row r="1528" spans="1:7" ht="25.5">
      <c r="A1528" s="4">
        <v>1527</v>
      </c>
      <c r="B1528" s="5" t="s">
        <v>759</v>
      </c>
      <c r="C1528" s="6" t="s">
        <v>4584</v>
      </c>
      <c r="D1528" s="5" t="s">
        <v>4585</v>
      </c>
      <c r="E1528" s="5" t="s">
        <v>4586</v>
      </c>
      <c r="F1528" s="4">
        <v>1</v>
      </c>
      <c r="G1528" s="4">
        <v>1</v>
      </c>
    </row>
    <row r="1529" spans="1:7" ht="25.5">
      <c r="A1529" s="9">
        <v>1528</v>
      </c>
      <c r="B1529" s="10" t="s">
        <v>759</v>
      </c>
      <c r="C1529" s="11" t="s">
        <v>4587</v>
      </c>
      <c r="D1529" s="10" t="s">
        <v>4588</v>
      </c>
      <c r="E1529" s="10" t="s">
        <v>4589</v>
      </c>
      <c r="F1529" s="9">
        <v>1</v>
      </c>
      <c r="G1529" s="9">
        <v>1</v>
      </c>
    </row>
    <row r="1530" spans="1:7" ht="25.5">
      <c r="A1530" s="4">
        <v>1529</v>
      </c>
      <c r="B1530" s="5" t="s">
        <v>759</v>
      </c>
      <c r="C1530" s="6" t="s">
        <v>4590</v>
      </c>
      <c r="D1530" s="5" t="s">
        <v>4591</v>
      </c>
      <c r="E1530" s="5" t="s">
        <v>4592</v>
      </c>
      <c r="F1530" s="4">
        <v>1</v>
      </c>
      <c r="G1530" s="4">
        <v>1</v>
      </c>
    </row>
    <row r="1531" spans="1:7" ht="25.5">
      <c r="A1531" s="9">
        <v>1530</v>
      </c>
      <c r="B1531" s="10" t="s">
        <v>759</v>
      </c>
      <c r="C1531" s="11" t="s">
        <v>4593</v>
      </c>
      <c r="D1531" s="10" t="s">
        <v>4594</v>
      </c>
      <c r="E1531" s="10" t="s">
        <v>4595</v>
      </c>
      <c r="F1531" s="9">
        <v>1</v>
      </c>
      <c r="G1531" s="9">
        <v>1</v>
      </c>
    </row>
    <row r="1532" spans="1:7" ht="25.5">
      <c r="A1532" s="4">
        <v>1531</v>
      </c>
      <c r="B1532" s="5" t="s">
        <v>759</v>
      </c>
      <c r="C1532" s="6" t="s">
        <v>4596</v>
      </c>
      <c r="D1532" s="5" t="s">
        <v>4597</v>
      </c>
      <c r="E1532" s="5" t="s">
        <v>4598</v>
      </c>
      <c r="F1532" s="4">
        <v>1</v>
      </c>
      <c r="G1532" s="4">
        <v>1</v>
      </c>
    </row>
    <row r="1533" spans="1:7" ht="25.5">
      <c r="A1533" s="9">
        <v>1532</v>
      </c>
      <c r="B1533" s="10" t="s">
        <v>759</v>
      </c>
      <c r="C1533" s="11" t="s">
        <v>4599</v>
      </c>
      <c r="D1533" s="10" t="s">
        <v>4600</v>
      </c>
      <c r="E1533" s="10" t="s">
        <v>4601</v>
      </c>
      <c r="F1533" s="9">
        <v>1</v>
      </c>
      <c r="G1533" s="9">
        <v>1</v>
      </c>
    </row>
    <row r="1534" spans="1:7" ht="25.5">
      <c r="A1534" s="4">
        <v>1533</v>
      </c>
      <c r="B1534" s="5" t="s">
        <v>759</v>
      </c>
      <c r="C1534" s="6" t="s">
        <v>4602</v>
      </c>
      <c r="D1534" s="5" t="s">
        <v>4603</v>
      </c>
      <c r="E1534" s="5" t="s">
        <v>4604</v>
      </c>
      <c r="F1534" s="4">
        <v>1</v>
      </c>
      <c r="G1534" s="4">
        <v>1</v>
      </c>
    </row>
    <row r="1535" spans="1:7" ht="25.5">
      <c r="A1535" s="9">
        <v>1534</v>
      </c>
      <c r="B1535" s="10" t="s">
        <v>759</v>
      </c>
      <c r="C1535" s="11" t="s">
        <v>4605</v>
      </c>
      <c r="D1535" s="10" t="s">
        <v>4606</v>
      </c>
      <c r="E1535" s="10" t="s">
        <v>4607</v>
      </c>
      <c r="F1535" s="9">
        <v>1</v>
      </c>
      <c r="G1535" s="9">
        <v>1</v>
      </c>
    </row>
    <row r="1536" spans="1:7" ht="25.5">
      <c r="A1536" s="4">
        <v>1535</v>
      </c>
      <c r="B1536" s="5" t="s">
        <v>759</v>
      </c>
      <c r="C1536" s="6" t="s">
        <v>4608</v>
      </c>
      <c r="D1536" s="5" t="s">
        <v>4609</v>
      </c>
      <c r="E1536" s="5" t="s">
        <v>4610</v>
      </c>
      <c r="F1536" s="4">
        <v>1</v>
      </c>
      <c r="G1536" s="4">
        <v>1</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abSelected="1" topLeftCell="A19" workbookViewId="0">
      <selection activeCell="E22" sqref="E22"/>
    </sheetView>
  </sheetViews>
  <sheetFormatPr defaultColWidth="12.5703125" defaultRowHeight="12.75"/>
  <cols>
    <col min="1" max="2" width="7" style="17" customWidth="1"/>
    <col min="3" max="3" width="21.85546875" style="17" customWidth="1"/>
    <col min="4" max="4" width="27.7109375" style="17" bestFit="1" customWidth="1"/>
    <col min="5" max="5" width="86.28515625" style="17" customWidth="1"/>
    <col min="6" max="6" width="30.5703125" style="17" customWidth="1"/>
    <col min="7" max="7" width="10" style="17" customWidth="1"/>
    <col min="8" max="18" width="8.5703125" style="17" customWidth="1"/>
    <col min="19" max="16384" width="12.5703125" style="17"/>
  </cols>
  <sheetData>
    <row r="1" spans="1:7" s="14" customFormat="1">
      <c r="A1" s="13"/>
      <c r="B1" s="13" t="s">
        <v>4611</v>
      </c>
      <c r="C1" s="13" t="s">
        <v>6489</v>
      </c>
      <c r="D1" s="13" t="s">
        <v>6490</v>
      </c>
      <c r="E1" s="13" t="s">
        <v>4</v>
      </c>
      <c r="F1" s="13" t="s">
        <v>6491</v>
      </c>
      <c r="G1" s="13" t="s">
        <v>4612</v>
      </c>
    </row>
    <row r="2" spans="1:7" ht="25.5">
      <c r="A2" s="15"/>
      <c r="B2" s="16">
        <v>1</v>
      </c>
      <c r="C2" s="16" t="s">
        <v>4613</v>
      </c>
      <c r="D2" s="16" t="s">
        <v>6492</v>
      </c>
      <c r="E2" s="16" t="str">
        <f ca="1">IFERROR(__xludf.DUMMYFUNCTION("AI(""c컬럼의 단어를 활용해서 적절한 예문을 만들어줘. 한글 해석은 줄띄움 후에 작성해줘"")"),"The scientist received numerous accolades for her significant contributions to the field of science.
그 과학자는 과학 분야에 대한 중대한 기여로 수많은 찬사를 받았습니다.")</f>
        <v>The scientist received numerous accolades for her significant contributions to the field of science.
그 과학자는 과학 분야에 대한 중대한 기여로 수많은 찬사를 받았습니다.</v>
      </c>
      <c r="F2" s="16" t="s">
        <v>4614</v>
      </c>
      <c r="G2" s="16">
        <v>1</v>
      </c>
    </row>
    <row r="3" spans="1:7" ht="25.5">
      <c r="A3" s="15"/>
      <c r="B3" s="16">
        <v>2</v>
      </c>
      <c r="C3" s="16" t="s">
        <v>4615</v>
      </c>
      <c r="D3" s="16" t="s">
        <v>6493</v>
      </c>
      <c r="E3" s="16" t="str">
        <f ca="1">IFERROR(__xludf.DUMMYFUNCTION("AI(""c컬럼의 단어를 활용해서 적절한 예문을 만들어줘. 한글 해석은 줄띄움 후에 작성해줘"")"),"All employees must adhere to the company's code of conduct and safety regulations.
모든 직원은 회사의 행동 강령과 안전 규정을 준수해야 합니다.")</f>
        <v>All employees must adhere to the company's code of conduct and safety regulations.
모든 직원은 회사의 행동 강령과 안전 규정을 준수해야 합니다.</v>
      </c>
      <c r="F3" s="16" t="s">
        <v>4616</v>
      </c>
      <c r="G3" s="16">
        <v>1</v>
      </c>
    </row>
    <row r="4" spans="1:7" ht="25.5">
      <c r="A4" s="15"/>
      <c r="B4" s="16">
        <v>3</v>
      </c>
      <c r="C4" s="16" t="s">
        <v>4617</v>
      </c>
      <c r="D4" s="16" t="s">
        <v>6494</v>
      </c>
      <c r="E4" s="16" t="str">
        <f ca="1">IFERROR(__xludf.DUMMYFUNCTION("AI(""c컬럼의 단어를 활용해서 적절한 예문을 만들어줘. 한글 해석은 줄띄움 후에 작성해줘"")"),"Adherence to standards is crucial for maintaining safety and quality in the workplace.
기준 준수는 직장에서 안전과 품질을 유지하는 데 매우 중요합니다.")</f>
        <v>Adherence to standards is crucial for maintaining safety and quality in the workplace.
기준 준수는 직장에서 안전과 품질을 유지하는 데 매우 중요합니다.</v>
      </c>
      <c r="F4" s="16" t="s">
        <v>4618</v>
      </c>
      <c r="G4" s="16">
        <v>1</v>
      </c>
    </row>
    <row r="5" spans="1:7" ht="25.5">
      <c r="A5" s="15"/>
      <c r="B5" s="16">
        <v>4</v>
      </c>
      <c r="C5" s="16" t="s">
        <v>979</v>
      </c>
      <c r="D5" s="16" t="s">
        <v>6495</v>
      </c>
      <c r="E5" s="16" t="str">
        <f ca="1">IFERROR(__xludf.DUMMYFUNCTION("AI(""c컬럼의 단어를 활용해서 적절한 예문을 만들어줘. 한글 해석은 줄띄움 후에 작성해줘"")"),"The teacher had to publicly admonish the students for their disruptive behavior during the assembly.
선생님은 조례 시간 동안 학생들의 혼란스러운 행동에 대해 공개적으로 훈계해야 했습니다.")</f>
        <v>The teacher had to publicly admonish the students for their disruptive behavior during the assembly.
선생님은 조례 시간 동안 학생들의 혼란스러운 행동에 대해 공개적으로 훈계해야 했습니다.</v>
      </c>
      <c r="F5" s="16" t="s">
        <v>4619</v>
      </c>
      <c r="G5" s="16">
        <v>1</v>
      </c>
    </row>
    <row r="6" spans="1:7" ht="25.5">
      <c r="A6" s="15"/>
      <c r="B6" s="16">
        <v>5</v>
      </c>
      <c r="C6" s="16" t="s">
        <v>4620</v>
      </c>
      <c r="D6" s="16" t="s">
        <v>6496</v>
      </c>
      <c r="E6" s="16" t="str">
        <f ca="1">IFERROR(__xludf.DUMMYFUNCTION("AI(""c컬럼의 단어를 활용해서 적절한 예문을 만들어줘. 한글 해석은 줄띄움 후에 작성해줘"")"),"The advent of the internet in the late 20th century marked a turning point in communication.
20세기 후반 인터넷의 도래는 통신 분야의 전환점이 되었습니다.")</f>
        <v>The advent of the internet in the late 20th century marked a turning point in communication.
20세기 후반 인터넷의 도래는 통신 분야의 전환점이 되었습니다.</v>
      </c>
      <c r="F6" s="16" t="s">
        <v>4621</v>
      </c>
      <c r="G6" s="16">
        <v>1</v>
      </c>
    </row>
    <row r="7" spans="1:7" ht="25.5">
      <c r="A7" s="15"/>
      <c r="B7" s="16">
        <v>6</v>
      </c>
      <c r="C7" s="16" t="s">
        <v>1021</v>
      </c>
      <c r="D7" s="16" t="s">
        <v>6497</v>
      </c>
      <c r="E7" s="16" t="str">
        <f ca="1">IFERROR(__xludf.DUMMYFUNCTION("AI(""c컬럼의 단어를 활용해서 적절한 예문을 만들어줘. 한글 해석은 줄띄움 후에 작성해줘"")"),"Many considered the new policy to be an affront to their basic rights.
많은 이들은 그 새로운 정책이 자신들의 기본권에 대한 모욕이라고 생각했습니다.")</f>
        <v>Many considered the new policy to be an affront to their basic rights.
많은 이들은 그 새로운 정책이 자신들의 기본권에 대한 모욕이라고 생각했습니다.</v>
      </c>
      <c r="F7" s="16" t="s">
        <v>4622</v>
      </c>
      <c r="G7" s="16">
        <v>1</v>
      </c>
    </row>
    <row r="8" spans="1:7" ht="25.5">
      <c r="A8" s="15"/>
      <c r="B8" s="16">
        <v>7</v>
      </c>
      <c r="C8" s="16" t="s">
        <v>4623</v>
      </c>
      <c r="D8" s="16" t="s">
        <v>6498</v>
      </c>
      <c r="E8" s="16" t="str">
        <f ca="1">IFERROR(__xludf.DUMMYFUNCTION("AI(""c컬럼의 단어를 활용해서 적절한 예문을 만들어줘. 한글 해석은 줄띄움 후에 작성해줘"")"),"The customer felt aggrieved by the company's refusal to provide a refund for the defective product.
그 고객은 회사가 결함 있는 제품에 대한 환불 제공을 거부한 것에 대해 억울함을 느꼈습니다.")</f>
        <v>The customer felt aggrieved by the company's refusal to provide a refund for the defective product.
그 고객은 회사가 결함 있는 제품에 대한 환불 제공을 거부한 것에 대해 억울함을 느꼈습니다.</v>
      </c>
      <c r="F8" s="16" t="s">
        <v>4624</v>
      </c>
      <c r="G8" s="16">
        <v>1</v>
      </c>
    </row>
    <row r="9" spans="1:7" ht="51">
      <c r="A9" s="15"/>
      <c r="B9" s="16">
        <v>8</v>
      </c>
      <c r="C9" s="16" t="s">
        <v>4625</v>
      </c>
      <c r="D9" s="16" t="s">
        <v>6499</v>
      </c>
      <c r="E9" s="16" t="str">
        <f ca="1">IFERROR(__xludf.DUMMYFUNCTION("AI(""c컬럼의 단어를 활용해서 적절한 예문을 만들어줘. 한글 해석은 줄띄움 후에 작성해줘"")"),"Harmful algae blooms can damage the environment by depleting oxygen in the water, which can kill fish and other living creatures.
유해한 조류 대번식은 물속의 산소를 고갈시켜 물고기와 다른 생물들을 죽게 함으로써 환경에 피해를 줄 수 있습니다.")</f>
        <v>Harmful algae blooms can damage the environment by depleting oxygen in the water, which can kill fish and other living creatures.
유해한 조류 대번식은 물속의 산소를 고갈시켜 물고기와 다른 생물들을 죽게 함으로써 환경에 피해를 줄 수 있습니다.</v>
      </c>
      <c r="F9" s="16" t="s">
        <v>4626</v>
      </c>
      <c r="G9" s="16">
        <v>1</v>
      </c>
    </row>
    <row r="10" spans="1:7" ht="25.5">
      <c r="A10" s="15"/>
      <c r="B10" s="16">
        <v>9</v>
      </c>
      <c r="C10" s="16" t="s">
        <v>1033</v>
      </c>
      <c r="D10" s="16" t="s">
        <v>6500</v>
      </c>
      <c r="E10" s="16" t="str">
        <f ca="1">IFERROR(__xludf.DUMMYFUNCTION("AI(""c컬럼의 단어를 활용해서 적절한 예문을 만들어줘. 한글 해석은 줄띄움 후에 작성해줘"")"),"The candidate's controversial remarks may alienate potential voters.
그 후보의 논란이 되는 발언은 잠재적 유권자들의 반감을 살 수 있습니다.")</f>
        <v>The candidate's controversial remarks may alienate potential voters.
그 후보의 논란이 되는 발언은 잠재적 유권자들의 반감을 살 수 있습니다.</v>
      </c>
      <c r="F10" s="16" t="s">
        <v>4627</v>
      </c>
      <c r="G10" s="16">
        <v>1</v>
      </c>
    </row>
    <row r="11" spans="1:7" ht="51">
      <c r="A11" s="15"/>
      <c r="B11" s="16">
        <v>10</v>
      </c>
      <c r="C11" s="16" t="s">
        <v>4628</v>
      </c>
      <c r="D11" s="16" t="s">
        <v>6501</v>
      </c>
      <c r="E11" s="16" t="str">
        <f ca="1">IFERROR(__xludf.DUMMYFUNCTION("AI(""c컬럼의 단어를 활용해서 적절한 예문을 만들어줘. 한글 해석은 줄띄움 후에 작성해줘"")"),"Common food allergens, such as peanuts and milk, can trigger severe immune responses in sensitive individuals.
공통적인 식품 알레르기 유발 물질인 땅콩과 우유는 민감한 사람들에게 심각한 면역 반응을 일으킬 수 있습니다.")</f>
        <v>Common food allergens, such as peanuts and milk, can trigger severe immune responses in sensitive individuals.
공통적인 식품 알레르기 유발 물질인 땅콩과 우유는 민감한 사람들에게 심각한 면역 반응을 일으킬 수 있습니다.</v>
      </c>
      <c r="F11" s="16" t="s">
        <v>4629</v>
      </c>
      <c r="G11" s="16">
        <v>1</v>
      </c>
    </row>
    <row r="12" spans="1:7" ht="51">
      <c r="A12" s="15"/>
      <c r="B12" s="16">
        <v>11</v>
      </c>
      <c r="C12" s="16" t="s">
        <v>1066</v>
      </c>
      <c r="D12" s="16" t="s">
        <v>6502</v>
      </c>
      <c r="E12" s="16" t="str">
        <f ca="1">IFERROR(__xludf.DUMMYFUNCTION("AI(""c컬럼의 단어를 활용해서 적절한 예문을 만들어줘. 한글 해석은 줄띄움 후에 작성해줘"")"),"Legal experts emphasize that precise drafting is essential to avoid ambiguity in contracts and protect businesses from disputes.
계약서 작성 시 모호함을 피하고 분쟁으로부터 비즈니스를 보호하기 위해서는 정확한 초안 작성이 필수적이라고 법률 전문가들은 강조합니다.")</f>
        <v>Legal experts emphasize that precise drafting is essential to avoid ambiguity in contracts and protect businesses from disputes.
계약서 작성 시 모호함을 피하고 분쟁으로부터 비즈니스를 보호하기 위해서는 정확한 초안 작성이 필수적이라고 법률 전문가들은 강조합니다.</v>
      </c>
      <c r="F12" s="16" t="s">
        <v>4630</v>
      </c>
      <c r="G12" s="16">
        <v>2</v>
      </c>
    </row>
    <row r="13" spans="1:7" ht="25.5">
      <c r="A13" s="15"/>
      <c r="B13" s="16">
        <v>12</v>
      </c>
      <c r="C13" s="16" t="s">
        <v>4631</v>
      </c>
      <c r="D13" s="16" t="s">
        <v>6503</v>
      </c>
      <c r="E13" s="16" t="str">
        <f ca="1">IFERROR(__xludf.DUMMYFUNCTION("AI(""c컬럼의 단어를 활용해서 적절한 예문을 만들어줘. 한글 해석은 줄띄움 후에 작성해줘"")"),"The scientists spent months accounting for this anomaly in the data before reaching a conclusion.
과학자들은 결론에 도달하기 전에 데이터에서 나타난 이례적 현상을 설명하는 데 수개월을 보냈습니다.")</f>
        <v>The scientists spent months accounting for this anomaly in the data before reaching a conclusion.
과학자들은 결론에 도달하기 전에 데이터에서 나타난 이례적 현상을 설명하는 데 수개월을 보냈습니다.</v>
      </c>
      <c r="F13" s="16" t="s">
        <v>4632</v>
      </c>
      <c r="G13" s="16">
        <v>1</v>
      </c>
    </row>
    <row r="14" spans="1:7" ht="25.5">
      <c r="A14" s="15"/>
      <c r="B14" s="16">
        <v>13</v>
      </c>
      <c r="C14" s="16" t="s">
        <v>4633</v>
      </c>
      <c r="D14" s="16" t="s">
        <v>6504</v>
      </c>
      <c r="E14" s="16" t="str">
        <f ca="1">IFERROR(__xludf.DUMMYFUNCTION("AI(""c컬럼의 단어를 활용해서 적절한 예문을 만들어줘. 한글 해석은 줄띄움 후에 작성해줘"")"),"The government is taking strict measures to combat the rising tide of anti-Semitism in the country.
정부는 국내에서 증가하는 반유대주의의 흐름에 맞서기 위해 엄격한 조치를 취하고 있습니다.")</f>
        <v>The government is taking strict measures to combat the rising tide of anti-Semitism in the country.
정부는 국내에서 증가하는 반유대주의의 흐름에 맞서기 위해 엄격한 조치를 취하고 있습니다.</v>
      </c>
      <c r="F14" s="16" t="s">
        <v>4634</v>
      </c>
      <c r="G14" s="16">
        <v>1</v>
      </c>
    </row>
    <row r="15" spans="1:7" ht="25.5">
      <c r="A15" s="15"/>
      <c r="B15" s="16">
        <v>14</v>
      </c>
      <c r="C15" s="16" t="s">
        <v>4635</v>
      </c>
      <c r="D15" s="16" t="s">
        <v>6505</v>
      </c>
      <c r="E15" s="16" t="str">
        <f ca="1">IFERROR(__xludf.DUMMYFUNCTION("AI(""c컬럼의 단어를 활용해서 적절한 예문을 만들어줘. 한글 해석은 줄띄움 후에 작성해줘"")"),"Healthcare providers use antiseptic techniques to prevent the spread of germs that cause infection.
의료진은 감염을 일으키는 세균의 확산을 막기 위해 소독 기술을 사용합니다.")</f>
        <v>Healthcare providers use antiseptic techniques to prevent the spread of germs that cause infection.
의료진은 감염을 일으키는 세균의 확산을 막기 위해 소독 기술을 사용합니다.</v>
      </c>
      <c r="F15" s="16" t="s">
        <v>4636</v>
      </c>
      <c r="G15" s="16">
        <v>2</v>
      </c>
    </row>
    <row r="16" spans="1:7" ht="38.25">
      <c r="A16" s="15"/>
      <c r="B16" s="16">
        <v>15</v>
      </c>
      <c r="C16" s="16" t="s">
        <v>4637</v>
      </c>
      <c r="D16" s="16" t="s">
        <v>6506</v>
      </c>
      <c r="E16" s="16" t="str">
        <f ca="1">IFERROR(__xludf.DUMMYFUNCTION("AI(""c컬럼의 단어를 활용해서 적절한 예문을 만들어줘. 한글 해석은 줄띄움 후에 작성해줘"")"),"The term was once a simple appellation used by locals, but it has now become known worldwide.
그 용어는 한때 지역 주민들이 사용하던 단순한 명칭이었으나, 이제는 전 세계적으로 알려지게 되었습니다.")</f>
        <v>The term was once a simple appellation used by locals, but it has now become known worldwide.
그 용어는 한때 지역 주민들이 사용하던 단순한 명칭이었으나, 이제는 전 세계적으로 알려지게 되었습니다.</v>
      </c>
      <c r="F16" s="16" t="s">
        <v>4638</v>
      </c>
      <c r="G16" s="16">
        <v>1</v>
      </c>
    </row>
    <row r="17" spans="1:7" ht="51">
      <c r="A17" s="15"/>
      <c r="B17" s="16">
        <v>16</v>
      </c>
      <c r="C17" s="16" t="s">
        <v>4639</v>
      </c>
      <c r="D17" s="16" t="s">
        <v>6507</v>
      </c>
      <c r="E17" s="16" t="str">
        <f ca="1">IFERROR(__xludf.DUMMYFUNCTION("AI(""c컬럼의 단어를 활용해서 적절한 예문을 만들어줘. 한글 해석은 줄띄움 후에 작성해줘"")"),"Fashion critics act as arbiters of taste by helping consumers understand and respond to new market trends.
패션 비평가들은 소비자들이 새로운 시장 트렌드를 이해하고 대응하도록 도움으로써 취향의 심판자 역할을 합니다.")</f>
        <v>Fashion critics act as arbiters of taste by helping consumers understand and respond to new market trends.
패션 비평가들은 소비자들이 새로운 시장 트렌드를 이해하고 대응하도록 도움으로써 취향의 심판자 역할을 합니다.</v>
      </c>
      <c r="F17" s="16" t="s">
        <v>4640</v>
      </c>
      <c r="G17" s="16">
        <v>1</v>
      </c>
    </row>
    <row r="18" spans="1:7" ht="25.5">
      <c r="A18" s="15"/>
      <c r="B18" s="16">
        <v>17</v>
      </c>
      <c r="C18" s="16" t="s">
        <v>4641</v>
      </c>
      <c r="D18" s="16" t="s">
        <v>6508</v>
      </c>
      <c r="E18" s="16" t="str">
        <f ca="1">IFERROR(__xludf.DUMMYFUNCTION("AI(""c컬럼의 단어를 활용해서 적절한 예문을 만들어줘. 한글 해석은 줄띄움 후에 작성해줘"")"),"The judge was criticized for making arbitrary decisions that lacked a clear legal basis.
판사는 명확한 법적 근거가 없는 자의적인 결정을 내렸다는 비판을 받았습니다.")</f>
        <v>The judge was criticized for making arbitrary decisions that lacked a clear legal basis.
판사는 명확한 법적 근거가 없는 자의적인 결정을 내렸다는 비판을 받았습니다.</v>
      </c>
      <c r="F18" s="16" t="s">
        <v>4642</v>
      </c>
      <c r="G18" s="16">
        <v>1</v>
      </c>
    </row>
    <row r="19" spans="1:7" ht="25.5">
      <c r="A19" s="15"/>
      <c r="B19" s="16">
        <v>18</v>
      </c>
      <c r="C19" s="16" t="s">
        <v>4643</v>
      </c>
      <c r="D19" s="16" t="s">
        <v>6509</v>
      </c>
      <c r="E19" s="16" t="str">
        <f ca="1">IFERROR(__xludf.DUMMYFUNCTION("AI(""c컬럼의 단어를 활용해서 적절한 예문을 만들어줘. 한글 해석은 줄띄움 후에 작성해줘"")"),"The library was filled with archaic manuscripts that dated back to the Middle Ages.
그 도서관은 중세 시대까지 거슬러 올라가는 고대의 필사본들로 가득 차 있었습니다.")</f>
        <v>The library was filled with archaic manuscripts that dated back to the Middle Ages.
그 도서관은 중세 시대까지 거슬러 올라가는 고대의 필사본들로 가득 차 있었습니다.</v>
      </c>
      <c r="F19" s="16" t="s">
        <v>4644</v>
      </c>
      <c r="G19" s="16">
        <v>1</v>
      </c>
    </row>
    <row r="20" spans="1:7" ht="25.5">
      <c r="A20" s="15"/>
      <c r="B20" s="16">
        <v>19</v>
      </c>
      <c r="C20" s="16" t="s">
        <v>4645</v>
      </c>
      <c r="D20" s="16" t="s">
        <v>6510</v>
      </c>
      <c r="E20" s="16" t="str">
        <f ca="1">IFERROR(__xludf.DUMMYFUNCTION("AI(""c컬럼의 단어를 활용해서 적절한 예문을 만들어줘. 한글 해석은 줄띄움 후에 작성해줘"")"),"Plants have adapted many specialized features to survive in arid environments.
식물들은 건조한 환경에서 생존하기 위해 많은 전문화된 특징들을 적응시켜 왔습니다.")</f>
        <v>Plants have adapted many specialized features to survive in arid environments.
식물들은 건조한 환경에서 생존하기 위해 많은 전문화된 특징들을 적응시켜 왔습니다.</v>
      </c>
      <c r="F20" s="16" t="s">
        <v>4646</v>
      </c>
      <c r="G20" s="16">
        <v>1</v>
      </c>
    </row>
    <row r="21" spans="1:7" ht="38.25">
      <c r="A21" s="15"/>
      <c r="B21" s="16">
        <v>20</v>
      </c>
      <c r="C21" s="16" t="s">
        <v>4647</v>
      </c>
      <c r="D21" s="16" t="s">
        <v>6511</v>
      </c>
      <c r="E21" s="16" t="str">
        <f ca="1">IFERROR(__xludf.DUMMYFUNCTION("AI(""c컬럼의 단어를 활용해서 적절한 예문을 만들어줘. 한글 해석은 줄띄움 후에 작성해줘"")"),"The magician performed his tricks with such clever artifice that the audience was left in complete wonder.
그 마술사는 매우 영리한 기교로 마술을 선보여 관객들을 완전한 경이로움에 빠뜨렸습니다.")</f>
        <v>The magician performed his tricks with such clever artifice that the audience was left in complete wonder.
그 마술사는 매우 영리한 기교로 마술을 선보여 관객들을 완전한 경이로움에 빠뜨렸습니다.</v>
      </c>
      <c r="F21" s="16" t="s">
        <v>4648</v>
      </c>
      <c r="G21" s="16">
        <v>1</v>
      </c>
    </row>
    <row r="22" spans="1:7" ht="25.5">
      <c r="A22" s="15"/>
      <c r="B22" s="16">
        <v>21</v>
      </c>
      <c r="C22" s="16" t="s">
        <v>4649</v>
      </c>
      <c r="D22" s="16" t="s">
        <v>6512</v>
      </c>
      <c r="E22" s="16" t="str">
        <f ca="1">IFERROR(__xludf.DUMMYFUNCTION("AI(""c컬럼의 단어를 활용해서 적절한 예문을 만들어줘. 한글 해석은 줄띄움 후에 작성해줘"")"),"He officially became king and ascended to the throne the moment the queen passed away.
그녀가 서거한 순간 그는 공식적으로 왕이 되었고 왕위에 올랐습니다.")</f>
        <v>He officially became king and ascended to the throne the moment the queen passed away.
그녀가 서거한 순간 그는 공식적으로 왕이 되었고 왕위에 올랐습니다.</v>
      </c>
      <c r="F22" s="16" t="s">
        <v>4650</v>
      </c>
      <c r="G22" s="16">
        <v>1</v>
      </c>
    </row>
    <row r="23" spans="1:7" ht="25.5">
      <c r="A23" s="15"/>
      <c r="B23" s="16">
        <v>22</v>
      </c>
      <c r="C23" s="16" t="s">
        <v>4651</v>
      </c>
      <c r="D23" s="16" t="s">
        <v>6513</v>
      </c>
      <c r="E23" s="16" t="str">
        <f ca="1">IFERROR(__xludf.DUMMYFUNCTION("AI(""c컬럼의 단어를 활용해서 적절한 예문을 만들어줘. 한글 해석은 줄띄움 후에 작성해줘"")"),"It is important to determine how much weight to ascribe to various factors when making a decision.
의사결정을 내릴 때 다양한 요소에 어느 정도의 비중을 두어야 할지 결정하는 것이 중요합니다.")</f>
        <v>It is important to determine how much weight to ascribe to various factors when making a decision.
의사결정을 내릴 때 다양한 요소에 어느 정도의 비중을 두어야 할지 결정하는 것이 중요합니다.</v>
      </c>
      <c r="F23" s="16" t="s">
        <v>4652</v>
      </c>
      <c r="G23" s="16">
        <v>1</v>
      </c>
    </row>
    <row r="24" spans="1:7" ht="25.5">
      <c r="A24" s="15"/>
      <c r="B24" s="16">
        <v>23</v>
      </c>
      <c r="C24" s="16" t="s">
        <v>4653</v>
      </c>
      <c r="D24" s="16" t="s">
        <v>6514</v>
      </c>
      <c r="E24" s="16" t="str">
        <f ca="1">IFERROR(__xludf.DUMMYFUNCTION("AI(""c컬럼의 단어를 활용해서 적절한 예문을 만들어줘. 한글 해석은 줄띄움 후에 작성해줘"")"),"Despite their differences, the two political parties are at bottom very similar in their core values.
그들의 차이점에도 불구하고, 두 정당은 근본적으로 핵심 가치 면에서 매우 유사합니다.")</f>
        <v>Despite their differences, the two political parties are at bottom very similar in their core values.
그들의 차이점에도 불구하고, 두 정당은 근본적으로 핵심 가치 면에서 매우 유사합니다.</v>
      </c>
      <c r="F24" s="16" t="s">
        <v>4654</v>
      </c>
      <c r="G24" s="16">
        <v>1</v>
      </c>
    </row>
    <row r="25" spans="1:7" ht="25.5">
      <c r="A25" s="15"/>
      <c r="B25" s="16">
        <v>24</v>
      </c>
      <c r="C25" s="16" t="s">
        <v>4655</v>
      </c>
      <c r="D25" s="16" t="s">
        <v>6515</v>
      </c>
      <c r="E25" s="16" t="str">
        <f ca="1">IFERROR(__xludf.DUMMYFUNCTION("AI(""c컬럼의 단어를 활용해서 적절한 예문을 만들어줘. 한글 해석은 줄띄움 후에 작성해줘"")"),"The special meeting was held at the behest of the senator.
그 특별 회의는 상원의원의 요청으로 열렸습니다.")</f>
        <v>The special meeting was held at the behest of the senator.
그 특별 회의는 상원의원의 요청으로 열렸습니다.</v>
      </c>
      <c r="F25" s="16" t="s">
        <v>4656</v>
      </c>
      <c r="G25" s="16">
        <v>1</v>
      </c>
    </row>
    <row r="26" spans="1:7" ht="25.5">
      <c r="A26" s="15"/>
      <c r="B26" s="16">
        <v>25</v>
      </c>
      <c r="C26" s="16" t="s">
        <v>4657</v>
      </c>
      <c r="D26" s="16" t="s">
        <v>6516</v>
      </c>
      <c r="E26" s="16" t="str">
        <f ca="1">IFERROR(__xludf.DUMMYFUNCTION("AI(""c컬럼의 단어를 활용해서 적절한 예문을 만들어줘. 한글 해석은 줄띄움 후에 작성해줘"")"),"The project schedule was left to the discretion of the committee.
프로젝트 일정은 위원회의 재량에 맡겨졌습니다.")</f>
        <v>The project schedule was left to the discretion of the committee.
프로젝트 일정은 위원회의 재량에 맡겨졌습니다.</v>
      </c>
      <c r="F26" s="16" t="s">
        <v>4658</v>
      </c>
      <c r="G26" s="16">
        <v>1</v>
      </c>
    </row>
    <row r="27" spans="1:7" ht="25.5">
      <c r="A27" s="15"/>
      <c r="B27" s="16">
        <v>26</v>
      </c>
      <c r="C27" s="16" t="s">
        <v>4659</v>
      </c>
      <c r="D27" s="16" t="s">
        <v>6517</v>
      </c>
      <c r="E27" s="16" t="str">
        <f ca="1">IFERROR(__xludf.DUMMYFUNCTION("AI(""c컬럼의 단어를 활용해서 적절한 예문을 만들어줘. 한글 해석은 줄띄움 후에 작성해줘"")"),"With a new CEO at the helm, the company began to focus more on sustainability and social impact.
새로운 CEO가 지휘권을 잡으면서, 회사는 지속 가능성과 사회적 영향에 더 집중하기 시작했습니다.")</f>
        <v>With a new CEO at the helm, the company began to focus more on sustainability and social impact.
새로운 CEO가 지휘권을 잡으면서, 회사는 지속 가능성과 사회적 영향에 더 집중하기 시작했습니다.</v>
      </c>
      <c r="F27" s="16" t="s">
        <v>4660</v>
      </c>
      <c r="G27" s="16">
        <v>1</v>
      </c>
    </row>
    <row r="28" spans="1:7" ht="25.5">
      <c r="A28" s="15"/>
      <c r="B28" s="16">
        <v>27</v>
      </c>
      <c r="C28" s="16" t="s">
        <v>4661</v>
      </c>
      <c r="D28" s="16" t="s">
        <v>6518</v>
      </c>
      <c r="E28" s="16" t="str">
        <f ca="1">IFERROR(__xludf.DUMMYFUNCTION("AI(""c컬럼의 단어를 활용해서 적절한 예문을 만들어줘. 한글 해석은 줄띄움 후에 작성해줘"")"),"Atherosclerosis is a common condition that occurs when plaque builds up in the walls of blood vessels.
죽상동맥경화증은 혈관 벽에 플라크가 쌓일 때 발생하는 흔한 질환입니다.")</f>
        <v>Atherosclerosis is a common condition that occurs when plaque builds up in the walls of blood vessels.
죽상동맥경화증은 혈관 벽에 플라크가 쌓일 때 발생하는 흔한 질환입니다.</v>
      </c>
      <c r="F28" s="16" t="s">
        <v>4662</v>
      </c>
      <c r="G28" s="16">
        <v>1</v>
      </c>
    </row>
    <row r="29" spans="1:7" ht="51">
      <c r="A29" s="15"/>
      <c r="B29" s="16">
        <v>28</v>
      </c>
      <c r="C29" s="16" t="s">
        <v>4663</v>
      </c>
      <c r="D29" s="16" t="s">
        <v>6519</v>
      </c>
      <c r="E29" s="16" t="str">
        <f ca="1">IFERROR(__xludf.DUMMYFUNCTION("AI(""c컬럼의 단어를 활용해서 적절한 예문을 만들어줘. 한글 해석은 줄띄움 후에 작성해줘"")"),"Philosophical atomism promotes an atomistic worldview, proposing that everything in the universe is composed of minute, indivisible particles.
철학적 원자론은 우주의 모든 것이 미세하고 더 이상 나눌 수 없는 입자들로 구성되어 있다는 원자론적 세계관을 주장합니다.")</f>
        <v>Philosophical atomism promotes an atomistic worldview, proposing that everything in the universe is composed of minute, indivisible particles.
철학적 원자론은 우주의 모든 것이 미세하고 더 이상 나눌 수 없는 입자들로 구성되어 있다는 원자론적 세계관을 주장합니다.</v>
      </c>
      <c r="F29" s="16" t="s">
        <v>4663</v>
      </c>
      <c r="G29" s="16">
        <v>1</v>
      </c>
    </row>
    <row r="30" spans="1:7" ht="51">
      <c r="A30" s="15"/>
      <c r="B30" s="16">
        <v>29</v>
      </c>
      <c r="C30" s="16" t="s">
        <v>4664</v>
      </c>
      <c r="D30" s="16" t="s">
        <v>6520</v>
      </c>
      <c r="E30" s="16" t="str">
        <f ca="1">IFERROR(__xludf.DUMMYFUNCTION("AI(""c컬럼의 단어를 활용해서 적절한 예문을 만들어줘. 한글 해석은 줄띄움 후에 작성해줘"")"),"If your heart is functioning atypically, it may be unable to pump enough oxygen-rich blood to meet your body's needs.
심장이 비정상적으로 작동한다면, 신체의 필요를 충족시킬 만큼 충분한 산소가 풍부한 혈액을 공급하지 못할 수 있습니다.")</f>
        <v>If your heart is functioning atypically, it may be unable to pump enough oxygen-rich blood to meet your body's needs.
심장이 비정상적으로 작동한다면, 신체의 필요를 충족시킬 만큼 충분한 산소가 풍부한 혈액을 공급하지 못할 수 있습니다.</v>
      </c>
      <c r="F30" s="16" t="s">
        <v>4665</v>
      </c>
      <c r="G30" s="16">
        <v>1</v>
      </c>
    </row>
    <row r="31" spans="1:7" ht="25.5">
      <c r="A31" s="15"/>
      <c r="B31" s="16">
        <v>30</v>
      </c>
      <c r="C31" s="16" t="s">
        <v>4666</v>
      </c>
      <c r="D31" s="16" t="s">
        <v>6521</v>
      </c>
      <c r="E31" s="16" t="str">
        <f ca="1">IFERROR(__xludf.DUMMYFUNCTION("AI(""c컬럼의 단어를 활용해서 적절한 예문을 만들어줘. 한글 해석은 줄띄움 후에 작성해줘"")"),"The author wrote an autobiographical novel based on his experiences during the war.
그 작가는 전쟁 중의 경험을 바탕으로 자전적 소설을 썼습니다.")</f>
        <v>The author wrote an autobiographical novel based on his experiences during the war.
그 작가는 전쟁 중의 경험을 바탕으로 자전적 소설을 썼습니다.</v>
      </c>
      <c r="F31" s="16" t="s">
        <v>4667</v>
      </c>
      <c r="G31" s="16">
        <v>1</v>
      </c>
    </row>
    <row r="32" spans="1:7" ht="25.5">
      <c r="A32" s="15"/>
      <c r="B32" s="16">
        <v>31</v>
      </c>
      <c r="C32" s="16" t="s">
        <v>4668</v>
      </c>
      <c r="D32" s="16" t="s">
        <v>6522</v>
      </c>
      <c r="E32" s="16" t="str">
        <f ca="1">IFERROR(__xludf.DUMMYFUNCTION("AI(""c컬럼의 단어를 활용해서 적절한 예문을 만들어줘. 한글 해석은 줄띄움 후에 작성해줘"")"),"The autocratic leadership style can leave employees feeling like their opinions do not matter.
독재적인 리더십 스타일은 직원들로 하여금 자신들의 의견이 중요하지 않다고 느끼게 만들 수 있습니다.")</f>
        <v>The autocratic leadership style can leave employees feeling like their opinions do not matter.
독재적인 리더십 스타일은 직원들로 하여금 자신들의 의견이 중요하지 않다고 느끼게 만들 수 있습니다.</v>
      </c>
      <c r="F32" s="16" t="s">
        <v>4669</v>
      </c>
      <c r="G32" s="16">
        <v>1</v>
      </c>
    </row>
    <row r="33" spans="1:7" ht="38.25">
      <c r="A33" s="15"/>
      <c r="B33" s="16">
        <v>32</v>
      </c>
      <c r="C33" s="16" t="s">
        <v>1216</v>
      </c>
      <c r="D33" s="16" t="s">
        <v>6523</v>
      </c>
      <c r="E33" s="16" t="str">
        <f ca="1">IFERROR(__xludf.DUMMYFUNCTION("AI(""c컬럼의 단어를 활용해서 적절한 예문을 만들어줘. 한글 해석은 줄띄움 후에 작성해줘"")"),"As an avid reader, he spends most of his weekends at the local library exploring new worlds through books.
열렬한 독자로서, 그는 대부분의 주말을 지역 도서관에서 책을 통해 새로운 세계를 탐험하며 보냅니다.")</f>
        <v>As an avid reader, he spends most of his weekends at the local library exploring new worlds through books.
열렬한 독자로서, 그는 대부분의 주말을 지역 도서관에서 책을 통해 새로운 세계를 탐험하며 보냅니다.</v>
      </c>
      <c r="F33" s="16" t="s">
        <v>4670</v>
      </c>
      <c r="G33" s="16">
        <v>1</v>
      </c>
    </row>
    <row r="34" spans="1:7" ht="25.5">
      <c r="A34" s="15"/>
      <c r="B34" s="16">
        <v>33</v>
      </c>
      <c r="C34" s="16" t="s">
        <v>4671</v>
      </c>
      <c r="D34" s="16" t="s">
        <v>6524</v>
      </c>
      <c r="E34" s="16" t="str">
        <f ca="1">IFERROR(__xludf.DUMMYFUNCTION("AI(""c컬럼의 단어를 활용해서 적절한 예문을 만들어줘. 한글 해석은 줄띄움 후에 작성해줘"")"),"Alexander Fleming was a Scottish bacteriologist who discovered penicillin in 1928.
알렉산더 플레밍은 1928년에 페니실린을 발견한 스코틀랜드의 세균학자였습니다.")</f>
        <v>Alexander Fleming was a Scottish bacteriologist who discovered penicillin in 1928.
알렉산더 플레밍은 1928년에 페니실린을 발견한 스코틀랜드의 세균학자였습니다.</v>
      </c>
      <c r="F34" s="16" t="s">
        <v>4672</v>
      </c>
      <c r="G34" s="16">
        <v>1</v>
      </c>
    </row>
    <row r="35" spans="1:7" ht="25.5">
      <c r="A35" s="15"/>
      <c r="B35" s="16">
        <v>34</v>
      </c>
      <c r="C35" s="16" t="s">
        <v>4673</v>
      </c>
      <c r="D35" s="16" t="s">
        <v>6525</v>
      </c>
      <c r="E35" s="16" t="str">
        <f ca="1">IFERROR(__xludf.DUMMYFUNCTION("AI(""c컬럼의 단어를 활용해서 적절한 예문을 만들어줘. 한글 해석은 줄띄움 후에 작성해줘"")"),"The government decided to bail out the failing banks to prevent a total economic collapse.
정부는 전체적인 경제 붕괴를 막기 위해 파산 위기의 은행들에 구제 금융을 제공하기로 결정했습니다.")</f>
        <v>The government decided to bail out the failing banks to prevent a total economic collapse.
정부는 전체적인 경제 붕괴를 막기 위해 파산 위기의 은행들에 구제 금융을 제공하기로 결정했습니다.</v>
      </c>
      <c r="F35" s="16" t="s">
        <v>4674</v>
      </c>
      <c r="G35" s="16">
        <v>1</v>
      </c>
    </row>
    <row r="36" spans="1:7" ht="51">
      <c r="A36" s="15"/>
      <c r="B36" s="16">
        <v>35</v>
      </c>
      <c r="C36" s="16" t="s">
        <v>4675</v>
      </c>
      <c r="D36" s="16" t="s">
        <v>6526</v>
      </c>
      <c r="E36" s="16" t="str">
        <f ca="1">IFERROR(__xludf.DUMMYFUNCTION("AI(""c컬럼의 단어를 활용해서 적절한 예문을 만들어줘. 한글 해석은 줄띄움 후에 작성해줘"")"),"Labor unions allow workers to increase their bargaining power to negotiate for better wages and working conditions.
노동조합은 근로자들이 더 나은 임금과 근로 조건을 협상하기 위해 그들의 협상력을 높일 수 있게 해줍니다.")</f>
        <v>Labor unions allow workers to increase their bargaining power to negotiate for better wages and working conditions.
노동조합은 근로자들이 더 나은 임금과 근로 조건을 협상하기 위해 그들의 협상력을 높일 수 있게 해줍니다.</v>
      </c>
      <c r="F36" s="16" t="s">
        <v>4676</v>
      </c>
      <c r="G36" s="16">
        <v>1</v>
      </c>
    </row>
    <row r="37" spans="1:7" ht="38.25">
      <c r="A37" s="15"/>
      <c r="B37" s="16">
        <v>36</v>
      </c>
      <c r="C37" s="16" t="s">
        <v>4677</v>
      </c>
      <c r="D37" s="16" t="s">
        <v>6527</v>
      </c>
      <c r="E37" s="16" t="str">
        <f ca="1">IFERROR(__xludf.DUMMYFUNCTION("AI(""c컬럼의 단어를 활용해서 적절한 예문을 만들어줘. 한글 해석은 줄띄움 후에 작성해줘"")"),"Any athlete who tests positive for a banned substance will be barred from participating in the upcoming Olympic Games.
금지 약물 테스트에서 양성 반응이 나온 선수는 누구든 다가오는 올림픽 경기 참여가 금지될 것입니다.")</f>
        <v>Any athlete who tests positive for a banned substance will be barred from participating in the upcoming Olympic Games.
금지 약물 테스트에서 양성 반응이 나온 선수는 누구든 다가오는 올림픽 경기 참여가 금지될 것입니다.</v>
      </c>
      <c r="F37" s="16" t="s">
        <v>4678</v>
      </c>
      <c r="G37" s="16">
        <v>1</v>
      </c>
    </row>
    <row r="38" spans="1:7" ht="38.25">
      <c r="A38" s="15"/>
      <c r="B38" s="16">
        <v>37</v>
      </c>
      <c r="C38" s="16" t="s">
        <v>4679</v>
      </c>
      <c r="D38" s="16" t="s">
        <v>6528</v>
      </c>
      <c r="E38" s="16" t="str">
        <f ca="1">IFERROR(__xludf.DUMMYFUNCTION("AI(""c컬럼의 단어를 활용해서 적절한 예문을 만들어줘. 한글 해석은 줄띄움 후에 작성해줘"")"),"The politician's controversial comments caused him to be blasted in the media by critics from both sides.
그 정치인의 논란이 된 발언은 양측 비판론자들로부터 언론의 강한 비판을 받는 원인이 되었습니다.")</f>
        <v>The politician's controversial comments caused him to be blasted in the media by critics from both sides.
그 정치인의 논란이 된 발언은 양측 비판론자들로부터 언론의 강한 비판을 받는 원인이 되었습니다.</v>
      </c>
      <c r="F38" s="16" t="s">
        <v>4680</v>
      </c>
      <c r="G38" s="16">
        <v>1</v>
      </c>
    </row>
    <row r="39" spans="1:7" ht="25.5">
      <c r="A39" s="15"/>
      <c r="B39" s="16">
        <v>38</v>
      </c>
      <c r="C39" s="16" t="s">
        <v>4681</v>
      </c>
      <c r="D39" s="16" t="s">
        <v>6529</v>
      </c>
      <c r="E39" s="16" t="str">
        <f ca="1">IFERROR(__xludf.DUMMYFUNCTION("AI(""c컬럼의 단어를 활용해서 적절한 예문을 만들어줘. 한글 해석은 줄띄움 후에 작성해줘"")"),"Even the most powerful leaders are not immune from criticism for their executive decisions.
가장 강력한 지도자들조차 그들의 행정적 결정에 대한 비판에서 자유롭지 못합니다.")</f>
        <v>Even the most powerful leaders are not immune from criticism for their executive decisions.
가장 강력한 지도자들조차 그들의 행정적 결정에 대한 비판에서 자유롭지 못합니다.</v>
      </c>
      <c r="F39" s="16" t="s">
        <v>4682</v>
      </c>
      <c r="G39" s="16">
        <v>1</v>
      </c>
    </row>
    <row r="40" spans="1:7" ht="25.5">
      <c r="A40" s="15"/>
      <c r="B40" s="16">
        <v>39</v>
      </c>
      <c r="C40" s="16" t="s">
        <v>4683</v>
      </c>
      <c r="D40" s="16" t="s">
        <v>6530</v>
      </c>
      <c r="E40" s="16" t="str">
        <f ca="1">IFERROR(__xludf.DUMMYFUNCTION("AI(""c컬럼의 단어를 활용해서 적절한 예문을 만들어줘. 한글 해석은 줄띄움 후에 작성해줘"")"),"Several former officials were implicated in a scheme to accept cash bribes in exchange for promotions.
여러 명의 전직 관리들이 현금 뇌물을 대가로 승진을 시켜주는 계획에 연루되었습니다.")</f>
        <v>Several former officials were implicated in a scheme to accept cash bribes in exchange for promotions.
여러 명의 전직 관리들이 현금 뇌물을 대가로 승진을 시켜주는 계획에 연루되었습니다.</v>
      </c>
      <c r="F40" s="16" t="s">
        <v>4684</v>
      </c>
      <c r="G40" s="16">
        <v>1</v>
      </c>
    </row>
    <row r="41" spans="1:7" ht="25.5">
      <c r="A41" s="15"/>
      <c r="B41" s="16">
        <v>40</v>
      </c>
      <c r="C41" s="16" t="s">
        <v>4685</v>
      </c>
      <c r="D41" s="16" t="s">
        <v>6531</v>
      </c>
      <c r="E41" s="16" t="str">
        <f ca="1">IFERROR(__xludf.DUMMYFUNCTION("AI(""c컬럼의 단어를 활용해서 적절한 예문을 만들어줘. 한글 해석은 줄띄움 후에 작성해줘"")"),"Increased shipments of non-ferrous metals are expected to be offset by unrealized hedging losses.
비철금속 출하량 증가는 미실현 헤징 손실로 상쇄될 것으로 예상됩니다.")</f>
        <v>Increased shipments of non-ferrous metals are expected to be offset by unrealized hedging losses.
비철금속 출하량 증가는 미실현 헤징 손실로 상쇄될 것으로 예상됩니다.</v>
      </c>
      <c r="F41" s="16" t="s">
        <v>4686</v>
      </c>
      <c r="G41" s="16">
        <v>1</v>
      </c>
    </row>
    <row r="42" spans="1:7" ht="51">
      <c r="A42" s="15"/>
      <c r="B42" s="16">
        <v>41</v>
      </c>
      <c r="C42" s="16" t="s">
        <v>4687</v>
      </c>
      <c r="D42" s="16" t="s">
        <v>6532</v>
      </c>
      <c r="E42" s="16" t="str">
        <f ca="1">IFERROR(__xludf.DUMMYFUNCTION("AI(""c컬럼의 단어를 활용해서 적절한 예문을 만들어줘. 한글 해석은 줄띄움 후에 작성해줘"")"),"By 2019, data showed that two out of three college graduates were saddled with debt due to rising tuition costs.
2019년까지의 데이터에 따르면, 치솟는 등록금으로 인해 대졸자 3명 중 2명이 빚을 떠안게 된 것으로 나타났습니다.")</f>
        <v>By 2019, data showed that two out of three college graduates were saddled with debt due to rising tuition costs.
2019년까지의 데이터에 따르면, 치솟는 등록금으로 인해 대졸자 3명 중 2명이 빚을 떠안게 된 것으로 나타났습니다.</v>
      </c>
      <c r="F42" s="16" t="s">
        <v>4688</v>
      </c>
      <c r="G42" s="16">
        <v>1</v>
      </c>
    </row>
    <row r="43" spans="1:7" ht="25.5">
      <c r="A43" s="15"/>
      <c r="B43" s="16">
        <v>42</v>
      </c>
      <c r="C43" s="16" t="s">
        <v>4689</v>
      </c>
      <c r="D43" s="16" t="s">
        <v>6533</v>
      </c>
      <c r="E43" s="16" t="str">
        <f ca="1">IFERROR(__xludf.DUMMYFUNCTION("AI(""c컬럼의 단어를 활용해서 적절한 예문을 만들어줘. 한글 해석은 줄띄움 후에 작성해줘"")"),"The children were shipped off to a boarding school at an early age.
아이들은 어린 나이에 기숙 학교로 보내졌습니다.")</f>
        <v>The children were shipped off to a boarding school at an early age.
아이들은 어린 나이에 기숙 학교로 보내졌습니다.</v>
      </c>
      <c r="F43" s="16" t="s">
        <v>4690</v>
      </c>
      <c r="G43" s="16">
        <v>1</v>
      </c>
    </row>
    <row r="44" spans="1:7" ht="25.5">
      <c r="A44" s="15"/>
      <c r="B44" s="16">
        <v>43</v>
      </c>
      <c r="C44" s="16" t="s">
        <v>4691</v>
      </c>
      <c r="D44" s="16" t="s">
        <v>6534</v>
      </c>
      <c r="E44" s="16" t="str">
        <f ca="1">IFERROR(__xludf.DUMMYFUNCTION("AI(""c컬럼의 단어를 활용해서 적절한 예문을 만들어줘. 한글 해석은 줄띄움 후에 작성해줘"")"),"The government was taken to task for its failure to address the rising unemployment rate.
정부는 상승하는 실업률 문제를 해결하지 못한 것에 대해 질책을 받았습니다.")</f>
        <v>The government was taken to task for its failure to address the rising unemployment rate.
정부는 상승하는 실업률 문제를 해결하지 못한 것에 대해 질책을 받았습니다.</v>
      </c>
      <c r="F44" s="16" t="s">
        <v>4692</v>
      </c>
      <c r="G44" s="16">
        <v>1</v>
      </c>
    </row>
    <row r="45" spans="1:7" ht="25.5">
      <c r="A45" s="15"/>
      <c r="B45" s="16">
        <v>44</v>
      </c>
      <c r="C45" s="16" t="s">
        <v>4693</v>
      </c>
      <c r="D45" s="16" t="s">
        <v>6535</v>
      </c>
      <c r="E45" s="16" t="str">
        <f ca="1">IFERROR(__xludf.DUMMYFUNCTION("AI(""c컬럼의 단어를 활용해서 적절한 예문을 만들어줘. 한글 해석은 줄띄움 후에 작성해줘"")"),"The findings from the clinical trial did not bear out the researchers' initial hypothesis.
그 임상 시험 결과는 연구자들의 초기 가설을 입증하지 못했습니다.")</f>
        <v>The findings from the clinical trial did not bear out the researchers' initial hypothesis.
그 임상 시험 결과는 연구자들의 초기 가설을 입증하지 못했습니다.</v>
      </c>
      <c r="F45" s="16" t="s">
        <v>4694</v>
      </c>
      <c r="G45" s="16">
        <v>1</v>
      </c>
    </row>
    <row r="46" spans="1:7" ht="25.5">
      <c r="A46" s="15"/>
      <c r="B46" s="16">
        <v>45</v>
      </c>
      <c r="C46" s="16" t="s">
        <v>4695</v>
      </c>
      <c r="D46" s="16" t="s">
        <v>6536</v>
      </c>
      <c r="E46" s="16" t="str">
        <f ca="1">IFERROR(__xludf.DUMMYFUNCTION("AI(""c컬럼의 단어를 활용해서 적절한 예문을 만들어줘. 한글 해석은 줄띄움 후에 작성해줘"")"),"The government launched a new financial assistance program for low-income beneficiaries.
정부는 저소득층 수혜자들을 위한 새로운 재정 지원 프로그램을 시작했습니다.")</f>
        <v>The government launched a new financial assistance program for low-income beneficiaries.
정부는 저소득층 수혜자들을 위한 새로운 재정 지원 프로그램을 시작했습니다.</v>
      </c>
      <c r="F46" s="16" t="s">
        <v>4696</v>
      </c>
      <c r="G46" s="16">
        <v>1</v>
      </c>
    </row>
    <row r="47" spans="1:7" ht="38.25">
      <c r="A47" s="15"/>
      <c r="B47" s="16">
        <v>46</v>
      </c>
      <c r="C47" s="16" t="s">
        <v>4697</v>
      </c>
      <c r="D47" s="16" t="s">
        <v>6537</v>
      </c>
      <c r="E47" s="16" t="str">
        <f ca="1">IFERROR(__xludf.DUMMYFUNCTION("AI(""c컬럼의 단어를 활용해서 적절한 예문을 만들어줘. 한글 해석은 줄띄움 후에 작성해줘"")"),"The signatures on a legally binding document serve as concrete evidence that the parties agreed to the terms.
서명된 법적 구속력이 있는 문서는 당사자들이 조항에 합의했다는 구체적인 증거가 됩니다.")</f>
        <v>The signatures on a legally binding document serve as concrete evidence that the parties agreed to the terms.
서명된 법적 구속력이 있는 문서는 당사자들이 조항에 합의했다는 구체적인 증거가 됩니다.</v>
      </c>
      <c r="F47" s="16" t="s">
        <v>4698</v>
      </c>
      <c r="G47" s="16">
        <v>1</v>
      </c>
    </row>
    <row r="48" spans="1:7" ht="25.5">
      <c r="A48" s="15"/>
      <c r="B48" s="16">
        <v>47</v>
      </c>
      <c r="C48" s="16" t="s">
        <v>4699</v>
      </c>
      <c r="D48" s="16" t="s">
        <v>6538</v>
      </c>
      <c r="E48" s="16" t="str">
        <f ca="1">IFERROR(__xludf.DUMMYFUNCTION("AI(""c컬럼의 단어를 활용해서 적절한 예문을 만들어줘. 한글 해석은 줄띄움 후에 작성해줘"")"),"Many companies are switching to biodegradable packaging to reduce their environmental footprint.
많은 기업들이 환경 발자국을 줄이기 위해 생분해성 포장재로 전환하고 있습니다.")</f>
        <v>Many companies are switching to biodegradable packaging to reduce their environmental footprint.
많은 기업들이 환경 발자국을 줄이기 위해 생분해성 포장재로 전환하고 있습니다.</v>
      </c>
      <c r="F48" s="16" t="s">
        <v>4700</v>
      </c>
      <c r="G48" s="16">
        <v>2</v>
      </c>
    </row>
    <row r="49" spans="1:7" ht="38.25">
      <c r="A49" s="15"/>
      <c r="B49" s="16">
        <v>48</v>
      </c>
      <c r="C49" s="16" t="s">
        <v>4701</v>
      </c>
      <c r="D49" s="16" t="s">
        <v>6539</v>
      </c>
      <c r="E49" s="16" t="str">
        <f ca="1">IFERROR(__xludf.DUMMYFUNCTION("AI(""c컬럼의 단어를 활용해서 적절한 예문을 만들어줘. 한글 해석은 줄띄움 후에 작성해줘"")"),"The passage of the new infrastructure law required significant bipartisan cooperation from both sides of the aisle.
새로운 인프라 법안의 통과는 양측 모두의 상당한 초당적 협력을 필요로 했습니다.")</f>
        <v>The passage of the new infrastructure law required significant bipartisan cooperation from both sides of the aisle.
새로운 인프라 법안의 통과는 양측 모두의 상당한 초당적 협력을 필요로 했습니다.</v>
      </c>
      <c r="F49" s="16" t="s">
        <v>4702</v>
      </c>
      <c r="G49" s="16">
        <v>1</v>
      </c>
    </row>
    <row r="50" spans="1:7" ht="25.5">
      <c r="A50" s="15"/>
      <c r="B50" s="16">
        <v>49</v>
      </c>
      <c r="C50" s="16" t="s">
        <v>186</v>
      </c>
      <c r="D50" s="16" t="s">
        <v>6540</v>
      </c>
      <c r="E50" s="16" t="str">
        <f ca="1">IFERROR(__xludf.DUMMYFUNCTION("AI(""c컬럼의 단어를 활용해서 적절한 예문을 만들어줘. 한글 해석은 줄띄움 후에 작성해줘"")"),"The government implements various fiscal policies to bolster the economy during periods of recession.
정부는 경기 침체기 동안 경제를 강화하기 위해 다양한 재정 정책을 시행합니다.")</f>
        <v>The government implements various fiscal policies to bolster the economy during periods of recession.
정부는 경기 침체기 동안 경제를 강화하기 위해 다양한 재정 정책을 시행합니다.</v>
      </c>
      <c r="F50" s="16" t="s">
        <v>4703</v>
      </c>
      <c r="G50" s="16">
        <v>1</v>
      </c>
    </row>
    <row r="51" spans="1:7" ht="38.25">
      <c r="A51" s="15"/>
      <c r="B51" s="16">
        <v>50</v>
      </c>
      <c r="C51" s="16" t="s">
        <v>4704</v>
      </c>
      <c r="D51" s="16" t="s">
        <v>6541</v>
      </c>
      <c r="E51" s="16" t="str">
        <f ca="1">IFERROR(__xludf.DUMMYFUNCTION("AI(""c컬럼의 단어를 활용해서 적절한 예문을 만들어줘. 한글 해석은 줄띄움 후에 작성해줘"")"),"Healthy bone marrow is essential for producing the white blood cells that protect the body against infection.
건강한 골수는 감염으로부터 몸을 보호하는 백혈구를 생성하는 데 필수적입니다.")</f>
        <v>Healthy bone marrow is essential for producing the white blood cells that protect the body against infection.
건강한 골수는 감염으로부터 몸을 보호하는 백혈구를 생성하는 데 필수적입니다.</v>
      </c>
      <c r="F51" s="16" t="s">
        <v>4705</v>
      </c>
      <c r="G51" s="16">
        <v>2</v>
      </c>
    </row>
    <row r="52" spans="1:7" ht="51">
      <c r="A52" s="15"/>
      <c r="B52" s="16">
        <v>51</v>
      </c>
      <c r="C52" s="16" t="s">
        <v>4706</v>
      </c>
      <c r="D52" s="16" t="s">
        <v>6542</v>
      </c>
      <c r="E52" s="16" t="str">
        <f ca="1">IFERROR(__xludf.DUMMYFUNCTION("AI(""c컬럼의 단어를 활용해서 적절한 예문을 만들어줘. 한글 해석은 줄띄움 후에 작성해줘"")"),"The goal of ITER is to achieve fusion power production at power plant scale, breaking new ground in fusion science.
ITER의 목표는 발전소 규모의 핵융합 에너지를 생산하여 핵융합 과학의 새로운 영역을 개척하는 것입니다.")</f>
        <v>The goal of ITER is to achieve fusion power production at power plant scale, breaking new ground in fusion science.
ITER의 목표는 발전소 규모의 핵융합 에너지를 생산하여 핵융합 과학의 새로운 영역을 개척하는 것입니다.</v>
      </c>
      <c r="F52" s="16" t="s">
        <v>4707</v>
      </c>
      <c r="G52" s="16">
        <v>1</v>
      </c>
    </row>
    <row r="53" spans="1:7" ht="25.5">
      <c r="A53" s="15"/>
      <c r="B53" s="16">
        <v>52</v>
      </c>
      <c r="C53" s="16" t="s">
        <v>4708</v>
      </c>
      <c r="D53" s="16" t="s">
        <v>6543</v>
      </c>
      <c r="E53" s="16" t="str">
        <f ca="1">IFERROR(__xludf.DUMMYFUNCTION("AI(""c컬럼의 단어를 활용해서 적절한 예문을 만들어줘. 한글 해석은 줄띄움 후에 작성해줘"")"),"Two tech companies often butt heads with each other over patent infringement.
두 기술 기업은 특허 침해 문제로 자주 서로와 충돌합니다.")</f>
        <v>Two tech companies often butt heads with each other over patent infringement.
두 기술 기업은 특허 침해 문제로 자주 서로와 충돌합니다.</v>
      </c>
      <c r="F53" s="16" t="s">
        <v>4709</v>
      </c>
      <c r="G53" s="16">
        <v>1</v>
      </c>
    </row>
    <row r="54" spans="1:7" ht="38.25">
      <c r="A54" s="15"/>
      <c r="B54" s="16">
        <v>53</v>
      </c>
      <c r="C54" s="16" t="s">
        <v>4710</v>
      </c>
      <c r="D54" s="16" t="s">
        <v>6544</v>
      </c>
      <c r="E54" s="16" t="str">
        <f ca="1">IFERROR(__xludf.DUMMYFUNCTION("AI(""c컬럼의 단어를 활용해서 적절한 예문을 만들어줘. 한글 해석은 줄띄움 후에 작성해줘"")"),"The architects added a stone buttress to the exterior wall to prevent the ancient cathedral from collapsing.
건축가들은 고대 성당이 무너지는 것을 방지하기 위해 외벽에 돌로 된 지지대를 추가했습니다.")</f>
        <v>The architects added a stone buttress to the exterior wall to prevent the ancient cathedral from collapsing.
건축가들은 고대 성당이 무너지는 것을 방지하기 위해 외벽에 돌로 된 지지대를 추가했습니다.</v>
      </c>
      <c r="F54" s="16" t="s">
        <v>4711</v>
      </c>
      <c r="G54" s="16">
        <v>1</v>
      </c>
    </row>
    <row r="55" spans="1:7" ht="51">
      <c r="A55" s="15"/>
      <c r="B55" s="16">
        <v>54</v>
      </c>
      <c r="C55" s="16" t="s">
        <v>4712</v>
      </c>
      <c r="D55" s="16" t="s">
        <v>6545</v>
      </c>
      <c r="E55" s="16" t="str">
        <f ca="1">IFERROR(__xludf.DUMMYFUNCTION("AI(""c컬럼의 단어를 활용해서 적절한 예문을 만들어줘. 한글 해석은 줄띄움 후에 작성해줘"")"),"As your organization evolves, revisiting and updating your bylaws ensures they align with legal requirements and current operational practices.
조직이 발전함에 따라 내규를 재검토하고 업데이트하는 것은 법적 요구 사항 및 현재의 운영 관행과 일치하도록 보장합니다.")</f>
        <v>As your organization evolves, revisiting and updating your bylaws ensures they align with legal requirements and current operational practices.
조직이 발전함에 따라 내규를 재검토하고 업데이트하는 것은 법적 요구 사항 및 현재의 운영 관행과 일치하도록 보장합니다.</v>
      </c>
      <c r="F55" s="16" t="s">
        <v>4713</v>
      </c>
      <c r="G55" s="16">
        <v>1</v>
      </c>
    </row>
    <row r="56" spans="1:7" ht="38.25">
      <c r="A56" s="15"/>
      <c r="B56" s="16">
        <v>55</v>
      </c>
      <c r="C56" s="16" t="s">
        <v>4714</v>
      </c>
      <c r="D56" s="16" t="s">
        <v>6546</v>
      </c>
      <c r="E56" s="16" t="str">
        <f ca="1">IFERROR(__xludf.DUMMYFUNCTION("AI(""c컬럼의 단어를 활용해서 적절한 예문을 만들어줘. 한글 해석은 줄띄움 후에 작성해줘"")"),"The total number of calories you consume should equal your caloric expenditure to maintain a stable weight.
체중을 안정적으로 유지하기 위해서는 섭취하는 총 칼로리가 칼로리 소모량과 일치해야 합니다.")</f>
        <v>The total number of calories you consume should equal your caloric expenditure to maintain a stable weight.
체중을 안정적으로 유지하기 위해서는 섭취하는 총 칼로리가 칼로리 소모량과 일치해야 합니다.</v>
      </c>
      <c r="F56" s="16" t="s">
        <v>4715</v>
      </c>
      <c r="G56" s="16">
        <v>1</v>
      </c>
    </row>
    <row r="57" spans="1:7" ht="25.5">
      <c r="A57" s="15"/>
      <c r="B57" s="16">
        <v>56</v>
      </c>
      <c r="C57" s="16" t="s">
        <v>4716</v>
      </c>
      <c r="D57" s="16" t="s">
        <v>6547</v>
      </c>
      <c r="E57" s="16" t="str">
        <f ca="1">IFERROR(__xludf.DUMMYFUNCTION("AI(""c컬럼의 단어를 활용해서 적절한 예문을 만들어줘. 한글 해석은 줄띄움 후에 작성해줘"")"),"The city councilwoman officially announced her candidacy for mayor in the upcoming election.
그 시의원은 다가오는 선거에서 시장 출마를 공식적으로 발표했습니다.")</f>
        <v>The city councilwoman officially announced her candidacy for mayor in the upcoming election.
그 시의원은 다가오는 선거에서 시장 출마를 공식적으로 발표했습니다.</v>
      </c>
      <c r="F57" s="16" t="s">
        <v>4717</v>
      </c>
      <c r="G57" s="16">
        <v>1</v>
      </c>
    </row>
    <row r="58" spans="1:7" ht="25.5">
      <c r="A58" s="15"/>
      <c r="B58" s="16">
        <v>57</v>
      </c>
      <c r="C58" s="16" t="s">
        <v>4718</v>
      </c>
      <c r="D58" s="16" t="s">
        <v>6548</v>
      </c>
      <c r="E58" s="16" t="str">
        <f ca="1">IFERROR(__xludf.DUMMYFUNCTION("AI(""c컬럼의 단어를 활용해서 적절한 예문을 만들어줘. 한글 해석은 줄띄움 후에 작성해줘"")"),"To stay ahead of the competition, businesses must identify and capitalize on emerging market trends.
경쟁에서 앞서기 위해 기업은 새로운 시장 트렌드를 파악하고 이를 활용해야 합니다.")</f>
        <v>To stay ahead of the competition, businesses must identify and capitalize on emerging market trends.
경쟁에서 앞서기 위해 기업은 새로운 시장 트렌드를 파악하고 이를 활용해야 합니다.</v>
      </c>
      <c r="F58" s="16" t="s">
        <v>4719</v>
      </c>
      <c r="G58" s="16">
        <v>2</v>
      </c>
    </row>
    <row r="59" spans="1:7" ht="25.5">
      <c r="A59" s="15"/>
      <c r="B59" s="16">
        <v>58</v>
      </c>
      <c r="C59" s="16" t="s">
        <v>4720</v>
      </c>
      <c r="D59" s="16" t="s">
        <v>6549</v>
      </c>
      <c r="E59" s="16" t="str">
        <f ca="1">IFERROR(__xludf.DUMMYFUNCTION("AI(""c컬럼의 단어를 활용해서 적절한 예문을 만들어줘. 한글 해석은 줄띄움 후에 작성해줘"")"),"The movie studio plans to cash in on the popularity of the original book series by releasing a trilogy.
그 영화사는 원작 도서 시리즈의 인기를 이용해 돈벌이하기 위해 3부작을 개봉할 계획입니다.")</f>
        <v>The movie studio plans to cash in on the popularity of the original book series by releasing a trilogy.
그 영화사는 원작 도서 시리즈의 인기를 이용해 돈벌이하기 위해 3부작을 개봉할 계획입니다.</v>
      </c>
      <c r="F59" s="16" t="s">
        <v>4721</v>
      </c>
      <c r="G59" s="16">
        <v>2</v>
      </c>
    </row>
    <row r="60" spans="1:7" ht="25.5">
      <c r="A60" s="15"/>
      <c r="B60" s="16">
        <v>59</v>
      </c>
      <c r="C60" s="16" t="s">
        <v>1387</v>
      </c>
      <c r="D60" s="16" t="s">
        <v>6550</v>
      </c>
      <c r="E60" s="16" t="str">
        <f ca="1">IFERROR(__xludf.DUMMYFUNCTION("AI(""c컬럼의 단어를 활용해서 적절한 예문을 만들어줘. 한글 해석은 줄띄움 후에 작성해줘"")"),"Venus is currently the brightest celestial body in the night sky after the moon.
금성은 현재 밤하늘에서 달 다음으로 가장 밝은 천체입니다.")</f>
        <v>Venus is currently the brightest celestial body in the night sky after the moon.
금성은 현재 밤하늘에서 달 다음으로 가장 밝은 천체입니다.</v>
      </c>
      <c r="F60" s="16" t="s">
        <v>4722</v>
      </c>
      <c r="G60" s="16">
        <v>1</v>
      </c>
    </row>
    <row r="61" spans="1:7" ht="25.5">
      <c r="A61" s="15"/>
      <c r="B61" s="16">
        <v>60</v>
      </c>
      <c r="C61" s="16" t="s">
        <v>4723</v>
      </c>
      <c r="D61" s="16" t="s">
        <v>6551</v>
      </c>
      <c r="E61" s="16" t="str">
        <f ca="1">IFERROR(__xludf.DUMMYFUNCTION("AI(""c컬럼의 단어를 활용해서 적절한 예문을 만들어줘. 한글 해석은 줄띄움 후에 작성해줘"")"),"The treatment for celiac disease is lifelong adherence to a strict gluten-free diet.
셀리악병의 치료법은 엄격한 글루텐 프리 식단을 평생 동안 준수하는 것입니다.")</f>
        <v>The treatment for celiac disease is lifelong adherence to a strict gluten-free diet.
셀리악병의 치료법은 엄격한 글루텐 프리 식단을 평생 동안 준수하는 것입니다.</v>
      </c>
      <c r="F61" s="16" t="s">
        <v>4724</v>
      </c>
      <c r="G61" s="16">
        <v>1</v>
      </c>
    </row>
    <row r="62" spans="1:7" ht="51">
      <c r="A62" s="15"/>
      <c r="B62" s="16">
        <v>61</v>
      </c>
      <c r="C62" s="16" t="s">
        <v>4725</v>
      </c>
      <c r="D62" s="16" t="s">
        <v>6552</v>
      </c>
      <c r="E62" s="16" t="str">
        <f ca="1">IFERROR(__xludf.DUMMYFUNCTION("AI(""c컬럼의 단어를 활용해서 적절한 예문을 만들어줘. 한글 해석은 줄띄움 후에 작성해줘"")"),"Cellular agriculture can address the growing demand for high-quality proteins while enabling improvements in food sustainability.
세포 농업은 고품질 단백질에 대한 증가하는 수요를 해결하는 동시에 식품 지속 가능성의 개선을 가능하게 할 수 있습니다.")</f>
        <v>Cellular agriculture can address the growing demand for high-quality proteins while enabling improvements in food sustainability.
세포 농업은 고품질 단백질에 대한 증가하는 수요를 해결하는 동시에 식품 지속 가능성의 개선을 가능하게 할 수 있습니다.</v>
      </c>
      <c r="F62" s="16" t="s">
        <v>4725</v>
      </c>
      <c r="G62" s="16">
        <v>1</v>
      </c>
    </row>
    <row r="63" spans="1:7" ht="38.25">
      <c r="A63" s="15"/>
      <c r="B63" s="16">
        <v>62</v>
      </c>
      <c r="C63" s="16" t="s">
        <v>4726</v>
      </c>
      <c r="D63" s="16" t="s">
        <v>6553</v>
      </c>
      <c r="E63" s="16" t="str">
        <f ca="1">IFERROR(__xludf.DUMMYFUNCTION("AI(""c컬럼의 단어를 활용해서 적절한 예문을 만들어줘. 한글 해석은 줄띄움 후에 작성해줘"")"),"The centrist appeal of the candidate resonated with a broad spectrum of voters seeking political stability.
그 후보의 중도적인 매력은 정치적 안정을 원하는 광범위한 유권자층의 공감을 불러일으켰습니다.")</f>
        <v>The centrist appeal of the candidate resonated with a broad spectrum of voters seeking political stability.
그 후보의 중도적인 매력은 정치적 안정을 원하는 광범위한 유권자층의 공감을 불러일으켰습니다.</v>
      </c>
      <c r="F63" s="16" t="s">
        <v>4727</v>
      </c>
      <c r="G63" s="16">
        <v>1</v>
      </c>
    </row>
    <row r="64" spans="1:7" ht="38.25">
      <c r="A64" s="15"/>
      <c r="B64" s="16">
        <v>63</v>
      </c>
      <c r="C64" s="16" t="s">
        <v>4728</v>
      </c>
      <c r="D64" s="16" t="s">
        <v>6554</v>
      </c>
      <c r="E64" s="16" t="str">
        <f ca="1">IFERROR(__xludf.DUMMYFUNCTION("AI(""c컬럼의 단어를 활용해서 적절한 예문을 만들어줘. 한글 해석은 줄띄움 후에 작성해줘"")"),"Many activists dedicate their lives to championing a cause they believe in, such as environmental protection or social justice.
많은 활동가들은 환경 보호나 사회 정의와 같이 자신들이 믿는 명분을 지지하는 데 평생을 바칩니다.")</f>
        <v>Many activists dedicate their lives to championing a cause they believe in, such as environmental protection or social justice.
많은 활동가들은 환경 보호나 사회 정의와 같이 자신들이 믿는 명분을 지지하는 데 평생을 바칩니다.</v>
      </c>
      <c r="F64" s="16" t="s">
        <v>4729</v>
      </c>
      <c r="G64" s="16">
        <v>1</v>
      </c>
    </row>
    <row r="65" spans="1:7" ht="38.25">
      <c r="A65" s="15"/>
      <c r="B65" s="16">
        <v>64</v>
      </c>
      <c r="C65" s="16" t="s">
        <v>4730</v>
      </c>
      <c r="D65" s="16" t="s">
        <v>6555</v>
      </c>
      <c r="E65" s="16" t="str">
        <f ca="1">IFERROR(__xludf.DUMMYFUNCTION("AI(""c컬럼의 단어를 활용해서 적절한 예문을 만들어줘. 한글 해석은 줄띄움 후에 작성해줘"")"),"The history of the Bible is often difficult to study because the books are not arranged in chronological order.
성경의 책들이 연대순으로 배열되어 있지 않기 때문에 성경의 역사를 공부하는 것은 종종 어렵습니다.")</f>
        <v>The history of the Bible is often difficult to study because the books are not arranged in chronological order.
성경의 책들이 연대순으로 배열되어 있지 않기 때문에 성경의 역사를 공부하는 것은 종종 어렵습니다.</v>
      </c>
      <c r="F65" s="16" t="s">
        <v>4731</v>
      </c>
      <c r="G65" s="16">
        <v>1</v>
      </c>
    </row>
    <row r="66" spans="1:7" ht="25.5">
      <c r="A66" s="15"/>
      <c r="B66" s="16">
        <v>65</v>
      </c>
      <c r="C66" s="16" t="s">
        <v>4732</v>
      </c>
      <c r="D66" s="16" t="s">
        <v>6556</v>
      </c>
      <c r="E66" s="16" t="str">
        <f ca="1">IFERROR(__xludf.DUMMYFUNCTION("AI(""c컬럼의 단어를 활용해서 적절한 예문을 만들어줘. 한글 해석은 줄띄움 후에 작성해줘"")"),"The team found a way to circumvent the security system and gain access to the building.
그 팀은 보안 시스템을 우회하여 건물에 들어갈 방법을 찾아냈습니다.")</f>
        <v>The team found a way to circumvent the security system and gain access to the building.
그 팀은 보안 시스템을 우회하여 건물에 들어갈 방법을 찾아냈습니다.</v>
      </c>
      <c r="F66" s="16" t="s">
        <v>4733</v>
      </c>
      <c r="G66" s="16">
        <v>1</v>
      </c>
    </row>
    <row r="67" spans="1:7" ht="25.5">
      <c r="A67" s="15"/>
      <c r="B67" s="16">
        <v>66</v>
      </c>
      <c r="C67" s="16" t="s">
        <v>4734</v>
      </c>
      <c r="D67" s="16" t="s">
        <v>6557</v>
      </c>
      <c r="E67" s="16" t="str">
        <f ca="1">IFERROR(__xludf.DUMMYFUNCTION("AI(""c컬럼의 단어를 활용해서 적절한 예문을 만들어줘. 한글 해석은 줄띄움 후에 작성해줘"")"),"The government acknowledged that some teenagers will attempt to circumvent the ban.
정부는 일부 십 대들이 그 금지 조치를 회피하려 시도할 것임을 인정했습니다.")</f>
        <v>The government acknowledged that some teenagers will attempt to circumvent the ban.
정부는 일부 십 대들이 그 금지 조치를 회피하려 시도할 것임을 인정했습니다.</v>
      </c>
      <c r="F67" s="16" t="s">
        <v>4735</v>
      </c>
      <c r="G67" s="16">
        <v>1</v>
      </c>
    </row>
    <row r="68" spans="1:7" ht="25.5">
      <c r="A68" s="15"/>
      <c r="B68" s="16">
        <v>67</v>
      </c>
      <c r="C68" s="16" t="s">
        <v>4736</v>
      </c>
      <c r="D68" s="16" t="s">
        <v>6558</v>
      </c>
      <c r="E68" s="16" t="str">
        <f ca="1">IFERROR(__xludf.DUMMYFUNCTION("AI(""c컬럼의 단어를 활용해서 적절한 예문을 만들어줘. 한글 해석은 줄띄움 후에 작성해줘"")"),"The politician attempted to cloak his true intentions in the guise of public service.
그 정치인은 자신의 진짜 의도를 공공 서비스라는 모습으로 감추려 했습니다.")</f>
        <v>The politician attempted to cloak his true intentions in the guise of public service.
그 정치인은 자신의 진짜 의도를 공공 서비스라는 모습으로 감추려 했습니다.</v>
      </c>
      <c r="F68" s="16" t="s">
        <v>4737</v>
      </c>
      <c r="G68" s="16">
        <v>1</v>
      </c>
    </row>
    <row r="69" spans="1:7" ht="51">
      <c r="A69" s="15"/>
      <c r="B69" s="16">
        <v>68</v>
      </c>
      <c r="C69" s="16" t="s">
        <v>4738</v>
      </c>
      <c r="D69" s="16" t="s">
        <v>6559</v>
      </c>
      <c r="E69" s="16" t="str">
        <f ca="1">IFERROR(__xludf.DUMMYFUNCTION("AI(""c컬럼의 단어를 활용해서 적절한 예문을 만들어줘. 한글 해석은 줄띄움 후에 작성해줘"")"),"Lawmakers attended a closed-door briefing to discuss the potential impacts of the government shutdown on national security.
입법가들은 정부 셧다운이 국가 안보에 미칠 잠재적 영향에 대해 논의하기 위해 비공개 브리핑에 참석했습니다.")</f>
        <v>Lawmakers attended a closed-door briefing to discuss the potential impacts of the government shutdown on national security.
입법가들은 정부 셧다운이 국가 안보에 미칠 잠재적 영향에 대해 논의하기 위해 비공개 브리핑에 참석했습니다.</v>
      </c>
      <c r="F69" s="16" t="s">
        <v>4739</v>
      </c>
      <c r="G69" s="16">
        <v>1</v>
      </c>
    </row>
    <row r="70" spans="1:7" ht="25.5">
      <c r="A70" s="15"/>
      <c r="B70" s="16">
        <v>69</v>
      </c>
      <c r="C70" s="16" t="s">
        <v>4740</v>
      </c>
      <c r="D70" s="16" t="s">
        <v>6560</v>
      </c>
      <c r="E70" s="16" t="str">
        <f ca="1">IFERROR(__xludf.DUMMYFUNCTION("AI(""c컬럼의 단어를 활용해서 적절한 예문을 만들어줘. 한글 해석은 줄띄움 후에 작성해줘"")"),"Historians study the ancient codex to understand the transition from scrolls to bound books.
역사학자들은 두루마리에서 제본된 책으로의 전환을 이해하기 위해 고대 코덱스를 연구합니다.")</f>
        <v>Historians study the ancient codex to understand the transition from scrolls to bound books.
역사학자들은 두루마리에서 제본된 책으로의 전환을 이해하기 위해 고대 코덱스를 연구합니다.</v>
      </c>
      <c r="F70" s="16" t="s">
        <v>4741</v>
      </c>
      <c r="G70" s="16">
        <v>1</v>
      </c>
    </row>
    <row r="71" spans="1:7" ht="25.5">
      <c r="A71" s="15"/>
      <c r="B71" s="16">
        <v>70</v>
      </c>
      <c r="C71" s="16" t="s">
        <v>4742</v>
      </c>
      <c r="D71" s="16" t="s">
        <v>6561</v>
      </c>
      <c r="E71" s="16" t="str">
        <f ca="1">IFERROR(__xludf.DUMMYFUNCTION("AI(""c컬럼의 단어를 활용해서 적절한 예문을 만들어줘. 한글 해석은 줄띄움 후에 작성해줘"")"),"The discovery of ancient coins provides valuable insight into the coinage of the Roman Empire.
고대 동전의 발견은 로마 제국의 화폐 제도에 대한 귀중한 통찰력을 제공합니다.")</f>
        <v>The discovery of ancient coins provides valuable insight into the coinage of the Roman Empire.
고대 동전의 발견은 로마 제국의 화폐 제도에 대한 귀중한 통찰력을 제공합니다.</v>
      </c>
      <c r="F71" s="16" t="s">
        <v>4743</v>
      </c>
      <c r="G71" s="16">
        <v>1</v>
      </c>
    </row>
    <row r="72" spans="1:7" ht="51">
      <c r="A72" s="15"/>
      <c r="B72" s="16">
        <v>71</v>
      </c>
      <c r="C72" s="16" t="s">
        <v>4744</v>
      </c>
      <c r="D72" s="16" t="s">
        <v>6562</v>
      </c>
      <c r="E72" s="16" t="str">
        <f ca="1">IFERROR(__xludf.DUMMYFUNCTION("AI(""c컬럼의 단어를 활용해서 적절한 예문을 만들어줘. 한글 해석은 줄띄움 후에 작성해줘"")"),"The grand opening of the gift shop will coincide with the winter festival so residents can begin their holiday shopping.
선물 가게의 그랜드 오픈은 주민들이 연휴 쇼핑을 시작할 수 있도록 겨울 축제와 동시에 일어날 것입니다.")</f>
        <v>The grand opening of the gift shop will coincide with the winter festival so residents can begin their holiday shopping.
선물 가게의 그랜드 오픈은 주민들이 연휴 쇼핑을 시작할 수 있도록 겨울 축제와 동시에 일어날 것입니다.</v>
      </c>
      <c r="F72" s="16" t="s">
        <v>4745</v>
      </c>
      <c r="G72" s="16">
        <v>1</v>
      </c>
    </row>
    <row r="73" spans="1:7" ht="25.5">
      <c r="A73" s="15"/>
      <c r="B73" s="16">
        <v>72</v>
      </c>
      <c r="C73" s="16" t="s">
        <v>4746</v>
      </c>
      <c r="D73" s="16" t="s">
        <v>6563</v>
      </c>
      <c r="E73" s="16" t="str">
        <f ca="1">IFERROR(__xludf.DUMMYFUNCTION("AI(""c컬럼의 단어를 활용해서 적절한 예문을 만들어줘. 한글 해석은 줄띄움 후에 작성해줘"")"),"The committee comprises five members from different departments.
그 위원회는 서로 다른 부서에서 온 다섯 명의 위원으로 구성되어 있습니다.")</f>
        <v>The committee comprises five members from different departments.
그 위원회는 서로 다른 부서에서 온 다섯 명의 위원으로 구성되어 있습니다.</v>
      </c>
      <c r="F73" s="16" t="s">
        <v>4747</v>
      </c>
      <c r="G73" s="16">
        <v>1</v>
      </c>
    </row>
    <row r="74" spans="1:7" ht="38.25">
      <c r="A74" s="15"/>
      <c r="B74" s="16">
        <v>73</v>
      </c>
      <c r="C74" s="16" t="s">
        <v>4748</v>
      </c>
      <c r="D74" s="16" t="s">
        <v>6564</v>
      </c>
      <c r="E74" s="16" t="str">
        <f ca="1">IFERROR(__xludf.DUMMYFUNCTION("AI(""c컬럼의 단어를 활용해서 적절한 예문을 만들어줘. 한글 해석은 줄띄움 후에 작성해줘"")"),"When a stone is dropped into a still pond, it creates ripples in the form of concentric circles that spread outward from the center.
돌을 고요한 연못에 던지면, 중심에서 바깥쪽으로 퍼져 나가는 동심원 형태의 물결이 생깁니다.")</f>
        <v>When a stone is dropped into a still pond, it creates ripples in the form of concentric circles that spread outward from the center.
돌을 고요한 연못에 던지면, 중심에서 바깥쪽으로 퍼져 나가는 동심원 형태의 물결이 생깁니다.</v>
      </c>
      <c r="F74" s="16" t="s">
        <v>4749</v>
      </c>
      <c r="G74" s="16">
        <v>1</v>
      </c>
    </row>
    <row r="75" spans="1:7" ht="25.5">
      <c r="A75" s="15"/>
      <c r="B75" s="16">
        <v>74</v>
      </c>
      <c r="C75" s="16" t="s">
        <v>4750</v>
      </c>
      <c r="D75" s="16" t="s">
        <v>6565</v>
      </c>
      <c r="E75" s="16" t="str">
        <f ca="1">IFERROR(__xludf.DUMMYFUNCTION("AI(""c컬럼의 단어를 활용해서 적절한 예문을 만들어줘. 한글 해석은 줄띄움 후에 작성해줘"")"),"They have a clear conception of how the process works.
그들은 그 과정이 어떻게 작동하는지에 대해 명확한 이해를 가지고 있습니다.")</f>
        <v>They have a clear conception of how the process works.
그들은 그 과정이 어떻게 작동하는지에 대해 명확한 이해를 가지고 있습니다.</v>
      </c>
      <c r="F75" s="16" t="s">
        <v>4751</v>
      </c>
      <c r="G75" s="16">
        <v>1</v>
      </c>
    </row>
    <row r="76" spans="1:7" ht="25.5">
      <c r="A76" s="15"/>
      <c r="B76" s="16">
        <v>75</v>
      </c>
      <c r="C76" s="16" t="s">
        <v>4752</v>
      </c>
      <c r="D76" s="16" t="s">
        <v>6566</v>
      </c>
      <c r="E76" s="16" t="str">
        <f ca="1">IFERROR(__xludf.DUMMYFUNCTION("AI(""c컬럼의 단어를 활용해서 적절한 예문을 만들어줘. 한글 해석은 줄띄움 후에 작성해줘"")"),"The conceptualization of justice varies significantly across different cultures and legal systems.
정의에 대한 개념화는 다양한 문화와 법 체계에 따라 크게 달라집니다.")</f>
        <v>The conceptualization of justice varies significantly across different cultures and legal systems.
정의에 대한 개념화는 다양한 문화와 법 체계에 따라 크게 달라집니다.</v>
      </c>
      <c r="F76" s="16" t="s">
        <v>4753</v>
      </c>
      <c r="G76" s="16">
        <v>1</v>
      </c>
    </row>
    <row r="77" spans="1:7" ht="25.5">
      <c r="A77" s="15"/>
      <c r="B77" s="16">
        <v>76</v>
      </c>
      <c r="C77" s="16" t="s">
        <v>4754</v>
      </c>
      <c r="D77" s="16" t="s">
        <v>6567</v>
      </c>
      <c r="E77" s="16" t="str">
        <f ca="1">IFERROR(__xludf.DUMMYFUNCTION("AI(""c컬럼의 단어를 활용해서 적절한 예문을 만들어줘. 한글 해석은 줄띄움 후에 작성해줘"")"),"The city selected a new concessionaire to operate the restaurant and gift shop within the state park.
시 당국은 주립 공원 내 식당과 기념품점을 운영할 새로운 영업권자를 선정했습니다.")</f>
        <v>The city selected a new concessionaire to operate the restaurant and gift shop within the state park.
시 당국은 주립 공원 내 식당과 기념품점을 운영할 새로운 영업권자를 선정했습니다.</v>
      </c>
      <c r="F77" s="16" t="s">
        <v>4755</v>
      </c>
      <c r="G77" s="16">
        <v>1</v>
      </c>
    </row>
    <row r="78" spans="1:7" ht="25.5">
      <c r="A78" s="15"/>
      <c r="B78" s="16">
        <v>77</v>
      </c>
      <c r="C78" s="16" t="s">
        <v>4756</v>
      </c>
      <c r="D78" s="16" t="s">
        <v>6568</v>
      </c>
      <c r="E78" s="16" t="str">
        <f ca="1">IFERROR(__xludf.DUMMYFUNCTION("AI(""c컬럼의 단어를 활용해서 적절한 예문을 만들어줘. 한글 해석은 줄띄움 후에 작성해줘"")"),"The suspect tried to concoct a story to explain his whereabouts on the night of the crime.
용의자는 범행 당일 밤 자신의 행방을 설명하기 위해 이야기를 꾸며내려 노력했습니다.")</f>
        <v>The suspect tried to concoct a story to explain his whereabouts on the night of the crime.
용의자는 범행 당일 밤 자신의 행방을 설명하기 위해 이야기를 꾸며내려 노력했습니다.</v>
      </c>
      <c r="F78" s="16" t="s">
        <v>4757</v>
      </c>
      <c r="G78" s="16">
        <v>1</v>
      </c>
    </row>
    <row r="79" spans="1:7" ht="25.5">
      <c r="A79" s="15"/>
      <c r="B79" s="16">
        <v>78</v>
      </c>
      <c r="C79" s="16" t="s">
        <v>4758</v>
      </c>
      <c r="D79" s="16" t="s">
        <v>6569</v>
      </c>
      <c r="E79" s="16" t="str">
        <f ca="1">IFERROR(__xludf.DUMMYFUNCTION("AI(""c컬럼의 단어를 활용해서 적절한 예문을 만들어줘. 한글 해석은 줄띄움 후에 작성해줘"")"),"Water vapor condenses on the cold surface of the glass when warm air meets a cool window.
따뜻한 공기가 차가운 창문과 만날 때 수증기가 유리창의 차가운 표면에 응결됩니다.")</f>
        <v>Water vapor condenses on the cold surface of the glass when warm air meets a cool window.
따뜻한 공기가 차가운 창문과 만날 때 수증기가 유리창의 차가운 표면에 응결됩니다.</v>
      </c>
      <c r="F79" s="16" t="s">
        <v>4759</v>
      </c>
      <c r="G79" s="16">
        <v>1</v>
      </c>
    </row>
    <row r="80" spans="1:7" ht="25.5">
      <c r="A80" s="15"/>
      <c r="B80" s="16">
        <v>79</v>
      </c>
      <c r="C80" s="16" t="s">
        <v>4760</v>
      </c>
      <c r="D80" s="16" t="s">
        <v>6570</v>
      </c>
      <c r="E80" s="16" t="str">
        <f ca="1">IFERROR(__xludf.DUMMYFUNCTION("AI(""c컬럼의 단어를 활용해서 적절한 예문을 만들어줘. 한글 해석은 줄띄움 후에 작성해줘"")"),"Software updates often reset the system configuration to its default settings.
소프트웨어 업데이트는 종종 시스템 구성을 기본 설정으로 재설정합니다.")</f>
        <v>Software updates often reset the system configuration to its default settings.
소프트웨어 업데이트는 종종 시스템 구성을 기본 설정으로 재설정합니다.</v>
      </c>
      <c r="F80" s="16" t="s">
        <v>4761</v>
      </c>
      <c r="G80" s="16">
        <v>1</v>
      </c>
    </row>
    <row r="81" spans="1:7" ht="25.5">
      <c r="A81" s="15"/>
      <c r="B81" s="16">
        <v>80</v>
      </c>
      <c r="C81" s="16" t="s">
        <v>4762</v>
      </c>
      <c r="D81" s="16" t="s">
        <v>6571</v>
      </c>
      <c r="E81" s="16" t="str">
        <f ca="1">IFERROR(__xludf.DUMMYFUNCTION("AI(""c컬럼의 단어를 활용해서 적절한 예문을 만들어줘. 한글 해석은 줄띄움 후에 작성해줘"")"),"To me, the word home connotes warmth and safety, more than just a place to live.
나에게 집이라는 단어는 단순히 사는 곳 이상의 온기와 안전을 함축한다.")</f>
        <v>To me, the word home connotes warmth and safety, more than just a place to live.
나에게 집이라는 단어는 단순히 사는 곳 이상의 온기와 안전을 함축한다.</v>
      </c>
      <c r="F81" s="16" t="s">
        <v>4763</v>
      </c>
      <c r="G81" s="16">
        <v>1</v>
      </c>
    </row>
    <row r="82" spans="1:7" ht="25.5">
      <c r="A82" s="15"/>
      <c r="B82" s="16">
        <v>81</v>
      </c>
      <c r="C82" s="16" t="s">
        <v>4764</v>
      </c>
      <c r="D82" s="16" t="s">
        <v>6572</v>
      </c>
      <c r="E82" s="16" t="str">
        <f ca="1">IFERROR(__xludf.DUMMYFUNCTION("AI(""c컬럼의 단어를 활용해서 적절한 예문을 만들어줘. 한글 해석은 줄띄움 후에 작성해줘"")"),"Conscientious employees are often the most reliable members of a team because of their diligence.
성실한 직원들은 그들의 부지런함 덕분에 종종 팀에서 가장 신뢰받는 구성원이 됩니다.")</f>
        <v>Conscientious employees are often the most reliable members of a team because of their diligence.
성실한 직원들은 그들의 부지런함 덕분에 종종 팀에서 가장 신뢰받는 구성원이 됩니다.</v>
      </c>
      <c r="F82" s="16" t="s">
        <v>4765</v>
      </c>
      <c r="G82" s="16">
        <v>1</v>
      </c>
    </row>
    <row r="83" spans="1:7" ht="38.25">
      <c r="A83" s="15"/>
      <c r="B83" s="16">
        <v>82</v>
      </c>
      <c r="C83" s="16" t="s">
        <v>4766</v>
      </c>
      <c r="D83" s="16" t="s">
        <v>6573</v>
      </c>
      <c r="E83" s="16" t="str">
        <f ca="1">IFERROR(__xludf.DUMMYFUNCTION("AI(""c컬럼의 단어를 활용해서 적절한 예문을 만들어줘. 한글 해석은 줄띄움 후에 작성해줘"")"),"Conscientiousness is a significant personality trait that reflects an individual's sense of responsibility and organization.
성실성은 개인의 책임감과 조직성을 반영하는 중요한 성격 특성입니다.")</f>
        <v>Conscientiousness is a significant personality trait that reflects an individual's sense of responsibility and organization.
성실성은 개인의 책임감과 조직성을 반영하는 중요한 성격 특성입니다.</v>
      </c>
      <c r="F83" s="16" t="s">
        <v>4767</v>
      </c>
      <c r="G83" s="16">
        <v>1</v>
      </c>
    </row>
    <row r="84" spans="1:7" ht="25.5">
      <c r="A84" s="15"/>
      <c r="B84" s="16">
        <v>83</v>
      </c>
      <c r="C84" s="16" t="s">
        <v>4768</v>
      </c>
      <c r="D84" s="16" t="s">
        <v>6574</v>
      </c>
      <c r="E84" s="16" t="str">
        <f ca="1">IFERROR(__xludf.DUMMYFUNCTION("AI(""c컬럼의 단어를 활용해서 적절한 예문을 만들어줘. 한글 해석은 줄띄움 후에 작성해줘"")"),"He was so angry that he could hardly contain himself.
그는 너무 화가 나서 감정을 억누르기가 거의 힘들었다.")</f>
        <v>He was so angry that he could hardly contain himself.
그는 너무 화가 나서 감정을 억누르기가 거의 힘들었다.</v>
      </c>
      <c r="F84" s="16" t="s">
        <v>4769</v>
      </c>
      <c r="G84" s="16">
        <v>1</v>
      </c>
    </row>
    <row r="85" spans="1:7" ht="38.25">
      <c r="A85" s="15"/>
      <c r="B85" s="16">
        <v>84</v>
      </c>
      <c r="C85" s="16" t="s">
        <v>4770</v>
      </c>
      <c r="D85" s="16" t="s">
        <v>6575</v>
      </c>
      <c r="E85" s="16" t="str">
        <f ca="1">IFERROR(__xludf.DUMMYFUNCTION("AI(""c컬럼의 단어를 활용해서 적절한 예문을 만들어줘. 한글 해석은 줄띄움 후에 작성해줘"")"),"The high levels of lead found in the drinking water were a major contaminant.
식수에서 발견된 높은 수치의 납은 주요 오염 물질이었습니다.")</f>
        <v>The high levels of lead found in the drinking water were a major contaminant.
식수에서 발견된 높은 수치의 납은 주요 오염 물질이었습니다.</v>
      </c>
      <c r="F85" s="16" t="s">
        <v>4771</v>
      </c>
      <c r="G85" s="16">
        <v>2</v>
      </c>
    </row>
    <row r="86" spans="1:7" ht="25.5">
      <c r="A86" s="15"/>
      <c r="B86" s="16">
        <v>85</v>
      </c>
      <c r="C86" s="16" t="s">
        <v>4772</v>
      </c>
      <c r="D86" s="16" t="s">
        <v>6576</v>
      </c>
      <c r="E86" s="16" t="str">
        <f ca="1">IFERROR(__xludf.DUMMYFUNCTION("AI(""c컬럼의 단어를 활용해서 적절한 예문을 만들어줘. 한글 해석은 줄띄움 후에 작성해줘"")"),"Industrial waste can cause significant soil contamination if not disposed of properly.
산업 폐기물은 적절하게 처리되지 않으면 심각한 토양 오염을 유발할 수 있습니다.")</f>
        <v>Industrial waste can cause significant soil contamination if not disposed of properly.
산업 폐기물은 적절하게 처리되지 않으면 심각한 토양 오염을 유발할 수 있습니다.</v>
      </c>
      <c r="F86" s="16" t="s">
        <v>4773</v>
      </c>
      <c r="G86" s="16">
        <v>1</v>
      </c>
    </row>
    <row r="87" spans="1:7" ht="25.5">
      <c r="A87" s="15"/>
      <c r="B87" s="16">
        <v>86</v>
      </c>
      <c r="C87" s="16" t="s">
        <v>1651</v>
      </c>
      <c r="D87" s="16" t="s">
        <v>6577</v>
      </c>
      <c r="E87" s="16" t="str">
        <f ca="1">IFERROR(__xludf.DUMMYFUNCTION("AI(""c컬럼의 단어를 활용해서 적절한 예문을 만들어줘. 한글 해석은 줄띄움 후에 작성해줘"")"),"Global corporations must ensure their policies do not contravene international labor standards.
글로벌 기업들은 자사의 정책이 국제 노동 기준을 위반하지 않도록 보장해야 합니다.")</f>
        <v>Global corporations must ensure their policies do not contravene international labor standards.
글로벌 기업들은 자사의 정책이 국제 노동 기준을 위반하지 않도록 보장해야 합니다.</v>
      </c>
      <c r="F87" s="16" t="s">
        <v>4774</v>
      </c>
      <c r="G87" s="16">
        <v>2</v>
      </c>
    </row>
    <row r="88" spans="1:7" ht="25.5">
      <c r="A88" s="15"/>
      <c r="B88" s="16">
        <v>87</v>
      </c>
      <c r="C88" s="16" t="s">
        <v>4775</v>
      </c>
      <c r="D88" s="16" t="s">
        <v>6578</v>
      </c>
      <c r="E88" s="16" t="str">
        <f ca="1">IFERROR(__xludf.DUMMYFUNCTION("AI(""c컬럼의 단어를 활용해서 적절한 예문을 만들어줘. 한글 해석은 줄띄움 후에 작성해줘"")"),"The committee will convene next week to discuss the proposal.
그 위원회는 제안을 논의하기 위해 다음 주에 소집될 것입니다.")</f>
        <v>The committee will convene next week to discuss the proposal.
그 위원회는 제안을 논의하기 위해 다음 주에 소집될 것입니다.</v>
      </c>
      <c r="F88" s="16" t="s">
        <v>4776</v>
      </c>
      <c r="G88" s="16">
        <v>1</v>
      </c>
    </row>
    <row r="89" spans="1:7" ht="25.5">
      <c r="A89" s="15"/>
      <c r="B89" s="16">
        <v>88</v>
      </c>
      <c r="C89" s="16" t="s">
        <v>4777</v>
      </c>
      <c r="D89" s="16" t="s">
        <v>6579</v>
      </c>
      <c r="E89" s="16" t="str">
        <f ca="1">IFERROR(__xludf.DUMMYFUNCTION("AI(""c컬럼의 단어를 활용해서 적절한 예문을 만들어줘. 한글 해석은 줄띄움 후에 작성해줘"")"),"Companies adopt cost leadership strategies to attract cost-sensitive customers.
기업들은 가격에 민감한 고객들을 유인하기 위해 비용 우위 전략을 채택합니다.")</f>
        <v>Companies adopt cost leadership strategies to attract cost-sensitive customers.
기업들은 가격에 민감한 고객들을 유인하기 위해 비용 우위 전략을 채택합니다.</v>
      </c>
      <c r="F89" s="16" t="s">
        <v>4778</v>
      </c>
      <c r="G89" s="16">
        <v>1</v>
      </c>
    </row>
    <row r="90" spans="1:7" ht="51">
      <c r="A90" s="15"/>
      <c r="B90" s="16">
        <v>89</v>
      </c>
      <c r="C90" s="16" t="s">
        <v>4779</v>
      </c>
      <c r="D90" s="16" t="s">
        <v>6580</v>
      </c>
      <c r="E90" s="16" t="str">
        <f ca="1">IFERROR(__xludf.DUMMYFUNCTION("AI(""c컬럼의 단어를 활용해서 적절한 예문을 만들어줘. 한글 해석은 줄띄움 후에 작성해줘"")"),"Many people engage in counterfactual thinking by wondering how their lives would be different if they had made different choices.
많은 사람들은 만약 다른 선택을 했다면 자신의 삶이 어떻게 달라졌을지 궁금해하며 반사실적 사고를 합니다.")</f>
        <v>Many people engage in counterfactual thinking by wondering how their lives would be different if they had made different choices.
많은 사람들은 만약 다른 선택을 했다면 자신의 삶이 어떻게 달라졌을지 궁금해하며 반사실적 사고를 합니다.</v>
      </c>
      <c r="F90" s="16" t="s">
        <v>4780</v>
      </c>
      <c r="G90" s="16">
        <v>1</v>
      </c>
    </row>
    <row r="91" spans="1:7" ht="51">
      <c r="A91" s="15"/>
      <c r="B91" s="16">
        <v>90</v>
      </c>
      <c r="C91" s="16" t="s">
        <v>4781</v>
      </c>
      <c r="D91" s="16" t="s">
        <v>6581</v>
      </c>
      <c r="E91" s="16" t="str">
        <f ca="1">IFERROR(__xludf.DUMMYFUNCTION("AI(""c컬럼의 단어를 활용해서 적절한 예문을 만들어줘. 한글 해석은 줄띄움 후에 작성해줘"")"),"Striving for perfection can be counterproductive as it often leads to increased stress and eventual burnout.
완벽을 기하는 것은 흔히 스트레스 증가와 결국에는 번아웃으로 이어지기 때문에 역효과를 낼 수 있습니다.")</f>
        <v>Striving for perfection can be counterproductive as it often leads to increased stress and eventual burnout.
완벽을 기하는 것은 흔히 스트레스 증가와 결국에는 번아웃으로 이어지기 때문에 역효과를 낼 수 있습니다.</v>
      </c>
      <c r="F91" s="16" t="s">
        <v>4782</v>
      </c>
      <c r="G91" s="16">
        <v>2</v>
      </c>
    </row>
    <row r="92" spans="1:7" ht="51">
      <c r="A92" s="15"/>
      <c r="B92" s="16">
        <v>91</v>
      </c>
      <c r="C92" s="16" t="s">
        <v>4783</v>
      </c>
      <c r="D92" s="16" t="s">
        <v>6582</v>
      </c>
      <c r="E92" s="16" t="str">
        <f ca="1">IFERROR(__xludf.DUMMYFUNCTION("AI(""c컬럼의 단어를 활용해서 적절한 예문을 만들어줘. 한글 해석은 줄띄움 후에 작성해줘"")"),"The mayor has been accused of cronyism for appointing several unqualified friends to high-level government positions.
시장(mayor)은 자격이 없는 여러 친구를 정부 고위직에 임명하여 정실주의를 행했다는 비난을 받아왔습니다.")</f>
        <v>The mayor has been accused of cronyism for appointing several unqualified friends to high-level government positions.
시장(mayor)은 자격이 없는 여러 친구를 정부 고위직에 임명하여 정실주의를 행했다는 비난을 받아왔습니다.</v>
      </c>
      <c r="F92" s="16" t="s">
        <v>4784</v>
      </c>
      <c r="G92" s="16">
        <v>1</v>
      </c>
    </row>
    <row r="93" spans="1:7" ht="51">
      <c r="A93" s="15"/>
      <c r="B93" s="16">
        <v>92</v>
      </c>
      <c r="C93" s="16" t="s">
        <v>4785</v>
      </c>
      <c r="D93" s="16" t="s">
        <v>6583</v>
      </c>
      <c r="E93" s="16" t="str">
        <f ca="1">IFERROR(__xludf.DUMMYFUNCTION("AI(""c컬럼의 단어를 활용해서 적절한 예문을 만들어줘. 한글 해석은 줄띄움 후에 작성해줘"")"),"Whether you are a novice in the kitchen or a seasoned chef, honing your skills can transform simple ingredients into culinary masterpieces.
주방에서의 초보자이든 노련한 요리사이든, 기술을 연마하면 단순한 재료를 요리의 걸작으로 바꿀 수 있습니다.")</f>
        <v>Whether you are a novice in the kitchen or a seasoned chef, honing your skills can transform simple ingredients into culinary masterpieces.
주방에서의 초보자이든 노련한 요리사이든, 기술을 연마하면 단순한 재료를 요리의 걸작으로 바꿀 수 있습니다.</v>
      </c>
      <c r="F93" s="16" t="s">
        <v>4786</v>
      </c>
      <c r="G93" s="16">
        <v>1</v>
      </c>
    </row>
    <row r="94" spans="1:7" ht="25.5">
      <c r="A94" s="15"/>
      <c r="B94" s="16">
        <v>93</v>
      </c>
      <c r="C94" s="16" t="s">
        <v>4787</v>
      </c>
      <c r="D94" s="16" t="s">
        <v>6584</v>
      </c>
      <c r="E94" s="16" t="str">
        <f ca="1">IFERROR(__xludf.DUMMYFUNCTION("AI(""c컬럼의 단어를 활용해서 적절한 예문을 만들어줘. 한글 해석은 줄띄움 후에 작성해줘"")"),"The low-budget horror film eventually gained cult status and became a huge hit.
그 저예산 공포 영화는 결국 열성 팬층을 가진 지위를 얻으며 큰 성공을 거두었습니다.")</f>
        <v>The low-budget horror film eventually gained cult status and became a huge hit.
그 저예산 공포 영화는 결국 열성 팬층을 가진 지위를 얻으며 큰 성공을 거두었습니다.</v>
      </c>
      <c r="F94" s="16" t="s">
        <v>4788</v>
      </c>
      <c r="G94" s="16">
        <v>1</v>
      </c>
    </row>
    <row r="95" spans="1:7" ht="38.25">
      <c r="A95" s="15"/>
      <c r="B95" s="16">
        <v>94</v>
      </c>
      <c r="C95" s="16" t="s">
        <v>4789</v>
      </c>
      <c r="D95" s="16" t="s">
        <v>6585</v>
      </c>
      <c r="E95" s="16" t="str">
        <f ca="1">IFERROR(__xludf.DUMMYFUNCTION("AI(""c컬럼의 단어를 활용해서 적절한 예문을 만들어줘. 한글 해석은 줄띄움 후에 작성해줘"")"),"The costs of materials and labor have increased cumulatively over the past several years, impacting project feasibility.
자재비와 인건비가 지난 몇 년간 누적적으로 상승하여 프로젝트 타당성에 영향을 미쳤습니다.")</f>
        <v>The costs of materials and labor have increased cumulatively over the past several years, impacting project feasibility.
자재비와 인건비가 지난 몇 년간 누적적으로 상승하여 프로젝트 타당성에 영향을 미쳤습니다.</v>
      </c>
      <c r="F95" s="16" t="s">
        <v>4790</v>
      </c>
      <c r="G95" s="16">
        <v>1</v>
      </c>
    </row>
    <row r="96" spans="1:7" ht="25.5">
      <c r="A96" s="15"/>
      <c r="B96" s="16">
        <v>95</v>
      </c>
      <c r="C96" s="16" t="s">
        <v>4791</v>
      </c>
      <c r="D96" s="16" t="s">
        <v>6586</v>
      </c>
      <c r="E96" s="16" t="str">
        <f ca="1">IFERROR(__xludf.DUMMYFUNCTION("AI(""c컬럼의 단어를 활용해서 적절한 예문을 만들어줘. 한글 해석은 줄띄움 후에 작성해줘"")"),"The dense cumulonimbus clouds threatened thunder and lightning.
밀도가 높은 적란운이 천둥과 번개를 동반할 기세였습니다.")</f>
        <v>The dense cumulonimbus clouds threatened thunder and lightning.
밀도가 높은 적란운이 천둥과 번개를 동반할 기세였습니다.</v>
      </c>
      <c r="F96" s="16" t="s">
        <v>4792</v>
      </c>
      <c r="G96" s="16">
        <v>1</v>
      </c>
    </row>
    <row r="97" spans="1:7" ht="51">
      <c r="A97" s="15"/>
      <c r="B97" s="16">
        <v>96</v>
      </c>
      <c r="C97" s="16" t="s">
        <v>4793</v>
      </c>
      <c r="D97" s="16" t="s">
        <v>6587</v>
      </c>
      <c r="E97" s="16" t="str">
        <f ca="1">IFERROR(__xludf.DUMMYFUNCTION("AI(""c컬럼의 단어를 활용해서 적절한 예문을 만들어줘. 한글 해석은 줄띄움 후에 작성해줘"")"),"Cytokines play a crucial role in orchestrating the immune system's activity by acting as vital protein messengers.
사이토카인은 필수적인 단백질 전령 역할을 하여 면역 체계의 활동을 조정하는 데 중요한 역할을 합니다.")</f>
        <v>Cytokines play a crucial role in orchestrating the immune system's activity by acting as vital protein messengers.
사이토카인은 필수적인 단백질 전령 역할을 하여 면역 체계의 활동을 조정하는 데 중요한 역할을 합니다.</v>
      </c>
      <c r="F97" s="16" t="s">
        <v>4794</v>
      </c>
      <c r="G97" s="16">
        <v>1</v>
      </c>
    </row>
    <row r="98" spans="1:7" ht="51">
      <c r="A98" s="15"/>
      <c r="B98" s="16">
        <v>97</v>
      </c>
      <c r="C98" s="16" t="s">
        <v>4795</v>
      </c>
      <c r="D98" s="16" t="s">
        <v>6588</v>
      </c>
      <c r="E98" s="16" t="str">
        <f ca="1">IFERROR(__xludf.DUMMYFUNCTION("AI(""c컬럼의 단어를 활용해서 적절한 예문을 만들어줘. 한글 해석은 줄띄움 후에 작성해줘"")"),"Some countries are considering the establishment of a data haven to protect information from strict international surveillance.
일부 국가들은 엄격한 국제적 감시로부터 정보를 보호하기 위해 데이터 피난처 구축을 고려하고 있습니다.")</f>
        <v>Some countries are considering the establishment of a data haven to protect information from strict international surveillance.
일부 국가들은 엄격한 국제적 감시로부터 정보를 보호하기 위해 데이터 피난처 구축을 고려하고 있습니다.</v>
      </c>
      <c r="F98" s="16" t="s">
        <v>4796</v>
      </c>
      <c r="G98" s="16">
        <v>1</v>
      </c>
    </row>
    <row r="99" spans="1:7" ht="38.25">
      <c r="A99" s="15"/>
      <c r="B99" s="16">
        <v>98</v>
      </c>
      <c r="C99" s="16" t="s">
        <v>4797</v>
      </c>
      <c r="D99" s="16" t="s">
        <v>6589</v>
      </c>
      <c r="E99" s="16" t="str">
        <f ca="1">IFERROR(__xludf.DUMMYFUNCTION("AI(""c컬럼의 단어를 활용해서 적절한 예문을 만들어줘. 한글 해석은 줄띄움 후에 작성해줘"")"),"Google claims that when they find scam sites, they delete them from their index to protect users.
구글은 사기 사이트를 발견하면 사용자를 보호하기 위해 검색 색인에서 해당 사이트를 삭제한다고 주장합니다.")</f>
        <v>Google claims that when they find scam sites, they delete them from their index to protect users.
구글은 사기 사이트를 발견하면 사용자를 보호하기 위해 검색 색인에서 해당 사이트를 삭제한다고 주장합니다.</v>
      </c>
      <c r="F99" s="16" t="s">
        <v>4798</v>
      </c>
      <c r="G99" s="16">
        <v>1</v>
      </c>
    </row>
    <row r="100" spans="1:7" ht="38.25">
      <c r="A100" s="15"/>
      <c r="B100" s="16">
        <v>99</v>
      </c>
      <c r="C100" s="16" t="s">
        <v>4799</v>
      </c>
      <c r="D100" s="16" t="s">
        <v>6590</v>
      </c>
      <c r="E100" s="16" t="str">
        <f ca="1">IFERROR(__xludf.DUMMYFUNCTION("AI(""c컬럼의 단어를 활용해서 적절한 예문을 만들어줘. 한글 해석은 줄띄움 후에 작성해줘"")"),"The economic downturn proved to be a debilitating blow to many small businesses, leading to a surge in bankruptcies.
경제 침체는 많은 소규모 기업들에게 타격이 큰 타격이 되었으며, 이는 파산의 급증으로 이어졌습니다.")</f>
        <v>The economic downturn proved to be a debilitating blow to many small businesses, leading to a surge in bankruptcies.
경제 침체는 많은 소규모 기업들에게 타격이 큰 타격이 되었으며, 이는 파산의 급증으로 이어졌습니다.</v>
      </c>
      <c r="F100" s="16" t="s">
        <v>4800</v>
      </c>
      <c r="G100" s="16">
        <v>1</v>
      </c>
    </row>
    <row r="101" spans="1:7" ht="38.25">
      <c r="A101" s="15"/>
      <c r="B101" s="16">
        <v>100</v>
      </c>
      <c r="C101" s="16" t="s">
        <v>4801</v>
      </c>
      <c r="D101" s="16" t="s">
        <v>6591</v>
      </c>
      <c r="E101" s="16" t="str">
        <f ca="1">IFERROR(__xludf.DUMMYFUNCTION("AI(""c컬럼의 단어를 활용해서 적절한 예문을 만들어줘. 한글 해석은 줄띄움 후에 작성해줘"")"),"Several prominent members of the ruling party decided to defect to the opposition due to deep-seated ideological differences.
여당의 몇몇 주요 인사들은 뿌리 깊은 이념적 차이로 인해 야당으로 탈당하기로 결정했습니다.")</f>
        <v>Several prominent members of the ruling party decided to defect to the opposition due to deep-seated ideological differences.
여당의 몇몇 주요 인사들은 뿌리 깊은 이념적 차이로 인해 야당으로 탈당하기로 결정했습니다.</v>
      </c>
      <c r="F101" s="16" t="s">
        <v>4802</v>
      </c>
      <c r="G101" s="16">
        <v>1</v>
      </c>
    </row>
    <row r="102" spans="1:7" ht="51">
      <c r="A102" s="15"/>
      <c r="B102" s="16">
        <v>101</v>
      </c>
      <c r="C102" s="16" t="s">
        <v>4803</v>
      </c>
      <c r="D102" s="16" t="s">
        <v>6592</v>
      </c>
      <c r="E102" s="16" t="str">
        <f ca="1">IFERROR(__xludf.DUMMYFUNCTION("AI(""c컬럼의 단어를 활용해서 적절한 예문을 만들어줘. 한글 해석은 줄띄움 후에 작성해줘"")"),"The mayor tried to deflect questions about his political plans by focusing on the city's new infrastructure project.
시장은 도시의 새로운 인프라 프로젝트에 집중함으로써 자신의 정치적 계획에 대한 질문을 막아내려 노력했습니다.")</f>
        <v>The mayor tried to deflect questions about his political plans by focusing on the city's new infrastructure project.
시장은 도시의 새로운 인프라 프로젝트에 집중함으로써 자신의 정치적 계획에 대한 질문을 막아내려 노력했습니다.</v>
      </c>
      <c r="F102" s="16" t="s">
        <v>4804</v>
      </c>
      <c r="G102" s="16">
        <v>1</v>
      </c>
    </row>
    <row r="103" spans="1:7" ht="51">
      <c r="A103" s="15"/>
      <c r="B103" s="16">
        <v>102</v>
      </c>
      <c r="C103" s="16" t="s">
        <v>4805</v>
      </c>
      <c r="D103" s="16" t="s">
        <v>6593</v>
      </c>
      <c r="E103" s="16" t="str">
        <f ca="1">IFERROR(__xludf.DUMMYFUNCTION("AI(""c컬럼의 단어를 활용해서 적절한 예문을 만들어줘. 한글 해석은 줄띄움 후에 작성해줘"")"),"Deforestation contributes significantly to climate change by releasing stored carbon dioxide and destroying habitats essential for biodiversity.
삼림 벌채는 저장된 이산화탄소를 방출하고 생물다양성에 필수적인 서식지를 파괴함으로써 기후 변화에 크게 기여합니다.")</f>
        <v>Deforestation contributes significantly to climate change by releasing stored carbon dioxide and destroying habitats essential for biodiversity.
삼림 벌채는 저장된 이산화탄소를 방출하고 생물다양성에 필수적인 서식지를 파괴함으로써 기후 변화에 크게 기여합니다.</v>
      </c>
      <c r="F103" s="16" t="s">
        <v>4806</v>
      </c>
      <c r="G103" s="16">
        <v>2</v>
      </c>
    </row>
    <row r="104" spans="1:7" ht="38.25">
      <c r="A104" s="15"/>
      <c r="B104" s="16">
        <v>103</v>
      </c>
      <c r="C104" s="16" t="s">
        <v>4807</v>
      </c>
      <c r="D104" s="16" t="s">
        <v>6594</v>
      </c>
      <c r="E104" s="16" t="str">
        <f ca="1">IFERROR(__xludf.DUMMYFUNCTION("AI(""c컬럼의 단어를 활용해서 적절한 예문을 만들어줘. 한글 해석은 줄띄움 후에 작성해줘"")"),"The local government is planning to transform the defunct factory into a vibrant community center and park.
지방 정부는 폐업한 공장을 활기찬 커뮤니티 센터와 공원으로 변모시킬 계획입니다.")</f>
        <v>The local government is planning to transform the defunct factory into a vibrant community center and park.
지방 정부는 폐업한 공장을 활기찬 커뮤니티 센터와 공원으로 변모시킬 계획입니다.</v>
      </c>
      <c r="F104" s="16" t="s">
        <v>4808</v>
      </c>
      <c r="G104" s="16">
        <v>2</v>
      </c>
    </row>
    <row r="105" spans="1:7" ht="38.25">
      <c r="A105" s="15"/>
      <c r="B105" s="16">
        <v>104</v>
      </c>
      <c r="C105" s="16" t="s">
        <v>4809</v>
      </c>
      <c r="D105" s="16" t="s">
        <v>6595</v>
      </c>
      <c r="E105" s="16" t="str">
        <f ca="1">IFERROR(__xludf.DUMMYFUNCTION("AI(""c컬럼의 단어를 활용해서 적절한 예문을 만들어줘. 한글 해석은 줄띄움 후에 작성해줘"")"),"The redevelopment project in front of Jongmyo requires careful deliberation to ensure it respects the site's historical significance.
종묘 앞 재개발 프로젝트는 해당 부지의 역사적 중요성을 존중하기 위해 신중한 논의가 필요합니다.")</f>
        <v>The redevelopment project in front of Jongmyo requires careful deliberation to ensure it respects the site's historical significance.
종묘 앞 재개발 프로젝트는 해당 부지의 역사적 중요성을 존중하기 위해 신중한 논의가 필요합니다.</v>
      </c>
      <c r="F105" s="16" t="s">
        <v>4810</v>
      </c>
      <c r="G105" s="16">
        <v>1</v>
      </c>
    </row>
    <row r="106" spans="1:7" ht="25.5">
      <c r="A106" s="15"/>
      <c r="B106" s="16">
        <v>105</v>
      </c>
      <c r="C106" s="16" t="s">
        <v>4811</v>
      </c>
      <c r="D106" s="16" t="s">
        <v>6596</v>
      </c>
      <c r="E106" s="16" t="str">
        <f ca="1">IFERROR(__xludf.DUMMYFUNCTION("AI(""c컬럼의 단어를 활용해서 적절한 예문을 만들어줘. 한글 해석은 줄띄움 후에 작성해줘"")"),"Despite heavy promotion and a star-studded cast, the action film failed to deliver at the box office.
대대적인 홍보와 화려한 출연진에도 불구하고, 그 액션 영화는 흥행 성과를 내는 데 실패했습니다.")</f>
        <v>Despite heavy promotion and a star-studded cast, the action film failed to deliver at the box office.
대대적인 홍보와 화려한 출연진에도 불구하고, 그 액션 영화는 흥행 성과를 내는 데 실패했습니다.</v>
      </c>
      <c r="F106" s="16" t="s">
        <v>4812</v>
      </c>
      <c r="G106" s="16">
        <v>1</v>
      </c>
    </row>
    <row r="107" spans="1:7" ht="25.5">
      <c r="A107" s="15"/>
      <c r="B107" s="16">
        <v>106</v>
      </c>
      <c r="C107" s="16" t="s">
        <v>4813</v>
      </c>
      <c r="D107" s="16" t="s">
        <v>6597</v>
      </c>
      <c r="E107" s="16" t="str">
        <f ca="1">IFERROR(__xludf.DUMMYFUNCTION("AI(""c컬럼의 단어를 활용해서 적절한 예문을 만들어줘. 한글 해석은 줄띄움 후에 작성해줘"")"),"The unexpected demise of the project led to significant financial losses for the company.
그 프로젝트의 예기치 못한 종말은 회사에 상당한 재정적 손실을 초래했습니다.")</f>
        <v>The unexpected demise of the project led to significant financial losses for the company.
그 프로젝트의 예기치 못한 종말은 회사에 상당한 재정적 손실을 초래했습니다.</v>
      </c>
      <c r="F107" s="16" t="s">
        <v>4814</v>
      </c>
      <c r="G107" s="16">
        <v>1</v>
      </c>
    </row>
    <row r="108" spans="1:7" ht="25.5">
      <c r="A108" s="15"/>
      <c r="B108" s="16">
        <v>107</v>
      </c>
      <c r="C108" s="16" t="s">
        <v>4815</v>
      </c>
      <c r="D108" s="16" t="s">
        <v>6598</v>
      </c>
      <c r="E108" s="16" t="str">
        <f ca="1">IFERROR(__xludf.DUMMYFUNCTION("AI(""c컬럼의 단어를 활용해서 적절한 예문을 만들어줘. 한글 해석은 줄띄움 후에 작성해줘"")"),"The rapid growth of the city has led to concerns about the well-being of its long-term denizens.
도시의 급격한 성장은 장기 거주자들의 복지에 대한 우려로 이어졌습니다.")</f>
        <v>The rapid growth of the city has led to concerns about the well-being of its long-term denizens.
도시의 급격한 성장은 장기 거주자들의 복지에 대한 우려로 이어졌습니다.</v>
      </c>
      <c r="F108" s="16" t="s">
        <v>4816</v>
      </c>
      <c r="G108" s="16">
        <v>1</v>
      </c>
    </row>
    <row r="109" spans="1:7" ht="25.5">
      <c r="A109" s="15"/>
      <c r="B109" s="16">
        <v>108</v>
      </c>
      <c r="C109" s="16" t="s">
        <v>4817</v>
      </c>
      <c r="D109" s="16" t="s">
        <v>6599</v>
      </c>
      <c r="E109" s="16" t="str">
        <f ca="1">IFERROR(__xludf.DUMMYFUNCTION("AI(""c컬럼의 단어를 활용해서 적절한 예문을 만들어줘. 한글 해석은 줄띄움 후에 작성해줘"")"),"Critics praised the film for its realistic depiction of historical events.
평론가들은 역사적 사건에 대한 그 영화의 사실적인 묘사를 칭찬했습니다.")</f>
        <v>Critics praised the film for its realistic depiction of historical events.
평론가들은 역사적 사건에 대한 그 영화의 사실적인 묘사를 칭찬했습니다.</v>
      </c>
      <c r="F109" s="16" t="s">
        <v>4818</v>
      </c>
      <c r="G109" s="16">
        <v>1</v>
      </c>
    </row>
    <row r="110" spans="1:7" ht="51">
      <c r="A110" s="15"/>
      <c r="B110" s="16">
        <v>109</v>
      </c>
      <c r="C110" s="16" t="s">
        <v>4819</v>
      </c>
      <c r="D110" s="16" t="s">
        <v>6600</v>
      </c>
      <c r="E110" s="16" t="str">
        <f ca="1">IFERROR(__xludf.DUMMYFUNCTION("AI(""c컬럼의 단어를 활용해서 적절한 예문을 만들어줘. 한글 해석은 줄띄움 후에 작성해줘"")"),"Unexpected challenges, such as sudden budget cuts or supply chain disruptions, can derail even the most carefully planned projects.
예기치 못한 예산 삭감이나 공급망 중단과 같은 갑작스러운 난관은 아무리 세심하게 계획된 프로젝트라도 탈선시킬 수 있습니다.")</f>
        <v>Unexpected challenges, such as sudden budget cuts or supply chain disruptions, can derail even the most carefully planned projects.
예기치 못한 예산 삭감이나 공급망 중단과 같은 갑작스러운 난관은 아무리 세심하게 계획된 프로젝트라도 탈선시킬 수 있습니다.</v>
      </c>
      <c r="F110" s="16" t="s">
        <v>4820</v>
      </c>
      <c r="G110" s="16">
        <v>1</v>
      </c>
    </row>
    <row r="111" spans="1:7" ht="25.5">
      <c r="A111" s="15"/>
      <c r="B111" s="16">
        <v>110</v>
      </c>
      <c r="C111" s="16" t="s">
        <v>4821</v>
      </c>
      <c r="D111" s="16" t="s">
        <v>6601</v>
      </c>
      <c r="E111" s="16" t="str">
        <f ca="1">IFERROR(__xludf.DUMMYFUNCTION("AI(""c컬럼의 단어를 활용해서 적절한 예문을 만들어줘. 한글 해석은 줄띄움 후에 작성해줘"")"),"The critic’s early work was derided by established institutions for its unconventional style.
그의 초기 저작은 관습에 얽매이지 않는 스타일 때문에 기성 기관들로부터 조롱을 받았습니다.")</f>
        <v>The critic’s early work was derided by established institutions for its unconventional style.
그의 초기 저작은 관습에 얽매이지 않는 스타일 때문에 기성 기관들로부터 조롱을 받았습니다.</v>
      </c>
      <c r="F111" s="16" t="s">
        <v>4822</v>
      </c>
      <c r="G111" s="16">
        <v>1</v>
      </c>
    </row>
    <row r="112" spans="1:7" ht="38.25">
      <c r="A112" s="15"/>
      <c r="B112" s="16">
        <v>111</v>
      </c>
      <c r="C112" s="16" t="s">
        <v>4823</v>
      </c>
      <c r="D112" s="16" t="s">
        <v>6602</v>
      </c>
      <c r="E112" s="16" t="str">
        <f ca="1">IFERROR(__xludf.DUMMYFUNCTION("AI(""c컬럼의 단어를 활용해서 적절한 예문을 만들어줘. 한글 해석은 줄띄움 후에 작성해줘"")"),"The rapid deterioration of city infrastructure can have a negative impact on the well-being of local residents.
도시 기반 시설의 급격한 악화는 지역 주민들의 복지에 부정적인 영향을 미칠 수 있습니다.")</f>
        <v>The rapid deterioration of city infrastructure can have a negative impact on the well-being of local residents.
도시 기반 시설의 급격한 악화는 지역 주민들의 복지에 부정적인 영향을 미칠 수 있습니다.</v>
      </c>
      <c r="F112" s="16" t="s">
        <v>4824</v>
      </c>
      <c r="G112" s="16">
        <v>1</v>
      </c>
    </row>
    <row r="113" spans="1:7" ht="25.5">
      <c r="A113" s="15"/>
      <c r="B113" s="16">
        <v>112</v>
      </c>
      <c r="C113" s="16" t="s">
        <v>4825</v>
      </c>
      <c r="D113" s="16" t="s">
        <v>6603</v>
      </c>
      <c r="E113" s="16" t="str">
        <f ca="1">IFERROR(__xludf.DUMMYFUNCTION("AI(""c컬럼의 단어를 활용해서 적절한 예문을 만들어줘. 한글 해석은 줄띄움 후에 작성해줘"")"),"Excessive screen time can have a detrimental effect on a child's social development.
과도한 스크린 타임은 아이의 사회성 발달에 해로운 영향을 미칠 수 있습니다.")</f>
        <v>Excessive screen time can have a detrimental effect on a child's social development.
과도한 스크린 타임은 아이의 사회성 발달에 해로운 영향을 미칠 수 있습니다.</v>
      </c>
      <c r="F113" s="16" t="s">
        <v>4826</v>
      </c>
      <c r="G113" s="16">
        <v>1</v>
      </c>
    </row>
    <row r="114" spans="1:7" ht="51">
      <c r="A114" s="15"/>
      <c r="B114" s="16">
        <v>113</v>
      </c>
      <c r="C114" s="16" t="s">
        <v>4827</v>
      </c>
      <c r="D114" s="16" t="s">
        <v>6604</v>
      </c>
      <c r="E114" s="16" t="str">
        <f ca="1">IFERROR(__xludf.DUMMYFUNCTION("AI(""c컬럼의 단어를 활용해서 적절한 예문을 만들어줘. 한글 해석은 줄띄움 후에 작성해줘"")"),"The Recommended Dietary Allowance (RDA) is the average daily dietary intake level that is sufficient to meet the nutrient requirement of nearly all healthy individuals in a particular group.
권장 섭취량(RDA)은 특정 집단에 속한 거의 모든 건강한 개인의 영양 요구 사항을 충족하기에 충분한 평균 일일 식"&amp;"단 섭취 수준입니다.")</f>
        <v>The Recommended Dietary Allowance (RDA) is the average daily dietary intake level that is sufficient to meet the nutrient requirement of nearly all healthy individuals in a particular group.
권장 섭취량(RDA)은 특정 집단에 속한 거의 모든 건강한 개인의 영양 요구 사항을 충족하기에 충분한 평균 일일 식단 섭취 수준입니다.</v>
      </c>
      <c r="F114" s="16" t="s">
        <v>4828</v>
      </c>
      <c r="G114" s="16">
        <v>1</v>
      </c>
    </row>
    <row r="115" spans="1:7" ht="51">
      <c r="A115" s="15"/>
      <c r="B115" s="16">
        <v>114</v>
      </c>
      <c r="C115" s="16" t="s">
        <v>4829</v>
      </c>
      <c r="D115" s="16" t="s">
        <v>6605</v>
      </c>
      <c r="E115" s="16" t="str">
        <f ca="1">IFERROR(__xludf.DUMMYFUNCTION("AI(""c컬럼의 단어를 활용해서 적절한 예문을 만들어줘. 한글 해석은 줄띄움 후에 작성해줘"")"),"The property owner was criticized for allowing the historic building to become dilapidated to the point where it was declared unsafe for residents.
그 건물주는 역사적 건물이 거주자들에게 안전하지 않다고 선포될 정도로 낡고 황폐해지게 방치했다는 비판을 받았습니다.")</f>
        <v>The property owner was criticized for allowing the historic building to become dilapidated to the point where it was declared unsafe for residents.
그 건물주는 역사적 건물이 거주자들에게 안전하지 않다고 선포될 정도로 낡고 황폐해지게 방치했다는 비판을 받았습니다.</v>
      </c>
      <c r="F115" s="16" t="s">
        <v>4830</v>
      </c>
      <c r="G115" s="16">
        <v>1</v>
      </c>
    </row>
    <row r="116" spans="1:7" ht="51">
      <c r="A116" s="15"/>
      <c r="B116" s="16">
        <v>115</v>
      </c>
      <c r="C116" s="16" t="s">
        <v>4831</v>
      </c>
      <c r="D116" s="16" t="s">
        <v>6606</v>
      </c>
      <c r="E116" s="16" t="str">
        <f ca="1">IFERROR(__xludf.DUMMYFUNCTION("AI(""c컬럼의 단어를 활용해서 적절한 예문을 만들어줘. 한글 해석은 줄띄움 후에 작성해줘"")"),"Researchers discovered that the diminutive creatures have two different strategies to squeeze through tiny gaps.
연구원들은 그 아주 작은 생명체들이 좁은 틈을 통과하기 위해 두 가지 다른 전략을 사용한다는 것을 발견했습니다.")</f>
        <v>Researchers discovered that the diminutive creatures have two different strategies to squeeze through tiny gaps.
연구원들은 그 아주 작은 생명체들이 좁은 틈을 통과하기 위해 두 가지 다른 전략을 사용한다는 것을 발견했습니다.</v>
      </c>
      <c r="F116" s="16" t="s">
        <v>4832</v>
      </c>
      <c r="G116" s="16">
        <v>1</v>
      </c>
    </row>
    <row r="117" spans="1:7" ht="25.5">
      <c r="A117" s="15"/>
      <c r="B117" s="16">
        <v>116</v>
      </c>
      <c r="C117" s="16" t="s">
        <v>4833</v>
      </c>
      <c r="D117" s="16" t="s">
        <v>6607</v>
      </c>
      <c r="E117" s="16" t="str">
        <f ca="1">IFERROR(__xludf.DUMMYFUNCTION("AI(""c컬럼의 단어를 활용해서 적절한 예문을 만들어줘. 한글 해석은 줄띄움 후에 작성해줘"")"),"The sudden disappearance of the book from the shelf puzzled everyone in the library.
그 책이 선반에서 갑자기 사라진 것은 도서관에 있던 모든 사람을 당혹스럽게 했습니다.")</f>
        <v>The sudden disappearance of the book from the shelf puzzled everyone in the library.
그 책이 선반에서 갑자기 사라진 것은 도서관에 있던 모든 사람을 당혹스럽게 했습니다.</v>
      </c>
      <c r="F117" s="16" t="s">
        <v>4834</v>
      </c>
      <c r="G117" s="16">
        <v>1</v>
      </c>
    </row>
    <row r="118" spans="1:7" ht="38.25">
      <c r="A118" s="15"/>
      <c r="B118" s="16">
        <v>117</v>
      </c>
      <c r="C118" s="16" t="s">
        <v>4835</v>
      </c>
      <c r="D118" s="16" t="s">
        <v>6608</v>
      </c>
      <c r="E118" s="16" t="str">
        <f ca="1">IFERROR(__xludf.DUMMYFUNCTION("AI(""c컬럼의 단어를 활용해서 적절한 예문을 만들어줘. 한글 해석은 줄띄움 후에 작성해줘"")"),"The differences in political ideals and policy goals can cause significant societal discord within a country.
정치적 이상과 정책 목표의 차이는 국가 내에서 상당한 사회적 불화를 일으킬 수 있습니다.")</f>
        <v>The differences in political ideals and policy goals can cause significant societal discord within a country.
정치적 이상과 정책 목표의 차이는 국가 내에서 상당한 사회적 불화를 일으킬 수 있습니다.</v>
      </c>
      <c r="F118" s="16" t="s">
        <v>4836</v>
      </c>
      <c r="G118" s="16">
        <v>1</v>
      </c>
    </row>
    <row r="119" spans="1:7">
      <c r="A119" s="15"/>
      <c r="B119" s="16">
        <v>118</v>
      </c>
      <c r="C119" s="16" t="s">
        <v>4837</v>
      </c>
      <c r="D119" s="16" t="s">
        <v>6609</v>
      </c>
      <c r="E119" s="16" t="str">
        <f ca="1">IFERROR(__xludf.DUMMYFUNCTION("AI(""c컬럼의 단어를 활용해서 적절한 예문을 만들어줘. 한글 해석은 줄띄움 후에 작성해줘"")"),"I'm still learning and can't help with that. Do you need help with anything else?")</f>
        <v>I'm still learning and can't help with that. Do you need help with anything else?</v>
      </c>
      <c r="F119" s="16" t="s">
        <v>4838</v>
      </c>
      <c r="G119" s="16">
        <v>1</v>
      </c>
    </row>
    <row r="120" spans="1:7" ht="25.5">
      <c r="A120" s="15"/>
      <c r="B120" s="16">
        <v>119</v>
      </c>
      <c r="C120" s="16" t="s">
        <v>4839</v>
      </c>
      <c r="D120" s="16" t="s">
        <v>6610</v>
      </c>
      <c r="E120" s="16" t="str">
        <f ca="1">IFERROR(__xludf.DUMMYFUNCTION("AI(""c컬럼의 단어를 활용해서 적절한 예문을 만들어줘. 한글 해석은 줄띄움 후에 작성해줘"")"),"The accountant spent hours trying to explain the discrepancy between the two financial reports.
회계사는 두 재무 보고서 사이의 불일치를 설명하기 위해 수시간을 보냈습니다.")</f>
        <v>The accountant spent hours trying to explain the discrepancy between the two financial reports.
회계사는 두 재무 보고서 사이의 불일치를 설명하기 위해 수시간을 보냈습니다.</v>
      </c>
      <c r="F120" s="16" t="s">
        <v>4840</v>
      </c>
      <c r="G120" s="16">
        <v>2</v>
      </c>
    </row>
    <row r="121" spans="1:7" ht="25.5">
      <c r="A121" s="15"/>
      <c r="B121" s="16">
        <v>120</v>
      </c>
      <c r="C121" s="16" t="s">
        <v>4841</v>
      </c>
      <c r="D121" s="16" t="s">
        <v>6611</v>
      </c>
      <c r="E121" s="16" t="str">
        <f ca="1">IFERROR(__xludf.DUMMYFUNCTION("AI(""c컬럼의 단어를 활용해서 적절한 예문을 만들어줘. 한글 해석은 줄띄움 후에 작성해줘"")"),"The fragile political coalition began to disintegrate after the controversial bill was passed.
그 논란이 되는 법안이 통과된 후 취약했던 정치 연합은 붕괴되기 시작했습니다.")</f>
        <v>The fragile political coalition began to disintegrate after the controversial bill was passed.
그 논란이 되는 법안이 통과된 후 취약했던 정치 연합은 붕괴되기 시작했습니다.</v>
      </c>
      <c r="F121" s="16" t="s">
        <v>4842</v>
      </c>
      <c r="G121" s="16">
        <v>1</v>
      </c>
    </row>
    <row r="122" spans="1:7" ht="25.5">
      <c r="A122" s="15"/>
      <c r="B122" s="16">
        <v>121</v>
      </c>
      <c r="C122" s="16" t="s">
        <v>4843</v>
      </c>
      <c r="D122" s="16" t="s">
        <v>6612</v>
      </c>
      <c r="E122" s="16" t="str">
        <f ca="1">IFERROR(__xludf.DUMMYFUNCTION("AI(""c컬럼의 단어를 활용해서 적절한 예문을 만들어줘. 한글 해석은 줄띄움 후에 작성해줘"")"),"Most displaced residents were able to return home within a short period after the disaster.
대부분의 이주민들은 재난 발생 후 짧은 기간 내에 집으로 돌아갈 수 있었습니다.")</f>
        <v>Most displaced residents were able to return home within a short period after the disaster.
대부분의 이주민들은 재난 발생 후 짧은 기간 내에 집으로 돌아갈 수 있었습니다.</v>
      </c>
      <c r="F122" s="16" t="s">
        <v>4844</v>
      </c>
      <c r="G122" s="16">
        <v>1</v>
      </c>
    </row>
    <row r="123" spans="1:7" ht="38.25">
      <c r="A123" s="15"/>
      <c r="B123" s="16">
        <v>122</v>
      </c>
      <c r="C123" s="16" t="s">
        <v>4845</v>
      </c>
      <c r="D123" s="16" t="s">
        <v>6613</v>
      </c>
      <c r="E123" s="16" t="str">
        <f ca="1">IFERROR(__xludf.DUMMYFUNCTION("AI(""c컬럼의 단어를 활용해서 적절한 예문을 만들어줘. 한글 해석은 줄띄움 후에 작성해줘"")"),"The emergence of the World Wide Web has profoundly altered the dissemination of information on a global scale.
월드와이드웹의 출현은 전 세계적으로 정보의 유포를 근본적으로 변화시켰습니다.")</f>
        <v>The emergence of the World Wide Web has profoundly altered the dissemination of information on a global scale.
월드와이드웹의 출현은 전 세계적으로 정보의 유포를 근본적으로 변화시켰습니다.</v>
      </c>
      <c r="F123" s="16" t="s">
        <v>4846</v>
      </c>
      <c r="G123" s="16">
        <v>1</v>
      </c>
    </row>
    <row r="124" spans="1:7" ht="25.5">
      <c r="A124" s="15"/>
      <c r="B124" s="16">
        <v>123</v>
      </c>
      <c r="C124" s="16" t="s">
        <v>4847</v>
      </c>
      <c r="D124" s="16" t="s">
        <v>6614</v>
      </c>
      <c r="E124" s="16" t="str">
        <f ca="1">IFERROR(__xludf.DUMMYFUNCTION("AI(""c컬럼의 단어를 활용해서 적절한 예문을 만들어줘. 한글 해석은 줄띄움 후에 작성해줘"")"),"To hold a general election, the Prime Minister must request that the Monarch dissolve parliament.
총선거를 치르기 위해, 총리는 군주에게 의회 해산을 요청해야 합니다.")</f>
        <v>To hold a general election, the Prime Minister must request that the Monarch dissolve parliament.
총선거를 치르기 위해, 총리는 군주에게 의회 해산을 요청해야 합니다.</v>
      </c>
      <c r="F124" s="16" t="s">
        <v>4848</v>
      </c>
      <c r="G124" s="16">
        <v>1</v>
      </c>
    </row>
    <row r="125" spans="1:7" ht="25.5">
      <c r="A125" s="15"/>
      <c r="B125" s="16">
        <v>124</v>
      </c>
      <c r="C125" s="16" t="s">
        <v>4849</v>
      </c>
      <c r="D125" s="16" t="s">
        <v>6615</v>
      </c>
      <c r="E125" s="16" t="str">
        <f ca="1">IFERROR(__xludf.DUMMYFUNCTION("AI(""c컬럼의 단어를 활용해서 적절한 예문을 만들어줘. 한글 해석은 줄띄움 후에 작성해줘"")"),"The twin brothers have such distinct features that they are easily distinguishable from one another.
그 쌍둥이 형제는 특징이 매우 뚜렷해서 서로 쉽게 구별 가능합니다.")</f>
        <v>The twin brothers have such distinct features that they are easily distinguishable from one another.
그 쌍둥이 형제는 특징이 매우 뚜렷해서 서로 쉽게 구별 가능합니다.</v>
      </c>
      <c r="F125" s="16" t="s">
        <v>4850</v>
      </c>
      <c r="G125" s="16">
        <v>1</v>
      </c>
    </row>
    <row r="126" spans="1:7" ht="51">
      <c r="A126" s="15"/>
      <c r="B126" s="16">
        <v>125</v>
      </c>
      <c r="C126" s="16" t="s">
        <v>4851</v>
      </c>
      <c r="D126" s="16" t="s">
        <v>6616</v>
      </c>
      <c r="E126" s="16" t="str">
        <f ca="1">IFERROR(__xludf.DUMMYFUNCTION("AI(""c컬럼의 단어를 활용해서 적절한 예문을 만들어줘. 한글 해석은 줄띄움 후에 작성해줘"")"),"Rapid DNA-sequencing technology allows clinicians to diagnose rare genetic diseases in a matter of hours.
신속한 DNA 염기서열 분석 기술은 임상의들이 희귀 유전 질환을 단 몇 시간 만에 진단할 수 있게 해줍니다.")</f>
        <v>Rapid DNA-sequencing technology allows clinicians to diagnose rare genetic diseases in a matter of hours.
신속한 DNA 염기서열 분석 기술은 임상의들이 희귀 유전 질환을 단 몇 시간 만에 진단할 수 있게 해줍니다.</v>
      </c>
      <c r="F126" s="16" t="s">
        <v>4852</v>
      </c>
      <c r="G126" s="16">
        <v>1</v>
      </c>
    </row>
    <row r="127" spans="1:7" ht="25.5">
      <c r="A127" s="15"/>
      <c r="B127" s="16">
        <v>126</v>
      </c>
      <c r="C127" s="16" t="s">
        <v>4853</v>
      </c>
      <c r="D127" s="16" t="s">
        <v>6617</v>
      </c>
      <c r="E127" s="16" t="str">
        <f ca="1">IFERROR(__xludf.DUMMYFUNCTION("AI(""c컬럼의 단어를 활용해서 적절한 예문을 만들어줘. 한글 해석은 줄띄움 후에 작성해줘"")"),"Bats use echolocation to navigate and find food in the dark.
박쥐는 어둠 속에서 길을 찾고 먹이를 찾기 위해 반향정위를 사용합니다.")</f>
        <v>Bats use echolocation to navigate and find food in the dark.
박쥐는 어둠 속에서 길을 찾고 먹이를 찾기 위해 반향정위를 사용합니다.</v>
      </c>
      <c r="F127" s="16" t="s">
        <v>4854</v>
      </c>
      <c r="G127" s="16">
        <v>1</v>
      </c>
    </row>
    <row r="128" spans="1:7" ht="25.5">
      <c r="A128" s="15"/>
      <c r="B128" s="16">
        <v>127</v>
      </c>
      <c r="C128" s="16" t="s">
        <v>4855</v>
      </c>
      <c r="D128" s="16" t="s">
        <v>6618</v>
      </c>
      <c r="E128" s="16" t="str">
        <f ca="1">IFERROR(__xludf.DUMMYFUNCTION("AI(""c컬럼의 단어를 활용해서 적절한 예문을 만들어줘. 한글 해석은 줄띄움 후에 작성해줘"")"),"Ectothermic animals rely on external heat sources such as sunlight to regulate their body temperature.
외온성 동물들은 체온을 조절하기 위해 햇빛과 같은 외부 열원에 의존합니다.")</f>
        <v>Ectothermic animals rely on external heat sources such as sunlight to regulate their body temperature.
외온성 동물들은 체온을 조절하기 위해 햇빛과 같은 외부 열원에 의존합니다.</v>
      </c>
      <c r="F128" s="16" t="s">
        <v>4856</v>
      </c>
      <c r="G128" s="16">
        <v>1</v>
      </c>
    </row>
    <row r="129" spans="1:7" ht="51">
      <c r="A129" s="15"/>
      <c r="B129" s="16">
        <v>128</v>
      </c>
      <c r="C129" s="16" t="s">
        <v>4857</v>
      </c>
      <c r="D129" s="16" t="s">
        <v>6619</v>
      </c>
      <c r="E129" s="16" t="str">
        <f ca="1">IFERROR(__xludf.DUMMYFUNCTION("AI(""c컬럼의 단어를 활용해서 적절한 예문을 만들어줘. 한글 해석은 줄띄움 후에 작성해줘"")"),"Recent studies have questioned the efficacy of certain healthcare interventions in changing long-term patient behavior.
최근의 연구들은 특정 의료 개입이 환자의 장기적인 행동을 변화시키는 데 있어 그 효능에 의문을 제기해 왔습니다.")</f>
        <v>Recent studies have questioned the efficacy of certain healthcare interventions in changing long-term patient behavior.
최근의 연구들은 특정 의료 개입이 환자의 장기적인 행동을 변화시키는 데 있어 그 효능에 의문을 제기해 왔습니다.</v>
      </c>
      <c r="F129" s="16" t="s">
        <v>4858</v>
      </c>
      <c r="G129" s="16">
        <v>1</v>
      </c>
    </row>
    <row r="130" spans="1:7" ht="38.25">
      <c r="A130" s="15"/>
      <c r="B130" s="16">
        <v>129</v>
      </c>
      <c r="C130" s="16" t="s">
        <v>4859</v>
      </c>
      <c r="D130" s="16" t="s">
        <v>6620</v>
      </c>
      <c r="E130" s="16" t="str">
        <f ca="1">IFERROR(__xludf.DUMMYFUNCTION("AI(""c컬럼의 단어를 활용해서 적절한 예문을 만들어줘. 한글 해석은 줄띄움 후에 작성해줘"")"),"An egalitarian society aims to provide equal opportunities and rights for all its citizens, regardless of their background.
평등주의 사회는 배경에 상관없이 모든 시민에게 평등한 기회와 권리를 제공하는 것을 목표로 합니다.")</f>
        <v>An egalitarian society aims to provide equal opportunities and rights for all its citizens, regardless of their background.
평등주의 사회는 배경에 상관없이 모든 시민에게 평등한 기회와 권리를 제공하는 것을 목표로 합니다.</v>
      </c>
      <c r="F130" s="16" t="s">
        <v>4860</v>
      </c>
      <c r="G130" s="16">
        <v>2</v>
      </c>
    </row>
    <row r="131" spans="1:7" ht="51">
      <c r="A131" s="15"/>
      <c r="B131" s="16">
        <v>130</v>
      </c>
      <c r="C131" s="16" t="s">
        <v>4861</v>
      </c>
      <c r="D131" s="16" t="s">
        <v>6621</v>
      </c>
      <c r="E131" s="16" t="str">
        <f ca="1">IFERROR(__xludf.DUMMYFUNCTION("AI(""c컬럼의 단어를 활용해서 적절한 예문을 만들어줘. 한글 해석은 줄띄움 후에 작성해줘"")"),"Modern political philosophy often promotes egalitarianism, the belief that all people should be accorded equal rights and treatment under the law.
현대 정치 철학은 모든 사람이 법 아래에서 평등한 권리와 대우를 받아야 한다는 신념인 평등주의를 종종 장려합니다.")</f>
        <v>Modern political philosophy often promotes egalitarianism, the belief that all people should be accorded equal rights and treatment under the law.
현대 정치 철학은 모든 사람이 법 아래에서 평등한 권리와 대우를 받아야 한다는 신념인 평등주의를 종종 장려합니다.</v>
      </c>
      <c r="F131" s="16" t="s">
        <v>4862</v>
      </c>
      <c r="G131" s="16">
        <v>1</v>
      </c>
    </row>
    <row r="132" spans="1:7" ht="25.5">
      <c r="A132" s="15"/>
      <c r="B132" s="16">
        <v>131</v>
      </c>
      <c r="C132" s="16" t="s">
        <v>2095</v>
      </c>
      <c r="D132" s="16" t="s">
        <v>6622</v>
      </c>
      <c r="E132" s="16" t="str">
        <f ca="1">IFERROR(__xludf.DUMMYFUNCTION("AI(""c컬럼의 단어를 활용해서 적절한 예문을 만들어줘. 한글 해석은 줄띄움 후에 작성해줘"")"),"Despite the extensive investigation, the true identity of the culprit remained elusive to the detectives.
광범위한 수사에도 불구하고, 범인의 진짜 정체는 형사들에게 여전히 찾기 힘든 상태로 남았습니다.")</f>
        <v>Despite the extensive investigation, the true identity of the culprit remained elusive to the detectives.
광범위한 수사에도 불구하고, 범인의 진짜 정체는 형사들에게 여전히 찾기 힘든 상태로 남았습니다.</v>
      </c>
      <c r="F132" s="16" t="s">
        <v>4863</v>
      </c>
      <c r="G132" s="16">
        <v>1</v>
      </c>
    </row>
    <row r="133" spans="1:7" ht="25.5">
      <c r="A133" s="15"/>
      <c r="B133" s="16">
        <v>132</v>
      </c>
      <c r="C133" s="16" t="s">
        <v>4864</v>
      </c>
      <c r="D133" s="16" t="s">
        <v>6623</v>
      </c>
      <c r="E133" s="16" t="str">
        <f ca="1">IFERROR(__xludf.DUMMYFUNCTION("AI(""c컬럼의 단어를 활용해서 적절한 예문을 만들어줘. 한글 해석은 줄띄움 후에 작성해줘"")"),"The aroma of freshly brewed coffee began to emanate from the kitchen, waking everyone up.
주방에서 갓 내린 커피 향이 나기 시작하며 모두의 잠을 깨웠습니다.")</f>
        <v>The aroma of freshly brewed coffee began to emanate from the kitchen, waking everyone up.
주방에서 갓 내린 커피 향이 나기 시작하며 모두의 잠을 깨웠습니다.</v>
      </c>
      <c r="F133" s="16" t="s">
        <v>4865</v>
      </c>
      <c r="G133" s="16">
        <v>1</v>
      </c>
    </row>
    <row r="134" spans="1:7" ht="51">
      <c r="A134" s="15"/>
      <c r="B134" s="16">
        <v>133</v>
      </c>
      <c r="C134" s="16" t="s">
        <v>4866</v>
      </c>
      <c r="D134" s="16" t="s">
        <v>6624</v>
      </c>
      <c r="E134" s="16" t="str">
        <f ca="1">IFERROR(__xludf.DUMMYFUNCTION("AI(""c컬럼의 단어를 활용해서 적절한 예문을 만들어줘. 한글 해석은 줄띄움 후에 작성해줘"")"),"Though arguably minor compared to his other scandals, the governor was embroiled in several ethics controversies during his first two terms in office.
그의 다른 스캔들에 비하면 미미한 수준이지만, 주지사는 임기 첫 두 차례 동안 여러 윤리적 논란에 휘말렸습니다.")</f>
        <v>Though arguably minor compared to his other scandals, the governor was embroiled in several ethics controversies during his first two terms in office.
그의 다른 스캔들에 비하면 미미한 수준이지만, 주지사는 임기 첫 두 차례 동안 여러 윤리적 논란에 휘말렸습니다.</v>
      </c>
      <c r="F134" s="16" t="s">
        <v>4867</v>
      </c>
      <c r="G134" s="16">
        <v>1</v>
      </c>
    </row>
    <row r="135" spans="1:7" ht="38.25">
      <c r="A135" s="15"/>
      <c r="B135" s="16">
        <v>134</v>
      </c>
      <c r="C135" s="16" t="s">
        <v>4868</v>
      </c>
      <c r="D135" s="16" t="s">
        <v>6625</v>
      </c>
      <c r="E135" s="16" t="str">
        <f ca="1">IFERROR(__xludf.DUMMYFUNCTION("AI(""c컬럼의 단어를 활용해서 적절한 예문을 만들어줘. 한글 해석은 줄띄움 후에 작성해줘"")"),"Scientific theories must be tested through rigorous observation and experimentation to establish a solid empirical basis.
과학 이론은 탄탄한 경험적 근거를 마련하기 위해 엄격한 관찰과 실험을 통해 검증되어야 합니다.")</f>
        <v>Scientific theories must be tested through rigorous observation and experimentation to establish a solid empirical basis.
과학 이론은 탄탄한 경험적 근거를 마련하기 위해 엄격한 관찰과 실험을 통해 검증되어야 합니다.</v>
      </c>
      <c r="F135" s="16" t="s">
        <v>4869</v>
      </c>
      <c r="G135" s="16">
        <v>1</v>
      </c>
    </row>
    <row r="136" spans="1:7" ht="25.5">
      <c r="A136" s="15"/>
      <c r="B136" s="16">
        <v>135</v>
      </c>
      <c r="C136" s="16" t="s">
        <v>4870</v>
      </c>
      <c r="D136" s="16" t="s">
        <v>6626</v>
      </c>
      <c r="E136" s="16" t="str">
        <f ca="1">IFERROR(__xludf.DUMMYFUNCTION("AI(""c컬럼의 단어를 활용해서 적절한 예문을 만들어줘. 한글 해석은 줄띄움 후에 작성해줘"")"),"The author’s sincere dedication to his readers’ concerns helped endear him to his audience.
그 작가가 독자들의 고민에 보여준 진심 어린 헌신은 그가 관객들에게 사랑받게 만들었습니다.")</f>
        <v>The author’s sincere dedication to his readers’ concerns helped endear him to his audience.
그 작가가 독자들의 고민에 보여준 진심 어린 헌신은 그가 관객들에게 사랑받게 만들었습니다.</v>
      </c>
      <c r="F136" s="16" t="s">
        <v>4871</v>
      </c>
      <c r="G136" s="16">
        <v>1</v>
      </c>
    </row>
    <row r="137" spans="1:7" ht="38.25">
      <c r="A137" s="15"/>
      <c r="B137" s="16">
        <v>136</v>
      </c>
      <c r="C137" s="16" t="s">
        <v>4872</v>
      </c>
      <c r="D137" s="16" t="s">
        <v>6627</v>
      </c>
      <c r="E137" s="16" t="str">
        <f ca="1">IFERROR(__xludf.DUMMYFUNCTION("AI(""c컬럼의 단어를 활용해서 적절한 예문을 만들어줘. 한글 해석은 줄띄움 후에 작성해줘"")"),"Most endothermic animals, such as birds and mammals, can maintain a stable internal temperature even in cold environments.
대부분의 내온성 동물인 조류와 포유류는 추운 환경에서도 안정적인 내부 온도를 유지할 수 있습니다.")</f>
        <v>Most endothermic animals, such as birds and mammals, can maintain a stable internal temperature even in cold environments.
대부분의 내온성 동물인 조류와 포유류는 추운 환경에서도 안정적인 내부 온도를 유지할 수 있습니다.</v>
      </c>
      <c r="F137" s="16" t="s">
        <v>4873</v>
      </c>
      <c r="G137" s="16">
        <v>1</v>
      </c>
    </row>
    <row r="138" spans="1:7" ht="38.25">
      <c r="A138" s="15"/>
      <c r="B138" s="16">
        <v>137</v>
      </c>
      <c r="C138" s="16" t="s">
        <v>4874</v>
      </c>
      <c r="D138" s="16" t="s">
        <v>6628</v>
      </c>
      <c r="E138" s="16" t="str">
        <f ca="1">IFERROR(__xludf.DUMMYFUNCTION("AI(""c컬럼의 단어를 활용해서 적절한 예문을 만들어줘. 한글 해석은 줄띄움 후에 작성해줘"")"),"Policymakers must consider how a new mandate might unintentionaly engender public disobedience.
정책 입안자들은 새로운 명령이 어떻게 의도치 않게 대중의 불복종을 초래할 수 있는지 고려해야 합니다.")</f>
        <v>Policymakers must consider how a new mandate might unintentionaly engender public disobedience.
정책 입안자들은 새로운 명령이 어떻게 의도치 않게 대중의 불복종을 초래할 수 있는지 고려해야 합니다.</v>
      </c>
      <c r="F138" s="16" t="s">
        <v>4875</v>
      </c>
      <c r="G138" s="16">
        <v>1</v>
      </c>
    </row>
    <row r="139" spans="1:7" ht="51">
      <c r="A139" s="15"/>
      <c r="B139" s="16">
        <v>138</v>
      </c>
      <c r="C139" s="16" t="s">
        <v>4876</v>
      </c>
      <c r="D139" s="16" t="s">
        <v>6629</v>
      </c>
      <c r="E139" s="16" t="str">
        <f ca="1">IFERROR(__xludf.DUMMYFUNCTION("AI(""c컬럼의 단어를 활용해서 적절한 예문을 만들어줘. 한글 해석은 줄띄움 후에 작성해줘"")"),"Some people are hesitant to adopt AI because they believe it will necessarily entail widespread job losses.
일부 사람들은 AI가 필연적으로 광범위한 일자리 상실을 수반할 것이라고 믿기 때문에 도입을 주저합니다.")</f>
        <v>Some people are hesitant to adopt AI because they believe it will necessarily entail widespread job losses.
일부 사람들은 AI가 필연적으로 광범위한 일자리 상실을 수반할 것이라고 믿기 때문에 도입을 주저합니다.</v>
      </c>
      <c r="F139" s="16" t="s">
        <v>4877</v>
      </c>
      <c r="G139" s="16">
        <v>1</v>
      </c>
    </row>
    <row r="140" spans="1:7" ht="51">
      <c r="A140" s="15"/>
      <c r="B140" s="16">
        <v>139</v>
      </c>
      <c r="C140" s="16" t="s">
        <v>4878</v>
      </c>
      <c r="D140" s="16" t="s">
        <v>6630</v>
      </c>
      <c r="E140" s="16" t="str">
        <f ca="1">IFERROR(__xludf.DUMMYFUNCTION("AI(""c컬럼의 단어를 활용해서 적절한 예문을 만들어줘. 한글 해석은 줄띄움 후에 작성해줘"")"),"Gender inequalities remain deeply entrenched in every society, often being reflected in political and economic decision-making processes.
성별 불평등은 모든 사회에 깊이 자리 잡고 있으며, 정치적, 경제적 의사 결정 과정에서도 자주 나타납니다.")</f>
        <v>Gender inequalities remain deeply entrenched in every society, often being reflected in political and economic decision-making processes.
성별 불평등은 모든 사회에 깊이 자리 잡고 있으며, 정치적, 경제적 의사 결정 과정에서도 자주 나타납니다.</v>
      </c>
      <c r="F140" s="16" t="s">
        <v>4879</v>
      </c>
      <c r="G140" s="16">
        <v>1</v>
      </c>
    </row>
    <row r="141" spans="1:7" ht="25.5">
      <c r="A141" s="15"/>
      <c r="B141" s="16">
        <v>140</v>
      </c>
      <c r="C141" s="16" t="s">
        <v>4880</v>
      </c>
      <c r="D141" s="16" t="s">
        <v>6631</v>
      </c>
      <c r="E141" s="16" t="str">
        <f ca="1">IFERROR(__xludf.DUMMYFUNCTION("AI(""c컬럼의 단어를 활용해서 적절한 예문을 만들어줘. 한글 해석은 줄띄움 후에 작성해줘"")"),"In the early morning, a thick fog blankets a tranquil forest, creating an ethereal atmosphere.
이른 아침, 짙은 안개가 고요한 숲을 감싸며 신비로운 분위기를 자아냅니다.")</f>
        <v>In the early morning, a thick fog blankets a tranquil forest, creating an ethereal atmosphere.
이른 아침, 짙은 안개가 고요한 숲을 감싸며 신비로운 분위기를 자아냅니다.</v>
      </c>
      <c r="F141" s="16" t="s">
        <v>4881</v>
      </c>
      <c r="G141" s="16">
        <v>1</v>
      </c>
    </row>
    <row r="142" spans="1:7" ht="25.5">
      <c r="A142" s="15"/>
      <c r="B142" s="16">
        <v>141</v>
      </c>
      <c r="C142" s="16" t="s">
        <v>4882</v>
      </c>
      <c r="D142" s="16" t="s">
        <v>6632</v>
      </c>
      <c r="E142" s="16" t="str">
        <f ca="1">IFERROR(__xludf.DUMMYFUNCTION("AI(""c컬럼의 단어를 활용해서 적절한 예문을 만들어줘. 한글 해석은 줄띄움 후에 작성해줘"")"),"The classic buildings of the university epitomize the architectural style of the early 20th century.
그 대학교의 고전적인 건물들은 20세기 초의 건축 양식을 전형적으로 보여줍니다.")</f>
        <v>The classic buildings of the university epitomize the architectural style of the early 20th century.
그 대학교의 고전적인 건물들은 20세기 초의 건축 양식을 전형적으로 보여줍니다.</v>
      </c>
      <c r="F142" s="16" t="s">
        <v>4883</v>
      </c>
      <c r="G142" s="16">
        <v>1</v>
      </c>
    </row>
    <row r="143" spans="1:7" ht="51">
      <c r="A143" s="15"/>
      <c r="B143" s="16">
        <v>142</v>
      </c>
      <c r="C143" s="16" t="s">
        <v>4884</v>
      </c>
      <c r="D143" s="16" t="s">
        <v>6633</v>
      </c>
      <c r="E143" s="16" t="str">
        <f ca="1">IFERROR(__xludf.DUMMYFUNCTION("AI(""c컬럼의 단어를 활용해서 적절한 예문을 만들어줘. 한글 해석은 줄띄움 후에 작성해줘"")"),"The politician's persistent equivocation during the interview made it difficult for the public to understand his true stance on the issue.
그 정치인이 인터뷰 내내 보인 지속적인 얼버무림은 대중이 그 문제에 대한 그의 진정한 입장을 이해하는 것을 어렵게 만들었습니다.")</f>
        <v>The politician's persistent equivocation during the interview made it difficult for the public to understand his true stance on the issue.
그 정치인이 인터뷰 내내 보인 지속적인 얼버무림은 대중이 그 문제에 대한 그의 진정한 입장을 이해하는 것을 어렵게 만들었습니다.</v>
      </c>
      <c r="F143" s="16" t="s">
        <v>4885</v>
      </c>
      <c r="G143" s="16">
        <v>1</v>
      </c>
    </row>
    <row r="144" spans="1:7" ht="25.5">
      <c r="A144" s="15"/>
      <c r="B144" s="16">
        <v>143</v>
      </c>
      <c r="C144" s="16" t="s">
        <v>4886</v>
      </c>
      <c r="D144" s="16" t="s">
        <v>6634</v>
      </c>
      <c r="E144" s="16" t="str">
        <f ca="1">IFERROR(__xludf.DUMMYFUNCTION("AI(""c컬럼의 단어를 활용해서 적절한 예문을 만들어줘. 한글 해석은 줄띄움 후에 작성해줘"")"),"The World Health Assembly passed a resolution in 1988 for the worldwide eradication of polio.
1988년 세계보건총회는 전 세계적인 소아마비 근절을 위한 결의안을 통과시켰습니다.")</f>
        <v>The World Health Assembly passed a resolution in 1988 for the worldwide eradication of polio.
1988년 세계보건총회는 전 세계적인 소아마비 근절을 위한 결의안을 통과시켰습니다.</v>
      </c>
      <c r="F144" s="16" t="s">
        <v>4887</v>
      </c>
      <c r="G144" s="16">
        <v>1</v>
      </c>
    </row>
    <row r="145" spans="1:7" ht="38.25">
      <c r="A145" s="15"/>
      <c r="B145" s="16">
        <v>144</v>
      </c>
      <c r="C145" s="16" t="s">
        <v>4888</v>
      </c>
      <c r="D145" s="16" t="s">
        <v>6635</v>
      </c>
      <c r="E145" s="16" t="str">
        <f ca="1">IFERROR(__xludf.DUMMYFUNCTION("AI(""c컬럼의 단어를 활용해서 적절한 예문을 만들어줘. 한글 해석은 줄띄움 후에 작성해줘"")"),"The rapid development of artificial intelligence raises profound ethical implications regarding data privacy and human rights.
인공지능의 급격한 발전은 데이터 프라이버시와 인권에 관한 심오한 윤리적 함의를 불러일으킵니다.")</f>
        <v>The rapid development of artificial intelligence raises profound ethical implications regarding data privacy and human rights.
인공지능의 급격한 발전은 데이터 프라이버시와 인권에 관한 심오한 윤리적 함의를 불러일으킵니다.</v>
      </c>
      <c r="F145" s="16" t="s">
        <v>4889</v>
      </c>
      <c r="G145" s="16">
        <v>1</v>
      </c>
    </row>
    <row r="146" spans="1:7" ht="51">
      <c r="A146" s="15"/>
      <c r="B146" s="16">
        <v>145</v>
      </c>
      <c r="C146" s="16" t="s">
        <v>4890</v>
      </c>
      <c r="D146" s="16" t="s">
        <v>6636</v>
      </c>
      <c r="E146" s="16" t="str">
        <f ca="1">IFERROR(__xludf.DUMMYFUNCTION("AI(""c컬럼의 단어를 활용해서 적절한 예문을 만들어줘. 한글 해석은 줄띄움 후에 작성해줘"")"),"Fruits such as apples and bananas naturally emit ethylene gas, which accelerates the ripening process of nearby produce.
사과나 바나나와 같은 과일은 자연적으로 에틸렌 가스를 내뿜으며, 이는 주변 농산물의 숙성 과정을 가속화합니다.")</f>
        <v>Fruits such as apples and bananas naturally emit ethylene gas, which accelerates the ripening process of nearby produce.
사과나 바나나와 같은 과일은 자연적으로 에틸렌 가스를 내뿜으며, 이는 주변 농산물의 숙성 과정을 가속화합니다.</v>
      </c>
      <c r="F146" s="16" t="s">
        <v>4891</v>
      </c>
      <c r="G146" s="16">
        <v>1</v>
      </c>
    </row>
    <row r="147" spans="1:7" ht="51">
      <c r="A147" s="15"/>
      <c r="B147" s="16">
        <v>146</v>
      </c>
      <c r="C147" s="16" t="s">
        <v>4892</v>
      </c>
      <c r="D147" s="16" t="s">
        <v>6637</v>
      </c>
      <c r="E147" s="16" t="str">
        <f ca="1">IFERROR(__xludf.DUMMYFUNCTION("AI(""c컬럼의 단어를 활용해서 적절한 예문을 만들어줘. 한글 해석은 줄띄움 후에 작성해줘"")"),"The elite special forces team was tasked to execute a daring raid on the enemy's hidden base to rescue the hostages.
그 정예 특수부대 팀은 인질을 구제하기 위해 적의 숨겨진 기지에 대한 대담한 기습작전을 수행하는 임무를 맡았습니다.")</f>
        <v>The elite special forces team was tasked to execute a daring raid on the enemy's hidden base to rescue the hostages.
그 정예 특수부대 팀은 인질을 구제하기 위해 적의 숨겨진 기지에 대한 대담한 기습작전을 수행하는 임무를 맡았습니다.</v>
      </c>
      <c r="F147" s="16" t="s">
        <v>4893</v>
      </c>
      <c r="G147" s="16">
        <v>1</v>
      </c>
    </row>
    <row r="148" spans="1:7" ht="25.5">
      <c r="A148" s="15"/>
      <c r="B148" s="16">
        <v>147</v>
      </c>
      <c r="C148" s="16" t="s">
        <v>2257</v>
      </c>
      <c r="D148" s="16" t="s">
        <v>6638</v>
      </c>
      <c r="E148" s="16" t="str">
        <f ca="1">IFERROR(__xludf.DUMMYFUNCTION("AI(""c컬럼의 단어를 활용해서 적절한 예문을 만들어줘. 한글 해석은 줄띄움 후에 작성해줘"")"),"Riding a roller coaster was an exhilarating experience that left us all breathless.
롤러코스터를 타는 것은 우리 모두를 숨 막히게 한 신나는 경험이었습니다.")</f>
        <v>Riding a roller coaster was an exhilarating experience that left us all breathless.
롤러코스터를 타는 것은 우리 모두를 숨 막히게 한 신나는 경험이었습니다.</v>
      </c>
      <c r="F148" s="16" t="s">
        <v>4894</v>
      </c>
      <c r="G148" s="16">
        <v>1</v>
      </c>
    </row>
    <row r="149" spans="1:7" ht="51">
      <c r="A149" s="15"/>
      <c r="B149" s="16">
        <v>148</v>
      </c>
      <c r="C149" s="16" t="s">
        <v>4895</v>
      </c>
      <c r="D149" s="16" t="s">
        <v>6639</v>
      </c>
      <c r="E149" s="16" t="str">
        <f ca="1">IFERROR(__xludf.DUMMYFUNCTION("AI(""c컬럼의 단어를 활용해서 적절한 예문을 만들어줘. 한글 해석은 줄띄움 후에 작성해줘"")"),"Some luxury hotels have been criticized for charging exorbitantly high prices for basic items like bottled water.
일부 호화 호텔들은 생수와 같은 기본적인 품목에 대해 터무니없이 비싼 가격을 책정하여 비판을 받아왔습니다.")</f>
        <v>Some luxury hotels have been criticized for charging exorbitantly high prices for basic items like bottled water.
일부 호화 호텔들은 생수와 같은 기본적인 품목에 대해 터무니없이 비싼 가격을 책정하여 비판을 받아왔습니다.</v>
      </c>
      <c r="F149" s="16" t="s">
        <v>4896</v>
      </c>
      <c r="G149" s="16">
        <v>1</v>
      </c>
    </row>
    <row r="150" spans="1:7" ht="51">
      <c r="A150" s="15"/>
      <c r="B150" s="16">
        <v>149</v>
      </c>
      <c r="C150" s="16" t="s">
        <v>4897</v>
      </c>
      <c r="D150" s="16" t="s">
        <v>6640</v>
      </c>
      <c r="E150" s="16" t="str">
        <f ca="1">IFERROR(__xludf.DUMMYFUNCTION("AI(""c컬럼의 단어를 활용해서 적절한 예문을 만들어줘. 한글 해석은 줄띄움 후에 작성해줘"")"),"By using Priority Mail, the package was expedited to the professor when it arrived at the university mailroom.
프라이어리티 메일을 사용함으로써, 그 패키지는 대학 우편함에 도착했을 때 교수에게 신속히 전달되었습니다.")</f>
        <v>By using Priority Mail, the package was expedited to the professor when it arrived at the university mailroom.
프라이어리티 메일을 사용함으로써, 그 패키지는 대학 우편함에 도착했을 때 교수에게 신속히 전달되었습니다.</v>
      </c>
      <c r="F150" s="16" t="s">
        <v>4898</v>
      </c>
      <c r="G150" s="16">
        <v>1</v>
      </c>
    </row>
    <row r="151" spans="1:7" ht="51">
      <c r="A151" s="15"/>
      <c r="B151" s="16">
        <v>150</v>
      </c>
      <c r="C151" s="16" t="s">
        <v>4899</v>
      </c>
      <c r="D151" s="16" t="s">
        <v>6641</v>
      </c>
      <c r="E151" s="16" t="str">
        <f ca="1">IFERROR(__xludf.DUMMYFUNCTION("AI(""c컬럼의 단어를 활용해서 적절한 예문을 만들어줘. 한글 해석은 줄띄움 후에 작성해줘"")"),"During military operations, items such as ammunition, fuel, and food are often treated as expendable supplies that are consumed or destroyed after use.
군사 작전 중에 탄약, 연료, 식량과 같은 품목은 종종 사용 후 소모되거나 폐기되는 소모성 물자로 취급됩니다.")</f>
        <v>During military operations, items such as ammunition, fuel, and food are often treated as expendable supplies that are consumed or destroyed after use.
군사 작전 중에 탄약, 연료, 식량과 같은 품목은 종종 사용 후 소모되거나 폐기되는 소모성 물자로 취급됩니다.</v>
      </c>
      <c r="F151" s="16" t="s">
        <v>4900</v>
      </c>
      <c r="G151" s="16">
        <v>1</v>
      </c>
    </row>
    <row r="152" spans="1:7" ht="38.25">
      <c r="A152" s="15"/>
      <c r="B152" s="16">
        <v>151</v>
      </c>
      <c r="C152" s="16" t="s">
        <v>4901</v>
      </c>
      <c r="D152" s="16" t="s">
        <v>6642</v>
      </c>
      <c r="E152" s="16" t="str">
        <f ca="1">IFERROR(__xludf.DUMMYFUNCTION("AI(""c컬럼의 단어를 활용해서 적절한 예문을 만들어줘. 한글 해석은 줄띄움 후에 작성해줘"")"),"The school board may expel a student for serious offenses such as bringing firearms to school.
학교 이사회는 학교에 총기를 소지하고 오는 것과 같은 중대한 위반 행위에 대해 학생을 제명할 수 있습니다.")</f>
        <v>The school board may expel a student for serious offenses such as bringing firearms to school.
학교 이사회는 학교에 총기를 소지하고 오는 것과 같은 중대한 위반 행위에 대해 학생을 제명할 수 있습니다.</v>
      </c>
      <c r="F152" s="16" t="s">
        <v>4902</v>
      </c>
      <c r="G152" s="16">
        <v>1</v>
      </c>
    </row>
    <row r="153" spans="1:7" ht="51">
      <c r="A153" s="15"/>
      <c r="B153" s="16">
        <v>152</v>
      </c>
      <c r="C153" s="16" t="s">
        <v>4903</v>
      </c>
      <c r="D153" s="16" t="s">
        <v>6643</v>
      </c>
      <c r="E153" s="16" t="str">
        <f ca="1">IFERROR(__xludf.DUMMYFUNCTION("AI(""c컬럼의 단어를 활용해서 적절한 예문을 만들어줘. 한글 해석은 줄띄움 후에 작성해줘"")"),"Critics argued that the newly constructed skyscraper was an eyesore that ruined the city's historic skyline.
비평가들은 새로 지어진 마초층 건물이 도시의 역사적인 스카이라인을 망치는 흉물이라고 주장했습니다.")</f>
        <v>Critics argued that the newly constructed skyscraper was an eyesore that ruined the city's historic skyline.
비평가들은 새로 지어진 마초층 건물이 도시의 역사적인 스카이라인을 망치는 흉물이라고 주장했습니다.</v>
      </c>
      <c r="F153" s="16" t="s">
        <v>4904</v>
      </c>
      <c r="G153" s="16">
        <v>1</v>
      </c>
    </row>
    <row r="154" spans="1:7" ht="38.25">
      <c r="A154" s="15"/>
      <c r="B154" s="16">
        <v>153</v>
      </c>
      <c r="C154" s="16" t="s">
        <v>4905</v>
      </c>
      <c r="D154" s="16" t="s">
        <v>6644</v>
      </c>
      <c r="E154" s="16" t="str">
        <f ca="1">IFERROR(__xludf.DUMMYFUNCTION("AI(""c컬럼의 단어를 활용해서 적절한 예문을 만들어줘. 한글 해석은 줄띄움 후에 작성해줘"")"),"The false dichotomy between economic growth and environmental protection ignores the possibility of sustainable development.
경제 성장과 환경 보호 사이의 거짓 이분법은 지속 가능한 발전의 가능성을 무시합니다.")</f>
        <v>The false dichotomy between economic growth and environmental protection ignores the possibility of sustainable development.
경제 성장과 환경 보호 사이의 거짓 이분법은 지속 가능한 발전의 가능성을 무시합니다.</v>
      </c>
      <c r="F154" s="16" t="s">
        <v>4906</v>
      </c>
      <c r="G154" s="16">
        <v>1</v>
      </c>
    </row>
    <row r="155" spans="1:7" ht="38.25">
      <c r="A155" s="15"/>
      <c r="B155" s="16">
        <v>154</v>
      </c>
      <c r="C155" s="16" t="s">
        <v>4907</v>
      </c>
      <c r="D155" s="16" t="s">
        <v>6645</v>
      </c>
      <c r="E155" s="16" t="str">
        <f ca="1">IFERROR(__xludf.DUMMYFUNCTION("AI(""c컬럼의 단어를 활용해서 적절한 예문을 만들어줘. 한글 해석은 줄띄움 후에 작성해줘"")"),"When the economy begins to falter, small businesses are often the first to feel the impact of reduced consumer spending.
경제가 흔들리기 시작할 때, 소규모 기업들은 종종 소비 지출 감소의 영향을 가장 먼저 받습니다.")</f>
        <v>When the economy begins to falter, small businesses are often the first to feel the impact of reduced consumer spending.
경제가 흔들리기 시작할 때, 소규모 기업들은 종종 소비 지출 감소의 영향을 가장 먼저 받습니다.</v>
      </c>
      <c r="F155" s="16" t="s">
        <v>4908</v>
      </c>
      <c r="G155" s="16">
        <v>1</v>
      </c>
    </row>
    <row r="156" spans="1:7" ht="38.25">
      <c r="A156" s="15"/>
      <c r="B156" s="16">
        <v>155</v>
      </c>
      <c r="C156" s="16" t="s">
        <v>4909</v>
      </c>
      <c r="D156" s="16" t="s">
        <v>6646</v>
      </c>
      <c r="E156" s="16" t="str">
        <f ca="1">IFERROR(__xludf.DUMMYFUNCTION("AI(""c컬럼의 단어를 활용해서 적절한 예문을 만들어줘. 한글 해석은 줄띄움 후에 작성해줘"")"),"The rise of fascism in Europe during the 20th century led to a global conflict and widespread human rights violations.
20세기 유럽에서의 파시즘의 부상은 세계적인 갈등과 광범위한 인권 침해로 이어졌습니다.")</f>
        <v>The rise of fascism in Europe during the 20th century led to a global conflict and widespread human rights violations.
20세기 유럽에서의 파시즘의 부상은 세계적인 갈등과 광범위한 인권 침해로 이어졌습니다.</v>
      </c>
      <c r="F156" s="16" t="s">
        <v>4910</v>
      </c>
      <c r="G156" s="16">
        <v>1</v>
      </c>
    </row>
    <row r="157" spans="1:7" ht="25.5">
      <c r="A157" s="15"/>
      <c r="B157" s="16">
        <v>156</v>
      </c>
      <c r="C157" s="16" t="s">
        <v>4911</v>
      </c>
      <c r="D157" s="16" t="s">
        <v>6647</v>
      </c>
      <c r="E157" s="16" t="str">
        <f ca="1">IFERROR(__xludf.DUMMYFUNCTION("AI(""c컬럼의 단어를 활용해서 적절한 예문을 만들어줘. 한글 해석은 줄띄움 후에 작성해줘"")"),"The speaker's religious fervor was evident in the passionate way he addressed the crowd.
연설가의 종교적 열정은 그가 군중에게 연설하는 열정적인 방식에서 분명하게 드러났습니다.")</f>
        <v>The speaker's religious fervor was evident in the passionate way he addressed the crowd.
연설가의 종교적 열정은 그가 군중에게 연설하는 열정적인 방식에서 분명하게 드러났습니다.</v>
      </c>
      <c r="F157" s="16" t="s">
        <v>4912</v>
      </c>
      <c r="G157" s="16">
        <v>1</v>
      </c>
    </row>
    <row r="158" spans="1:7" ht="51">
      <c r="A158" s="15"/>
      <c r="B158" s="16">
        <v>157</v>
      </c>
      <c r="C158" s="16" t="s">
        <v>4913</v>
      </c>
      <c r="D158" s="16" t="s">
        <v>6648</v>
      </c>
      <c r="E158" s="16" t="str">
        <f ca="1">IFERROR(__xludf.DUMMYFUNCTION("AI(""c컬럼의 단어를 활용해서 적절한 예문을 만들어줘. 한글 해석은 줄띄움 후에 작성해줘"")"),"Environmental factors like maternal nutrition and stress can significantly influence fetal gene expression and long-term health outcomes.
임산부의 영양 상태나 스트레스와 같은 환경적 요인은 태아 유전자 발현과 장기적인 건강 결과에 상당한 영향을 미칠 수 있습니다.")</f>
        <v>Environmental factors like maternal nutrition and stress can significantly influence fetal gene expression and long-term health outcomes.
임산부의 영양 상태나 스트레스와 같은 환경적 요인은 태아 유전자 발현과 장기적인 건강 결과에 상당한 영향을 미칠 수 있습니다.</v>
      </c>
      <c r="F158" s="16" t="s">
        <v>4914</v>
      </c>
      <c r="G158" s="16">
        <v>1</v>
      </c>
    </row>
    <row r="159" spans="1:7" ht="38.25">
      <c r="A159" s="15"/>
      <c r="B159" s="16">
        <v>158</v>
      </c>
      <c r="C159" s="16" t="s">
        <v>4915</v>
      </c>
      <c r="D159" s="16" t="s">
        <v>6649</v>
      </c>
      <c r="E159" s="16" t="str">
        <f ca="1">IFERROR(__xludf.DUMMYFUNCTION("AI(""c컬럼의 단어를 활용해서 적절한 예문을 만들어줘. 한글 해석은 줄띄움 후에 작성해줘"")"),"Since the suspension of the dollar's convertibility to gold in 1971, the global economy has primarily operated on a system of fiat money.
1971년 달러의 금 태환 정지 이후, 세계 경제는 주로 법정불환화폐 체제로 운영되어 왔습니다.")</f>
        <v>Since the suspension of the dollar's convertibility to gold in 1971, the global economy has primarily operated on a system of fiat money.
1971년 달러의 금 태환 정지 이후, 세계 경제는 주로 법정불환화폐 체제로 운영되어 왔습니다.</v>
      </c>
      <c r="F159" s="16" t="s">
        <v>4916</v>
      </c>
      <c r="G159" s="16">
        <v>1</v>
      </c>
    </row>
    <row r="160" spans="1:7" ht="25.5">
      <c r="A160" s="15"/>
      <c r="B160" s="16">
        <v>159</v>
      </c>
      <c r="C160" s="16" t="s">
        <v>4917</v>
      </c>
      <c r="D160" s="16" t="s">
        <v>6650</v>
      </c>
      <c r="E160" s="16" t="str">
        <f ca="1">IFERROR(__xludf.DUMMYFUNCTION("AI(""c컬럼의 단어를 활용해서 적절한 예문을 만들어줘. 한글 해석은 줄띄움 후에 작성해줘"")"),"The digital converter ensures high fidelity to the original analog recording.
디지털 컨버터는 원본 아날로그 녹음에 대한 높은 충실성을 보장합니다.")</f>
        <v>The digital converter ensures high fidelity to the original analog recording.
디지털 컨버터는 원본 아날로그 녹음에 대한 높은 충실성을 보장합니다.</v>
      </c>
      <c r="F160" s="16" t="s">
        <v>4918</v>
      </c>
      <c r="G160" s="16">
        <v>1</v>
      </c>
    </row>
    <row r="161" spans="1:7" ht="38.25">
      <c r="A161" s="15"/>
      <c r="B161" s="16">
        <v>160</v>
      </c>
      <c r="C161" s="16" t="s">
        <v>4919</v>
      </c>
      <c r="D161" s="16" t="s">
        <v>6651</v>
      </c>
      <c r="E161" s="16" t="str">
        <f ca="1">IFERROR(__xludf.DUMMYFUNCTION("AI(""c컬럼의 단어를 활용해서 적절한 예문을 만들어줘. 한글 해석은 줄띄움 후에 작성해줘"")"),"The government expects the new tax on consumption to fill the government's coffers with billions of dollars each year.
정부는 새로운 소비세가 매년 수십억 달러의 정부 재정을 채울 것으로 기대하고 있습니다.")</f>
        <v>The government expects the new tax on consumption to fill the government's coffers with billions of dollars each year.
정부는 새로운 소비세가 매년 수십억 달러의 정부 재정을 채울 것으로 기대하고 있습니다.</v>
      </c>
      <c r="F161" s="16" t="s">
        <v>4919</v>
      </c>
      <c r="G161" s="16">
        <v>1</v>
      </c>
    </row>
    <row r="162" spans="1:7" ht="51">
      <c r="A162" s="15"/>
      <c r="B162" s="16">
        <v>161</v>
      </c>
      <c r="C162" s="16" t="s">
        <v>4920</v>
      </c>
      <c r="D162" s="16" t="s">
        <v>6652</v>
      </c>
      <c r="E162" s="16" t="str">
        <f ca="1">IFERROR(__xludf.DUMMYFUNCTION("AI(""c컬럼의 단어를 활용해서 적절한 예문을 만들어줘. 한글 해석은 줄띄움 후에 작성해줘"")"),"In early cities, major art forms such as sculpture, pottery, architecture, and metalwork flourished, each serving important societal functions.
고대 도시에서는 조각, 도자기, 건축, 금속 공예와 같은 주요 예술 형태가 번성했으며, 각각 중요한 사회적 기능을 수행했습니다.")</f>
        <v>In early cities, major art forms such as sculpture, pottery, architecture, and metalwork flourished, each serving important societal functions.
고대 도시에서는 조각, 도자기, 건축, 금속 공예와 같은 주요 예술 형태가 번성했으며, 각각 중요한 사회적 기능을 수행했습니다.</v>
      </c>
      <c r="F162" s="16" t="s">
        <v>4921</v>
      </c>
      <c r="G162" s="16">
        <v>1</v>
      </c>
    </row>
    <row r="163" spans="1:7" ht="51">
      <c r="A163" s="15"/>
      <c r="B163" s="16">
        <v>162</v>
      </c>
      <c r="C163" s="16" t="s">
        <v>4922</v>
      </c>
      <c r="D163" s="16" t="s">
        <v>6653</v>
      </c>
      <c r="E163" s="16" t="str">
        <f ca="1">IFERROR(__xludf.DUMMYFUNCTION("AI(""c컬럼의 단어를 활용해서 적절한 예문을 만들어줘. 한글 해석은 줄띄움 후에 작성해줘"")"),"Taking a prenatal vitamin with the recommended 400 micrograms of folic acid before and during pregnancy can help prevent birth defects in your baby's brain and spine.
임신 전과 임신 기간 동안 권장량인 400마이크로그램의 엽산이 함유된 태교 비타민을 섭취하면 아기의 뇌와 척추에 생기는 선천적 결함을 예방하는 데 도움이 될 "&amp;"수 있습니다.")</f>
        <v>Taking a prenatal vitamin with the recommended 400 micrograms of folic acid before and during pregnancy can help prevent birth defects in your baby's brain and spine.
임신 전과 임신 기간 동안 권장량인 400마이크로그램의 엽산이 함유된 태교 비타민을 섭취하면 아기의 뇌와 척추에 생기는 선천적 결함을 예방하는 데 도움이 될 수 있습니다.</v>
      </c>
      <c r="F163" s="16" t="s">
        <v>4923</v>
      </c>
      <c r="G163" s="16">
        <v>1</v>
      </c>
    </row>
    <row r="164" spans="1:7" ht="51">
      <c r="A164" s="15"/>
      <c r="B164" s="16">
        <v>163</v>
      </c>
      <c r="C164" s="16" t="s">
        <v>4924</v>
      </c>
      <c r="D164" s="16" t="s">
        <v>6654</v>
      </c>
      <c r="E164" s="16" t="str">
        <f ca="1">IFERROR(__xludf.DUMMYFUNCTION("AI(""c컬럼의 단어를 활용해서 적절한 예문을 만들어줘. 한글 해석은 줄띄움 후에 작성해줘"")"),"In his farewell address, George Washington warned the nation to avoid permanent foreign entanglements to preserve national independence.
조지 워싱턴은 고별사에서 국가의 독립을 지키기 위해 영구적인 대외적 얽힘을 피하라고 국가에 경고했습니다.")</f>
        <v>In his farewell address, George Washington warned the nation to avoid permanent foreign entanglements to preserve national independence.
조지 워싱턴은 고별사에서 국가의 독립을 지키기 위해 영구적인 대외적 얽힘을 피하라고 국가에 경고했습니다.</v>
      </c>
      <c r="F164" s="16" t="s">
        <v>4925</v>
      </c>
      <c r="G164" s="16">
        <v>1</v>
      </c>
    </row>
    <row r="165" spans="1:7" ht="38.25">
      <c r="A165" s="15"/>
      <c r="B165" s="16">
        <v>164</v>
      </c>
      <c r="C165" s="16" t="s">
        <v>4926</v>
      </c>
      <c r="D165" s="16" t="s">
        <v>6655</v>
      </c>
      <c r="E165" s="16" t="str">
        <f ca="1">IFERROR(__xludf.DUMMYFUNCTION("AI(""c컬럼의 단어를 활용해서 적절한 예문을 만들어줘. 한글 해석은 줄띄움 후에 작성해줘"")"),"Professional documents and academic papers usually require the use of a formal register to convey authority and respect.
전문적인 문서와 학술 논문은 대개 권위와 존중을 전달하기 위해 격식 있는 문체를 사용해야 합니다.")</f>
        <v>Professional documents and academic papers usually require the use of a formal register to convey authority and respect.
전문적인 문서와 학술 논문은 대개 권위와 존중을 전달하기 위해 격식 있는 문체를 사용해야 합니다.</v>
      </c>
      <c r="F165" s="16" t="s">
        <v>4927</v>
      </c>
      <c r="G165" s="16">
        <v>1</v>
      </c>
    </row>
    <row r="166" spans="1:7" ht="25.5">
      <c r="A166" s="15"/>
      <c r="B166" s="16">
        <v>165</v>
      </c>
      <c r="C166" s="16" t="s">
        <v>4928</v>
      </c>
      <c r="D166" s="16" t="s">
        <v>6656</v>
      </c>
      <c r="E166" s="16" t="str">
        <f ca="1">IFERROR(__xludf.DUMMYFUNCTION("AI(""c컬럼의 단어를 활용해서 적절한 예문을 만들어줘. 한글 해석은 줄띄움 후에 작성해줘"")"),"The researchers conducted a follow-up study for a fortnight to monitor the participants' recovery.
연구원들은 참가자들의 회복을 모니터링하기 위해 2주 동안 후속 연구를 진행했습니다.")</f>
        <v>The researchers conducted a follow-up study for a fortnight to monitor the participants' recovery.
연구원들은 참가자들의 회복을 모니터링하기 위해 2주 동안 후속 연구를 진행했습니다.</v>
      </c>
      <c r="F166" s="16" t="s">
        <v>4929</v>
      </c>
      <c r="G166" s="16">
        <v>1</v>
      </c>
    </row>
    <row r="167" spans="1:7" ht="25.5">
      <c r="A167" s="15"/>
      <c r="B167" s="16">
        <v>166</v>
      </c>
      <c r="C167" s="16" t="s">
        <v>4930</v>
      </c>
      <c r="D167" s="16" t="s">
        <v>6657</v>
      </c>
      <c r="E167" s="16" t="str">
        <f ca="1">IFERROR(__xludf.DUMMYFUNCTION("AI(""c컬럼의 단어를 활용해서 적절한 예문을 만들어줘. 한글 해석은 줄띄움 후에 작성해줘"")"),"Seeing that hard work come to fruition is something I will cherish forever.
열심히 노력한 것이 결실을 맺는 것을 보는 것은 내가 영원히 소중히 간직할 일입니다.")</f>
        <v>Seeing that hard work come to fruition is something I will cherish forever.
열심히 노력한 것이 결실을 맺는 것을 보는 것은 내가 영원히 소중히 간직할 일입니다.</v>
      </c>
      <c r="F167" s="16" t="s">
        <v>4931</v>
      </c>
      <c r="G167" s="16">
        <v>1</v>
      </c>
    </row>
    <row r="168" spans="1:7" ht="51">
      <c r="A168" s="15"/>
      <c r="B168" s="16">
        <v>167</v>
      </c>
      <c r="C168" s="16" t="s">
        <v>4932</v>
      </c>
      <c r="D168" s="16" t="s">
        <v>6658</v>
      </c>
      <c r="E168" s="16" t="str">
        <f ca="1">IFERROR(__xludf.DUMMYFUNCTION("AI(""c컬럼의 단어를 활용해서 적절한 예문을 만들어줘. 한글 해석은 줄띄움 후에 작성해줘"")"),"The company's high-stakes bet on the new marketing strategy finally paid off as sales doubled within a quarter.
회사의 새로운 마케팅 전략에 대한 위험천만한 도박은 한 분기 만에 매출이 두 배로 뛰며 마침내 성공했습니다.")</f>
        <v>The company's high-stakes bet on the new marketing strategy finally paid off as sales doubled within a quarter.
회사의 새로운 마케팅 전략에 대한 위험천만한 도박은 한 분기 만에 매출이 두 배로 뛰며 마침내 성공했습니다.</v>
      </c>
      <c r="F168" s="16" t="s">
        <v>4933</v>
      </c>
      <c r="G168" s="16">
        <v>1</v>
      </c>
    </row>
    <row r="169" spans="1:7" ht="38.25">
      <c r="A169" s="15"/>
      <c r="B169" s="16">
        <v>168</v>
      </c>
      <c r="C169" s="16" t="s">
        <v>4934</v>
      </c>
      <c r="D169" s="16" t="s">
        <v>6659</v>
      </c>
      <c r="E169" s="16" t="str">
        <f ca="1">IFERROR(__xludf.DUMMYFUNCTION("AI(""c컬럼의 단어를 활용해서 적절한 예문을 만들어줘. 한글 해석은 줄띄움 후에 작성해줘"")"),"GC-rich regions of the human genome are often characterized by high gene density and short intron length.
인간 유전체의 GC 염기가 풍부한 영역은 종종 높은 유전자 밀도와 짧은 인트로 길이로 특징지어집니다.")</f>
        <v>GC-rich regions of the human genome are often characterized by high gene density and short intron length.
인간 유전체의 GC 염기가 풍부한 영역은 종종 높은 유전자 밀도와 짧은 인트로 길이로 특징지어집니다.</v>
      </c>
      <c r="F169" s="16" t="s">
        <v>4935</v>
      </c>
      <c r="G169" s="16">
        <v>1</v>
      </c>
    </row>
    <row r="170" spans="1:7" ht="51">
      <c r="A170" s="15"/>
      <c r="B170" s="16">
        <v>169</v>
      </c>
      <c r="C170" s="16" t="s">
        <v>4936</v>
      </c>
      <c r="D170" s="16" t="s">
        <v>6660</v>
      </c>
      <c r="E170" s="16" t="str">
        <f ca="1">IFERROR(__xludf.DUMMYFUNCTION("AI(""c컬럼의 단어를 활용해서 적절한 예문을 만들어줘. 한글 해석은 줄띄움 후에 작성해줘"")"),"Albert Einstein's theory of general relativity fundamentally changed our understanding of gravity by describing it as the curvature of spacetime.
알베르트 아인슈타인의 일반 상대성 이론은 중력을 시공간의 곡률로 설명함으로써 중력에 대한 우리의 이해를 근본적으로 변화시켰습니다.")</f>
        <v>Albert Einstein's theory of general relativity fundamentally changed our understanding of gravity by describing it as the curvature of spacetime.
알베르트 아인슈타인의 일반 상대성 이론은 중력을 시공간의 곡률로 설명함으로써 중력에 대한 우리의 이해를 근본적으로 변화시켰습니다.</v>
      </c>
      <c r="F170" s="16" t="s">
        <v>4937</v>
      </c>
      <c r="G170" s="16">
        <v>1</v>
      </c>
    </row>
    <row r="171" spans="1:7" ht="38.25">
      <c r="A171" s="15"/>
      <c r="B171" s="16">
        <v>170</v>
      </c>
      <c r="C171" s="16" t="s">
        <v>4938</v>
      </c>
      <c r="D171" s="16" t="s">
        <v>6661</v>
      </c>
      <c r="E171" s="16" t="str">
        <f ca="1">IFERROR(__xludf.DUMMYFUNCTION("AI(""c컬럼의 단어를 활용해서 적절한 예문을 만들어줘. 한글 해석은 줄띄움 후에 작성해줘"")"),"Scientists have known for years that certain regions of the genome are associated with various diseases.
수년 동안 과학자들은 유전체의 특정 영역이 다양한 질병과 연관되어 있다는 사실을 알고 있었습니다.")</f>
        <v>Scientists have known for years that certain regions of the genome are associated with various diseases.
수년 동안 과학자들은 유전체의 특정 영역이 다양한 질병과 연관되어 있다는 사실을 알고 있었습니다.</v>
      </c>
      <c r="F171" s="16" t="s">
        <v>4939</v>
      </c>
      <c r="G171" s="16">
        <v>1</v>
      </c>
    </row>
    <row r="172" spans="1:7" ht="51">
      <c r="A172" s="15"/>
      <c r="B172" s="16">
        <v>171</v>
      </c>
      <c r="C172" s="16" t="s">
        <v>4940</v>
      </c>
      <c r="D172" s="16" t="s">
        <v>6662</v>
      </c>
      <c r="E172" s="16" t="str">
        <f ca="1">IFERROR(__xludf.DUMMYFUNCTION("AI(""c컬럼의 단어를 활용해서 적절한 예문을 만들어줘. 한글 해석은 줄띄움 후에 작성해줘"")"),"The ongoing conflicts in Europe and the Middle East are causing a significant shift in the global geopolitical power imbalance.
유럽과 중동에서 진행 중인 갈등은 전 세계적인 지정학적 권력 불균형에 상당한 변화를 일으키고 있습니다.")</f>
        <v>The ongoing conflicts in Europe and the Middle East are causing a significant shift in the global geopolitical power imbalance.
유럽과 중동에서 진행 중인 갈등은 전 세계적인 지정학적 권력 불균형에 상당한 변화를 일으키고 있습니다.</v>
      </c>
      <c r="F172" s="16" t="s">
        <v>4941</v>
      </c>
      <c r="G172" s="16">
        <v>1</v>
      </c>
    </row>
    <row r="173" spans="1:7" ht="25.5">
      <c r="A173" s="15"/>
      <c r="B173" s="16">
        <v>172</v>
      </c>
      <c r="C173" s="16" t="s">
        <v>4942</v>
      </c>
      <c r="D173" s="16" t="s">
        <v>6663</v>
      </c>
      <c r="E173" s="16" t="str">
        <f ca="1">IFERROR(__xludf.DUMMYFUNCTION("AI(""c컬럼의 단어를 활용해서 적절한 예문을 만들어줘. 한글 해석은 줄띄움 후에 작성해줘"")"),"The child's speech was mostly gibberish that only his parents could understand.
그 아이의 말은 대부분 부모님만 이해할 수 있는 횡설수설이었습니다.")</f>
        <v>The child's speech was mostly gibberish that only his parents could understand.
그 아이의 말은 대부분 부모님만 이해할 수 있는 횡설수설이었습니다.</v>
      </c>
      <c r="F173" s="16" t="s">
        <v>4943</v>
      </c>
      <c r="G173" s="16">
        <v>1</v>
      </c>
    </row>
    <row r="174" spans="1:7" ht="51">
      <c r="A174" s="15"/>
      <c r="B174" s="16">
        <v>173</v>
      </c>
      <c r="C174" s="16" t="s">
        <v>4944</v>
      </c>
      <c r="D174" s="16" t="s">
        <v>6664</v>
      </c>
      <c r="E174" s="16" t="str">
        <f ca="1">IFERROR(__xludf.DUMMYFUNCTION("AI(""c컬럼의 단어를 활용해서 적절한 예문을 만들어줘. 한글 해석은 줄띄움 후에 작성해줘"")"),"Even the best-planned projects can go awry if team members fail to communicate effectively or miss critical deadlines.
계획이 아무리 잘 짜여진 프로젝트라도 팀원들이 효과적으로 소통하지 못하거나 중요한 마감 기한을 놓치면 잘못될 수 있습니다.")</f>
        <v>Even the best-planned projects can go awry if team members fail to communicate effectively or miss critical deadlines.
계획이 아무리 잘 짜여진 프로젝트라도 팀원들이 효과적으로 소통하지 못하거나 중요한 마감 기한을 놓치면 잘못될 수 있습니다.</v>
      </c>
      <c r="F174" s="16" t="s">
        <v>4945</v>
      </c>
      <c r="G174" s="16">
        <v>1</v>
      </c>
    </row>
    <row r="175" spans="1:7" ht="38.25">
      <c r="A175" s="15"/>
      <c r="B175" s="16">
        <v>174</v>
      </c>
      <c r="C175" s="16" t="s">
        <v>4946</v>
      </c>
      <c r="D175" s="16" t="s">
        <v>6665</v>
      </c>
      <c r="E175" s="16" t="str">
        <f ca="1">IFERROR(__xludf.DUMMYFUNCTION("AI(""c컬럼의 단어를 활용해서 적절한 예문을 만들어줘. 한글 해석은 줄띄움 후에 작성해줘"")"),"The investigative journalist went to great lengths to uncover the truth behind the government corruption scandal.
그 조사 전문 기자는 정부의 부패 스캔들 뒤에 숨겨진 진실을 밝혀내기 위해 엄청난 노력을 했습니다.")</f>
        <v>The investigative journalist went to great lengths to uncover the truth behind the government corruption scandal.
그 조사 전문 기자는 정부의 부패 스캔들 뒤에 숨겨진 진실을 밝혀내기 위해 엄청난 노력을 했습니다.</v>
      </c>
      <c r="F175" s="16" t="s">
        <v>4947</v>
      </c>
      <c r="G175" s="16">
        <v>1</v>
      </c>
    </row>
    <row r="176" spans="1:7" ht="25.5">
      <c r="A176" s="15"/>
      <c r="B176" s="16">
        <v>175</v>
      </c>
      <c r="C176" s="16" t="s">
        <v>4948</v>
      </c>
      <c r="D176" s="16" t="s">
        <v>6666</v>
      </c>
      <c r="E176" s="16" t="str">
        <f ca="1">IFERROR(__xludf.DUMMYFUNCTION("AI(""c컬럼의 단어를 활용해서 적절한 예문을 만들어줘. 한글 해석은 줄띄움 후에 작성해줘"")"),"Graphene is considered a wonder material due to its exceptional strength and electrical conductivity.
그래핀은 뛰어난 강도와 전기 전도성 덕분에 기적의 신소재로 여겨집니다.")</f>
        <v>Graphene is considered a wonder material due to its exceptional strength and electrical conductivity.
그래핀은 뛰어난 강도와 전기 전도성 덕분에 기적의 신소재로 여겨집니다.</v>
      </c>
      <c r="F176" s="16" t="s">
        <v>4949</v>
      </c>
      <c r="G176" s="16">
        <v>1</v>
      </c>
    </row>
    <row r="177" spans="1:7" ht="25.5">
      <c r="A177" s="15"/>
      <c r="B177" s="16">
        <v>176</v>
      </c>
      <c r="C177" s="16" t="s">
        <v>4950</v>
      </c>
      <c r="D177" s="16" t="s">
        <v>6667</v>
      </c>
      <c r="E177" s="16" t="str">
        <f ca="1">IFERROR(__xludf.DUMMYFUNCTION("AI(""c컬럼의 단어를 활용해서 적절한 예문을 만들어줘. 한글 해석은 줄띄움 후에 작성해줘"")"),"It is a sign of true maturity to be able to forgive those who have wronged you and harbor no anger.
상대방을 용서하고 분노를 품지 않는 것은 진정한 성숙함의 표시입니다.")</f>
        <v>It is a sign of true maturity to be able to forgive those who have wronged you and harbor no anger.
상대방을 용서하고 분노를 품지 않는 것은 진정한 성숙함의 표시입니다.</v>
      </c>
      <c r="F177" s="16" t="s">
        <v>4951</v>
      </c>
      <c r="G177" s="16">
        <v>1</v>
      </c>
    </row>
    <row r="178" spans="1:7" ht="51">
      <c r="A178" s="15"/>
      <c r="B178" s="16">
        <v>177</v>
      </c>
      <c r="C178" s="16" t="s">
        <v>4952</v>
      </c>
      <c r="D178" s="16" t="s">
        <v>6668</v>
      </c>
      <c r="E178" s="16" t="str">
        <f ca="1">IFERROR(__xludf.DUMMYFUNCTION("AI(""c컬럼의 단어를 활용해서 적절한 예문을 만들어줘. 한글 해석은 줄띄움 후에 작성해줘"")"),"The government reconfirmed its hardline stance by announcing it would respond sternly to illegal acts during the protest.
정부는 시위 중 발생한 불법 행위에 대해 엄정하게 대응하겠다고 발표하며 강경한 입장을 재확인했습니다.")</f>
        <v>The government reconfirmed its hardline stance by announcing it would respond sternly to illegal acts during the protest.
정부는 시위 중 발생한 불법 행위에 대해 엄정하게 대응하겠다고 발표하며 강경한 입장을 재확인했습니다.</v>
      </c>
      <c r="F178" s="16" t="s">
        <v>4953</v>
      </c>
      <c r="G178" s="16">
        <v>1</v>
      </c>
    </row>
    <row r="179" spans="1:7" ht="25.5">
      <c r="A179" s="15"/>
      <c r="B179" s="16">
        <v>178</v>
      </c>
      <c r="C179" s="16" t="s">
        <v>4954</v>
      </c>
      <c r="D179" s="16" t="s">
        <v>6669</v>
      </c>
      <c r="E179" s="16" t="str">
        <f ca="1">IFERROR(__xludf.DUMMYFUNCTION("AI(""c컬럼의 단어를 활용해서 적절한 예문을 만들어줘. 한글 해석은 줄띄움 후에 작성해줘"")"),"The company is exploring new ways to harness technology to provide better service to its customers.
회사는 고객에게 더 나은 서비스를 제공하기 위해 기술을 활용하는 새로운 방법을 모색하고 있습니다.")</f>
        <v>The company is exploring new ways to harness technology to provide better service to its customers.
회사는 고객에게 더 나은 서비스를 제공하기 위해 기술을 활용하는 새로운 방법을 모색하고 있습니다.</v>
      </c>
      <c r="F179" s="16" t="s">
        <v>4955</v>
      </c>
      <c r="G179" s="16">
        <v>1</v>
      </c>
    </row>
    <row r="180" spans="1:7" ht="38.25">
      <c r="A180" s="15"/>
      <c r="B180" s="16">
        <v>179</v>
      </c>
      <c r="C180" s="16" t="s">
        <v>4956</v>
      </c>
      <c r="D180" s="16" t="s">
        <v>6670</v>
      </c>
      <c r="E180" s="16" t="str">
        <f ca="1">IFERROR(__xludf.DUMMYFUNCTION("AI(""c컬럼의 단어를 활용해서 적절한 예문을 만들어줘. 한글 해석은 줄띄움 후에 작성해줘"")"),"Strategic leaders have an eye to the future, anticipating challenges and opportunities to ensure long-term organizational success.
전략적 리더들은 조직의 장기적인 성공을 보장하기 위해 도전과 기회를 예상하며 미래를 염두에 둡니다.")</f>
        <v>Strategic leaders have an eye to the future, anticipating challenges and opportunities to ensure long-term organizational success.
전략적 리더들은 조직의 장기적인 성공을 보장하기 위해 도전과 기회를 예상하며 미래를 염두에 둡니다.</v>
      </c>
      <c r="F180" s="16" t="s">
        <v>4956</v>
      </c>
      <c r="G180" s="16">
        <v>1</v>
      </c>
    </row>
    <row r="181" spans="1:7" ht="51">
      <c r="A181" s="15"/>
      <c r="B181" s="16">
        <v>180</v>
      </c>
      <c r="C181" s="16" t="s">
        <v>4957</v>
      </c>
      <c r="D181" s="16" t="s">
        <v>6671</v>
      </c>
      <c r="E181" s="16" t="str">
        <f ca="1">IFERROR(__xludf.DUMMYFUNCTION("AI(""c컬럼의 단어를 활용해서 적절한 예문을 만들어줘. 한글 해석은 줄띄움 후에 작성해줘"")"),"Hereditary factors, such as specific gene variations inherited from parents, can significantly influence an individual's susceptibility to various diseases.
유전적 요인인 부모로부터 물려받은 특정 유전자 변이는 다양한 질병에 대한 개인의 취약성에 상당한 영향을 미칠 수 있습니다.")</f>
        <v>Hereditary factors, such as specific gene variations inherited from parents, can significantly influence an individual's susceptibility to various diseases.
유전적 요인인 부모로부터 물려받은 특정 유전자 변이는 다양한 질병에 대한 개인의 취약성에 상당한 영향을 미칠 수 있습니다.</v>
      </c>
      <c r="F181" s="16" t="s">
        <v>4958</v>
      </c>
      <c r="G181" s="16">
        <v>1</v>
      </c>
    </row>
    <row r="182" spans="1:7" ht="51">
      <c r="A182" s="15"/>
      <c r="B182" s="16">
        <v>181</v>
      </c>
      <c r="C182" s="16" t="s">
        <v>4959</v>
      </c>
      <c r="D182" s="16" t="s">
        <v>6672</v>
      </c>
      <c r="E182" s="16" t="str">
        <f ca="1">IFERROR(__xludf.DUMMYFUNCTION("AI(""c컬럼의 단어를 활용해서 적절한 예문을 만들어줘. 한글 해석은 줄띄움 후에 작성해줘"")"),"Hybridization is a technique used in plant breeding to create new plant varieties by crossing two genetically different parent plants.
식물 육종에서 교배(혼성화)는 유전적으로 서로 다른 두 부모 식물을 교차시켜 새로운 식물 품종을 만들어내는 기술입니다.")</f>
        <v>Hybridization is a technique used in plant breeding to create new plant varieties by crossing two genetically different parent plants.
식물 육종에서 교배(혼성화)는 유전적으로 서로 다른 두 부모 식물을 교차시켜 새로운 식물 품종을 만들어내는 기술입니다.</v>
      </c>
      <c r="F182" s="16" t="s">
        <v>4959</v>
      </c>
      <c r="G182" s="16">
        <v>1</v>
      </c>
    </row>
    <row r="183" spans="1:7" ht="51">
      <c r="A183" s="15"/>
      <c r="B183" s="16">
        <v>182</v>
      </c>
      <c r="C183" s="16" t="s">
        <v>4960</v>
      </c>
      <c r="D183" s="16" t="s">
        <v>6673</v>
      </c>
      <c r="E183" s="16" t="str">
        <f ca="1">IFERROR(__xludf.DUMMYFUNCTION("AI(""c컬럼의 단어를 활용해서 적절한 예문을 만들어줘. 한글 해석은 줄띄움 후에 작성해줘"")"),"Unlike most children who have difficulty sustaining their focus, those with ADHD can hyperfocus on activities of interest to them.
흥미로운 활동에 집중력을 유지하는 데 어려움을 겪는 대부분의 아이들과 달리, ADHD가 있는 아이들은 자신들이 관심을 갖는 활동에 과도하게 집중할 수 있습니다.")</f>
        <v>Unlike most children who have difficulty sustaining their focus, those with ADHD can hyperfocus on activities of interest to them.
흥미로운 활동에 집중력을 유지하는 데 어려움을 겪는 대부분의 아이들과 달리, ADHD가 있는 아이들은 자신들이 관심을 갖는 활동에 과도하게 집중할 수 있습니다.</v>
      </c>
      <c r="F183" s="16" t="s">
        <v>4961</v>
      </c>
      <c r="G183" s="16">
        <v>1</v>
      </c>
    </row>
    <row r="184" spans="1:7" ht="25.5">
      <c r="A184" s="15"/>
      <c r="B184" s="16">
        <v>183</v>
      </c>
      <c r="C184" s="16" t="s">
        <v>4962</v>
      </c>
      <c r="D184" s="16" t="s">
        <v>6674</v>
      </c>
      <c r="E184" s="16" t="str">
        <f ca="1">IFERROR(__xludf.DUMMYFUNCTION("AI(""c컬럼의 단어를 활용해서 적절한 예문을 만들어줘. 한글 해석은 줄띄움 후에 작성해줘"")"),"The results of the clinical trial did not bear out the researchers' initial hypothesis.
그 임상 시험 결과는 연구자들의 초기 가설을 입증하지 못했습니다.")</f>
        <v>The results of the clinical trial did not bear out the researchers' initial hypothesis.
그 임상 시험 결과는 연구자들의 초기 가설을 입증하지 못했습니다.</v>
      </c>
      <c r="F184" s="16" t="s">
        <v>4963</v>
      </c>
      <c r="G184" s="16">
        <v>1</v>
      </c>
    </row>
    <row r="185" spans="1:7" ht="51">
      <c r="A185" s="15"/>
      <c r="B185" s="16">
        <v>184</v>
      </c>
      <c r="C185" s="16" t="s">
        <v>4964</v>
      </c>
      <c r="D185" s="16" t="s">
        <v>6675</v>
      </c>
      <c r="E185" s="16" t="str">
        <f ca="1">IFERROR(__xludf.DUMMYFUNCTION("AI(""c컬럼의 단어를 활용해서 적절한 예문을 만들어줘. 한글 해석은 줄띄움 후에 작성해줘"")"),"Economists proposed a possible null hypothesis that reducing interest rates has no significant effect on economic growth.
경제학자들은 이자율 인하가 경제 성장에 유의미한 영향을 미치지 않는다는 가설로 제시된 영가설을 제안했습니다.")</f>
        <v>Economists proposed a possible null hypothesis that reducing interest rates has no significant effect on economic growth.
경제학자들은 이자율 인하가 경제 성장에 유의미한 영향을 미치지 않는다는 가설로 제시된 영가설을 제안했습니다.</v>
      </c>
      <c r="F185" s="16" t="s">
        <v>4965</v>
      </c>
      <c r="G185" s="16">
        <v>1</v>
      </c>
    </row>
    <row r="186" spans="1:7" ht="51">
      <c r="A186" s="15"/>
      <c r="B186" s="16">
        <v>185</v>
      </c>
      <c r="C186" s="16" t="s">
        <v>4966</v>
      </c>
      <c r="D186" s="16" t="s">
        <v>6676</v>
      </c>
      <c r="E186" s="16" t="str">
        <f ca="1">IFERROR(__xludf.DUMMYFUNCTION("AI(""c컬럼의 단어를 활용해서 적절한 예문을 만들어줘. 한글 해석은 줄띄움 후에 작성해줘"")"),"Throughout her illustrious career, the professor has published over 80 papers and received numerous awards for her groundbreaking research.
그 교수는 그녀의 저명한 경력 동안 80편 이상의 논문을 발표했으며, 획기적인 연구로 수많은 상을 받았습니다.")</f>
        <v>Throughout her illustrious career, the professor has published over 80 papers and received numerous awards for her groundbreaking research.
그 교수는 그녀의 저명한 경력 동안 80편 이상의 논문을 발표했으며, 획기적인 연구로 수많은 상을 받았습니다.</v>
      </c>
      <c r="F186" s="16" t="s">
        <v>4967</v>
      </c>
      <c r="G186" s="16">
        <v>1</v>
      </c>
    </row>
    <row r="187" spans="1:7" ht="38.25">
      <c r="A187" s="15"/>
      <c r="B187" s="16">
        <v>186</v>
      </c>
      <c r="C187" s="16" t="s">
        <v>4968</v>
      </c>
      <c r="D187" s="16" t="s">
        <v>6677</v>
      </c>
      <c r="E187" s="16" t="str">
        <f ca="1">IFERROR(__xludf.DUMMYFUNCTION("AI(""c컬럼의 단어를 활용해서 적절한 예문을 만들어줘. 한글 해석은 줄띄움 후에 작성해줘"")"),"The House of Representatives has the sole power to initiate impeachment proceedings against federal officials for misconduct.
미 하원은 연방 공직자의 비위 행위에 대해 탄핵 절차를 개시할 수 있는 독점적 권한을 가집니다.")</f>
        <v>The House of Representatives has the sole power to initiate impeachment proceedings against federal officials for misconduct.
미 하원은 연방 공직자의 비위 행위에 대해 탄핵 절차를 개시할 수 있는 독점적 권한을 가집니다.</v>
      </c>
      <c r="F187" s="16" t="s">
        <v>4969</v>
      </c>
      <c r="G187" s="16">
        <v>1</v>
      </c>
    </row>
    <row r="188" spans="1:7" ht="51">
      <c r="A188" s="15"/>
      <c r="B188" s="16">
        <v>187</v>
      </c>
      <c r="C188" s="16" t="s">
        <v>4970</v>
      </c>
      <c r="D188" s="16" t="s">
        <v>6678</v>
      </c>
      <c r="E188" s="16" t="str">
        <f ca="1">IFERROR(__xludf.DUMMYFUNCTION("AI(""c컬럼의 단어를 활용해서 적절한 예문을 만들어줘. 한글 해석은 줄띄움 후에 작성해줘"")"),"The slight increase in temperature was almost imperceptible to most people, but it had a significant impact on the local ecosystem.
온도의 약간의 상승은 대부분의 사람들에게 거의 감지하기 어려웠지만, 지역 생태계에는 중대한 영향을 미쳤습니다.")</f>
        <v>The slight increase in temperature was almost imperceptible to most people, but it had a significant impact on the local ecosystem.
온도의 약간의 상승은 대부분의 사람들에게 거의 감지하기 어려웠지만, 지역 생태계에는 중대한 영향을 미쳤습니다.</v>
      </c>
      <c r="F188" s="16" t="s">
        <v>4971</v>
      </c>
      <c r="G188" s="16">
        <v>1</v>
      </c>
    </row>
    <row r="189" spans="1:7" ht="51">
      <c r="A189" s="15"/>
      <c r="B189" s="16">
        <v>188</v>
      </c>
      <c r="C189" s="16" t="s">
        <v>4972</v>
      </c>
      <c r="D189" s="16" t="s">
        <v>6679</v>
      </c>
      <c r="E189" s="16" t="str">
        <f ca="1">IFERROR(__xludf.DUMMYFUNCTION("AI(""c컬럼의 단어를 활용해서 적절한 예문을 만들어줘. 한글 해석은 줄띄움 후에 작성해줘"")"),"The local government implemented new policies to provide financial assistance and housing support for impoverished families in the region.
지역 정부는 해당 지역의 빈곤 가정에게 재정 지원과 주거 지원을 제공하기 위한 새로운 정책을 시행했습니다.")</f>
        <v>The local government implemented new policies to provide financial assistance and housing support for impoverished families in the region.
지역 정부는 해당 지역의 빈곤 가정에게 재정 지원과 주거 지원을 제공하기 위한 새로운 정책을 시행했습니다.</v>
      </c>
      <c r="F189" s="16" t="s">
        <v>4973</v>
      </c>
      <c r="G189" s="16">
        <v>1</v>
      </c>
    </row>
    <row r="190" spans="1:7" ht="38.25">
      <c r="A190" s="15"/>
      <c r="B190" s="16">
        <v>189</v>
      </c>
      <c r="C190" s="16" t="s">
        <v>4974</v>
      </c>
      <c r="D190" s="16" t="s">
        <v>6680</v>
      </c>
      <c r="E190" s="16" t="str">
        <f ca="1">IFERROR(__xludf.DUMMYFUNCTION("AI(""c컬럼의 단어를 활용해서 적절한 예문을 만들어줘. 한글 해석은 줄띄움 후에 작성해줘"")"),"The politician faced a serious imputation of bribery and corruption after the investigation results were released.
그 정치인은 조사 결과가 발표된 후 뇌물 수수와 부패에 관한 심각한 혐의에 직면했습니다.")</f>
        <v>The politician faced a serious imputation of bribery and corruption after the investigation results were released.
그 정치인은 조사 결과가 발표된 후 뇌물 수수와 부패에 관한 심각한 혐의에 직면했습니다.</v>
      </c>
      <c r="F190" s="16" t="s">
        <v>4975</v>
      </c>
      <c r="G190" s="16">
        <v>1</v>
      </c>
    </row>
    <row r="191" spans="1:7" ht="51">
      <c r="A191" s="15"/>
      <c r="B191" s="16">
        <v>190</v>
      </c>
      <c r="C191" s="16" t="s">
        <v>4976</v>
      </c>
      <c r="D191" s="16" t="s">
        <v>6681</v>
      </c>
      <c r="E191" s="16" t="str">
        <f ca="1">IFERROR(__xludf.DUMMYFUNCTION("AI(""c컬럼의 단어를 활용해서 적절한 예문을 만들어줘. 한글 해석은 줄띄움 후에 작성해줘"")"),"Fashion trends go in and out of fashion over the decades as designers often recycle styles from the past.
패션 트렌드는 디자이너들이 종종 과거의 스타일을 재활용함에 따라 수십 년에 걸쳐 유행했다 사라졌다 합니다.")</f>
        <v>Fashion trends go in and out of fashion over the decades as designers often recycle styles from the past.
패션 트렌드는 디자이너들이 종종 과거의 스타일을 재활용함에 따라 수십 년에 걸쳐 유행했다 사라졌다 합니다.</v>
      </c>
      <c r="F191" s="16" t="s">
        <v>4977</v>
      </c>
      <c r="G191" s="16">
        <v>1</v>
      </c>
    </row>
    <row r="192" spans="1:7" ht="25.5">
      <c r="A192" s="15"/>
      <c r="B192" s="16">
        <v>191</v>
      </c>
      <c r="C192" s="16" t="s">
        <v>4978</v>
      </c>
      <c r="D192" s="16" t="s">
        <v>6682</v>
      </c>
      <c r="E192" s="16" t="str">
        <f ca="1">IFERROR(__xludf.DUMMYFUNCTION("AI(""c컬럼의 단어를 활용해서 적절한 예문을 만들어줘. 한글 해석은 줄띄움 후에 작성해줘"")"),"Many small businesses are in dire straits due to the economic recession and rising costs.
많은 소규모 기업들이 경기 침체와 비용 상승으로 인해 심각한 곤경에 처해 있습니다.")</f>
        <v>Many small businesses are in dire straits due to the economic recession and rising costs.
많은 소규모 기업들이 경기 침체와 비용 상승으로 인해 심각한 곤경에 처해 있습니다.</v>
      </c>
      <c r="F192" s="16" t="s">
        <v>4979</v>
      </c>
      <c r="G192" s="16">
        <v>1</v>
      </c>
    </row>
    <row r="193" spans="1:7" ht="25.5">
      <c r="A193" s="15"/>
      <c r="B193" s="16">
        <v>192</v>
      </c>
      <c r="C193" s="16" t="s">
        <v>4980</v>
      </c>
      <c r="D193" s="16" t="s">
        <v>6683</v>
      </c>
      <c r="E193" s="16" t="str">
        <f ca="1">IFERROR(__xludf.DUMMYFUNCTION("AI(""c컬럼의 단어를 활용해서 적절한 예문을 만들어줘. 한글 해석은 줄띄움 후에 작성해줘"")"),"Many professionals now prioritize work flexibility and better work-life balance in lieu of a higher salary.
많은 전문가들은 이제 높은 연봉 대신 업무 유연성과 더 나은 일과 삶의 균형을 우선시합니다.")</f>
        <v>Many professionals now prioritize work flexibility and better work-life balance in lieu of a higher salary.
많은 전문가들은 이제 높은 연봉 대신 업무 유연성과 더 나은 일과 삶의 균형을 우선시합니다.</v>
      </c>
      <c r="F193" s="16" t="s">
        <v>4981</v>
      </c>
      <c r="G193" s="16">
        <v>1</v>
      </c>
    </row>
    <row r="194" spans="1:7" ht="51">
      <c r="A194" s="15"/>
      <c r="B194" s="16">
        <v>193</v>
      </c>
      <c r="C194" s="16" t="s">
        <v>4982</v>
      </c>
      <c r="D194" s="16" t="s">
        <v>6684</v>
      </c>
      <c r="E194" s="16" t="str">
        <f ca="1">IFERROR(__xludf.DUMMYFUNCTION("AI(""c컬럼의 단어를 활용해서 적절한 예문을 만들어줘. 한글 해석은 줄띄움 후에 작성해줘"")"),"The study found a significantly higher incidence of influenza infection in the vaccinated group compared to the unvaccinated group.
그 연구는 백신 접종 그룹에서 미접종 그룹보다 인플루엔자 감염 발생률이 유의미하게 높다는 것을 발견했습니다.")</f>
        <v>The study found a significantly higher incidence of influenza infection in the vaccinated group compared to the unvaccinated group.
그 연구는 백신 접종 그룹에서 미접종 그룹보다 인플루엔자 감염 발생률이 유의미하게 높다는 것을 발견했습니다.</v>
      </c>
      <c r="F194" s="16" t="s">
        <v>4983</v>
      </c>
      <c r="G194" s="16">
        <v>3</v>
      </c>
    </row>
    <row r="195" spans="1:7" ht="25.5">
      <c r="A195" s="15"/>
      <c r="B195" s="16">
        <v>194</v>
      </c>
      <c r="C195" s="16" t="s">
        <v>4984</v>
      </c>
      <c r="D195" s="16" t="s">
        <v>6685</v>
      </c>
      <c r="E195" s="16" t="str">
        <f ca="1">IFERROR(__xludf.DUMMYFUNCTION("AI(""c컬럼의 단어를 활용해서 적절한 예문을 만들어줘. 한글 해석은 줄띄움 후에 작성해줘"")"),"At the centre of the painting is a slightly incongruous rainbow, at one end of which is a windmill.
그림 중앙에는 약간 어울리지 않는 무지개가 있고, 그 한쪽 끝에는 풍차가 있습니다.")</f>
        <v>At the centre of the painting is a slightly incongruous rainbow, at one end of which is a windmill.
그림 중앙에는 약간 어울리지 않는 무지개가 있고, 그 한쪽 끝에는 풍차가 있습니다.</v>
      </c>
      <c r="F195" s="16" t="s">
        <v>4985</v>
      </c>
      <c r="G195" s="16">
        <v>1</v>
      </c>
    </row>
    <row r="196" spans="1:7" ht="51">
      <c r="A196" s="15"/>
      <c r="B196" s="16">
        <v>195</v>
      </c>
      <c r="C196" s="16" t="s">
        <v>4986</v>
      </c>
      <c r="D196" s="16" t="s">
        <v>6686</v>
      </c>
      <c r="E196" s="16" t="str">
        <f ca="1">IFERROR(__xludf.DUMMYFUNCTION("AI(""c컬럼의 단어를 활용해서 적절한 예문을 만들어줘. 한글 해석은 줄띄움 후에 작성해줘"")"),"The outcome of the primary election surprised many, as the challenger managed to unseat the four-term incumbent by a significant margin.
경선 결과는 도전자(challenger)가 상당한 차이로 4선 현직 의원을 축출하는 데 성공하면서 많은 이들을 놀라게 했습니다.")</f>
        <v>The outcome of the primary election surprised many, as the challenger managed to unseat the four-term incumbent by a significant margin.
경선 결과는 도전자(challenger)가 상당한 차이로 4선 현직 의원을 축출하는 데 성공하면서 많은 이들을 놀라게 했습니다.</v>
      </c>
      <c r="F196" s="16" t="s">
        <v>4987</v>
      </c>
      <c r="G196" s="16">
        <v>1</v>
      </c>
    </row>
    <row r="197" spans="1:7" ht="38.25">
      <c r="A197" s="15"/>
      <c r="B197" s="16">
        <v>196</v>
      </c>
      <c r="C197" s="16" t="s">
        <v>4988</v>
      </c>
      <c r="D197" s="16" t="s">
        <v>6687</v>
      </c>
      <c r="E197" s="16" t="str">
        <f ca="1">IFERROR(__xludf.DUMMYFUNCTION("AI(""c컬럼의 단어를 활용해서 적절한 예문을 만들어줘. 한글 해석은 줄띄움 후에 작성해줘"")"),"Mobile apps have become an indispensable tool for managing daily schedules and increasing productivity.
모바일 앱은 일일 일정을 관리하고 생산성을 높이는 데 필수적인 도구가 되었습니다.")</f>
        <v>Mobile apps have become an indispensable tool for managing daily schedules and increasing productivity.
모바일 앱은 일일 일정을 관리하고 생산성을 높이는 데 필수적인 도구가 되었습니다.</v>
      </c>
      <c r="F197" s="16" t="s">
        <v>4989</v>
      </c>
      <c r="G197" s="16">
        <v>1</v>
      </c>
    </row>
    <row r="198" spans="1:7" ht="51">
      <c r="A198" s="15"/>
      <c r="B198" s="16">
        <v>197</v>
      </c>
      <c r="C198" s="16" t="s">
        <v>4990</v>
      </c>
      <c r="D198" s="16" t="s">
        <v>6688</v>
      </c>
      <c r="E198" s="16" t="str">
        <f ca="1">IFERROR(__xludf.DUMMYFUNCTION("AI(""c컬럼의 단어를 활용해서 적절한 예문을 만들어줘. 한글 해석은 줄띄움 후에 작성해줘"")"),"Effective pest control precautions must be in place to prevent rodent infestations causing lasting damage to farm buildings and equipment.
효과적인 해충 방제 예방책은 설치류의 대량 발생이 농장 건물과 장비에 지속적인 피해를 주는 것을 막기 위해 마련되어야 합니다.")</f>
        <v>Effective pest control precautions must be in place to prevent rodent infestations causing lasting damage to farm buildings and equipment.
효과적인 해충 방제 예방책은 설치류의 대량 발생이 농장 건물과 장비에 지속적인 피해를 주는 것을 막기 위해 마련되어야 합니다.</v>
      </c>
      <c r="F198" s="16" t="s">
        <v>4991</v>
      </c>
      <c r="G198" s="16">
        <v>1</v>
      </c>
    </row>
    <row r="199" spans="1:7" ht="38.25">
      <c r="A199" s="15"/>
      <c r="B199" s="16">
        <v>198</v>
      </c>
      <c r="C199" s="16" t="s">
        <v>4992</v>
      </c>
      <c r="D199" s="16" t="s">
        <v>6689</v>
      </c>
      <c r="E199" s="16" t="str">
        <f ca="1">IFERROR(__xludf.DUMMYFUNCTION("AI(""c컬럼의 단어를 활용해서 적절한 예문을 만들어줘. 한글 해석은 줄띄움 후에 작성해줘"")"),"A pair of winter storms potentially inflicted more than $3.17 billion in losses to the state's agricultural industry.
두 차례의 겨울 폭풍이 주 농업계에 31억 7천만 달러 이상의 손실을 입혔을 가능성이 있습니다.")</f>
        <v>A pair of winter storms potentially inflicted more than $3.17 billion in losses to the state's agricultural industry.
두 차례의 겨울 폭풍이 주 농업계에 31억 7천만 달러 이상의 손실을 입혔을 가능성이 있습니다.</v>
      </c>
      <c r="F199" s="16" t="s">
        <v>4993</v>
      </c>
      <c r="G199" s="16">
        <v>1</v>
      </c>
    </row>
    <row r="200" spans="1:7" ht="38.25">
      <c r="A200" s="15"/>
      <c r="B200" s="16">
        <v>199</v>
      </c>
      <c r="C200" s="16" t="s">
        <v>2829</v>
      </c>
      <c r="D200" s="16" t="s">
        <v>6690</v>
      </c>
      <c r="E200" s="16" t="str">
        <f ca="1">IFERROR(__xludf.DUMMYFUNCTION("AI(""c컬럼의 단어를 활용해서 적절한 예문을 만들어줘. 한글 해석은 줄띄움 후에 작성해줘"")"),"The marketing team developed an ingenious strategy to increase brand awareness among younger audiences.
마케팅 팀은 젊은 층 사이에서 브랜드 인지도를 높이기 위해 기발한 전략을 개발했습니다.")</f>
        <v>The marketing team developed an ingenious strategy to increase brand awareness among younger audiences.
마케팅 팀은 젊은 층 사이에서 브랜드 인지도를 높이기 위해 기발한 전략을 개발했습니다.</v>
      </c>
      <c r="F200" s="16" t="s">
        <v>4994</v>
      </c>
      <c r="G200" s="16">
        <v>1</v>
      </c>
    </row>
    <row r="201" spans="1:7" ht="25.5">
      <c r="A201" s="15"/>
      <c r="B201" s="16">
        <v>200</v>
      </c>
      <c r="C201" s="16" t="s">
        <v>4995</v>
      </c>
      <c r="D201" s="16" t="s">
        <v>6691</v>
      </c>
      <c r="E201" s="16" t="str">
        <f ca="1">IFERROR(__xludf.DUMMYFUNCTION("AI(""c컬럼의 단어를 활용해서 적절한 예문을 만들어줘. 한글 해석은 줄띄움 후에 작성해줘"")"),"Harmful chemicals can enter the body through the ingestion of contaminated food or water.
오염된 음식이나 물의 섭취를 통해 해로운 화학 물질이 체내로 들어올 수 있습니다.")</f>
        <v>Harmful chemicals can enter the body through the ingestion of contaminated food or water.
오염된 음식이나 물의 섭취를 통해 해로운 화학 물질이 체내로 들어올 수 있습니다.</v>
      </c>
      <c r="F201" s="16" t="s">
        <v>4996</v>
      </c>
      <c r="G201" s="16">
        <v>1</v>
      </c>
    </row>
    <row r="202" spans="1:7" ht="38.25">
      <c r="A202" s="15"/>
      <c r="B202" s="16">
        <v>201</v>
      </c>
      <c r="C202" s="16" t="s">
        <v>4997</v>
      </c>
      <c r="D202" s="16" t="s">
        <v>6692</v>
      </c>
      <c r="E202" s="16" t="str">
        <f ca="1">IFERROR(__xludf.DUMMYFUNCTION("AI(""c컬럼의 단어를 활용해서 적절한 예문을 만들어줘. 한글 해석은 줄띄움 후에 작성해줘"")"),"The COVID-19 pandemic caused a liquidity shortfall for many businesses, pushing them into a state of insolvency.
코로나19 팬데믹은 많은 기업에 유동성 부족을 초래하여 그들을 지불 불능 상태로 몰아넣었습니다.")</f>
        <v>The COVID-19 pandemic caused a liquidity shortfall for many businesses, pushing them into a state of insolvency.
코로나19 팬데믹은 많은 기업에 유동성 부족을 초래하여 그들을 지불 불능 상태로 몰아넣었습니다.</v>
      </c>
      <c r="F202" s="16" t="s">
        <v>4998</v>
      </c>
      <c r="G202" s="16">
        <v>1</v>
      </c>
    </row>
    <row r="203" spans="1:7" ht="51">
      <c r="A203" s="15"/>
      <c r="B203" s="16">
        <v>202</v>
      </c>
      <c r="C203" s="16" t="s">
        <v>4999</v>
      </c>
      <c r="D203" s="16" t="s">
        <v>6693</v>
      </c>
      <c r="E203" s="16" t="str">
        <f ca="1">IFERROR(__xludf.DUMMYFUNCTION("AI(""c컬럼의 단어를 활용해서 적절한 예문을 만들어줘. 한글 해석은 줄띄움 후에 작성해줘"")"),"The government aimed to institutionalize, streamline, and simplify procurement processes to promote the Make in India initiative in the defence sector.
정부는 국방 분야에서 '메이크 인 인디아' 구상을 촉진하기 위해 조달 절차를 제도화하고 효율화하며 단순화하는 것을 목표로 했습니다.")</f>
        <v>The government aimed to institutionalize, streamline, and simplify procurement processes to promote the Make in India initiative in the defence sector.
정부는 국방 분야에서 '메이크 인 인디아' 구상을 촉진하기 위해 조달 절차를 제도화하고 효율화하며 단순화하는 것을 목표로 했습니다.</v>
      </c>
      <c r="F203" s="16" t="s">
        <v>5000</v>
      </c>
      <c r="G203" s="16">
        <v>1</v>
      </c>
    </row>
    <row r="204" spans="1:7" ht="25.5">
      <c r="A204" s="15"/>
      <c r="B204" s="16">
        <v>203</v>
      </c>
      <c r="C204" s="16" t="s">
        <v>5001</v>
      </c>
      <c r="D204" s="16" t="s">
        <v>6694</v>
      </c>
      <c r="E204" s="16" t="str">
        <f ca="1">IFERROR(__xludf.DUMMYFUNCTION("AI(""c컬럼의 단어를 활용해서 적절한 예문을 만들어줘. 한글 해석은 줄띄움 후에 작성해줘"")"),"The government must either defeat the insurgency or face a full-scale civil war.
정부는 반란을 진압하거나 아니면 전면적인 내전에 직면해야만 합니다.")</f>
        <v>The government must either defeat the insurgency or face a full-scale civil war.
정부는 반란을 진압하거나 아니면 전면적인 내전에 직면해야만 합니다.</v>
      </c>
      <c r="F204" s="16" t="s">
        <v>5002</v>
      </c>
      <c r="G204" s="16">
        <v>1</v>
      </c>
    </row>
    <row r="205" spans="1:7" ht="38.25">
      <c r="A205" s="15"/>
      <c r="B205" s="16">
        <v>204</v>
      </c>
      <c r="C205" s="16" t="s">
        <v>5003</v>
      </c>
      <c r="D205" s="16" t="s">
        <v>6695</v>
      </c>
      <c r="E205" s="16" t="str">
        <f ca="1">IFERROR(__xludf.DUMMYFUNCTION("AI(""c컬럼의 단어를 활용해서 적절한 예문을 만들어줘. 한글 해석은 줄띄움 후에 작성해줘"")"),"The small startup faced what seemed like insurmountable financial challenges during the economic downturn.
그 소규모 스타트업은 경기 침체기 동안 극복하기 어려워 보이는 재정적 난관에 직면했습니다.")</f>
        <v>The small startup faced what seemed like insurmountable financial challenges during the economic downturn.
그 소규모 스타트업은 경기 침체기 동안 극복하기 어려워 보이는 재정적 난관에 직면했습니다.</v>
      </c>
      <c r="F205" s="16" t="s">
        <v>5004</v>
      </c>
      <c r="G205" s="16">
        <v>1</v>
      </c>
    </row>
    <row r="206" spans="1:7" ht="51">
      <c r="A206" s="15"/>
      <c r="B206" s="16">
        <v>205</v>
      </c>
      <c r="C206" s="16" t="s">
        <v>5005</v>
      </c>
      <c r="D206" s="16" t="s">
        <v>6696</v>
      </c>
      <c r="E206" s="16" t="str">
        <f ca="1">IFERROR(__xludf.DUMMYFUNCTION("AI(""c컬럼의 단어를 활용해서 적절한 예문을 만들어줘. 한글 해석은 줄띄움 후에 작성해줘"")"),"The machine was composed of several interlocking parts that worked together to ensure a smooth operation.
그 기계는 원활한 작동을 보장하기 위해 함께 작동하는 여러 개의 서로 맞물리는 부품들로 구성되어 있었습니다.")</f>
        <v>The machine was composed of several interlocking parts that worked together to ensure a smooth operation.
그 기계는 원활한 작동을 보장하기 위해 함께 작동하는 여러 개의 서로 맞물리는 부품들로 구성되어 있었습니다.</v>
      </c>
      <c r="F206" s="16" t="s">
        <v>5006</v>
      </c>
      <c r="G206" s="16">
        <v>1</v>
      </c>
    </row>
    <row r="207" spans="1:7" ht="51">
      <c r="A207" s="15"/>
      <c r="B207" s="16">
        <v>206</v>
      </c>
      <c r="C207" s="16" t="s">
        <v>5007</v>
      </c>
      <c r="D207" s="16" t="s">
        <v>6697</v>
      </c>
      <c r="E207" s="16" t="str">
        <f ca="1">IFERROR(__xludf.DUMMYFUNCTION("AI(""c컬럼의 단어를 활용해서 적절한 예문을 만들어줘. 한글 해석은 줄띄움 후에 작성해줘"")"),"The important question remains whether interventionist policies are more effective than market approaches in preventing economic crises.
중요한 질문은 경제 위기를 예방하는 데 있어 개입주의 정책이 시장 접근 방식보다 더 효과적인지 여부입니다.")</f>
        <v>The important question remains whether interventionist policies are more effective than market approaches in preventing economic crises.
중요한 질문은 경제 위기를 예방하는 데 있어 개입주의 정책이 시장 접근 방식보다 더 효과적인지 여부입니다.</v>
      </c>
      <c r="F207" s="16" t="s">
        <v>5008</v>
      </c>
      <c r="G207" s="16">
        <v>1</v>
      </c>
    </row>
    <row r="208" spans="1:7" ht="38.25">
      <c r="A208" s="15"/>
      <c r="B208" s="16">
        <v>207</v>
      </c>
      <c r="C208" s="16" t="s">
        <v>2892</v>
      </c>
      <c r="D208" s="16" t="s">
        <v>6698</v>
      </c>
      <c r="E208" s="16" t="str">
        <f ca="1">IFERROR(__xludf.DUMMYFUNCTION("AI(""c컬럼의 단어를 활용해서 적절한 예문을 만들어줘. 한글 해석은 줄띄움 후에 작성해줘"")"),"It takes years of dedicated practice to handle and adjust the intricate mechanisms found in luxury watches.
명품 시계에 들어가는 복잡한 장치를 다루고 조정하기 위해서는 수년간의 헌신적인 연습이 필요합니다.")</f>
        <v>It takes years of dedicated practice to handle and adjust the intricate mechanisms found in luxury watches.
명품 시계에 들어가는 복잡한 장치를 다루고 조정하기 위해서는 수년간의 헌신적인 연습이 필요합니다.</v>
      </c>
      <c r="F208" s="16" t="s">
        <v>5009</v>
      </c>
      <c r="G208" s="16">
        <v>1</v>
      </c>
    </row>
    <row r="209" spans="1:7" ht="25.5">
      <c r="A209" s="15"/>
      <c r="B209" s="16">
        <v>208</v>
      </c>
      <c r="C209" s="16" t="s">
        <v>5010</v>
      </c>
      <c r="D209" s="16" t="s">
        <v>6699</v>
      </c>
      <c r="E209" s="16" t="str">
        <f ca="1">IFERROR(__xludf.DUMMYFUNCTION("AI(""c컬럼의 단어를 활용해서 적절한 예문을 만들어줘. 한글 해석은 줄띄움 후에 작성해줘"")"),"When table salt dissolves in water, its crystal lattice is pulled apart into individual ions.
소금이 물에 녹을 때, 결정 격자는 개별 이온으로 분해됩니다.")</f>
        <v>When table salt dissolves in water, its crystal lattice is pulled apart into individual ions.
소금이 물에 녹을 때, 결정 격자는 개별 이온으로 분해됩니다.</v>
      </c>
      <c r="F209" s="16" t="s">
        <v>5011</v>
      </c>
      <c r="G209" s="16">
        <v>1</v>
      </c>
    </row>
    <row r="210" spans="1:7" ht="25.5">
      <c r="A210" s="15"/>
      <c r="B210" s="16">
        <v>209</v>
      </c>
      <c r="C210" s="16" t="s">
        <v>5012</v>
      </c>
      <c r="D210" s="16" t="s">
        <v>6700</v>
      </c>
      <c r="E210" s="16" t="str">
        <f ca="1">IFERROR(__xludf.DUMMYFUNCTION("AI(""c컬럼의 단어를 활용해서 적절한 예문을 만들어줘. 한글 해석은 줄띄움 후에 작성해줘"")"),"Once a contract has been signed, it becomes an irrevocable agreement that both parties must honor.
일단 계약이 체결되면, 그것은 양측 모두가 준수해야 하는 되돌릴 수 없는 합의가 됩니다.")</f>
        <v>Once a contract has been signed, it becomes an irrevocable agreement that both parties must honor.
일단 계약이 체결되면, 그것은 양측 모두가 준수해야 하는 되돌릴 수 없는 합의가 됩니다.</v>
      </c>
      <c r="F210" s="16" t="s">
        <v>5013</v>
      </c>
      <c r="G210" s="16">
        <v>1</v>
      </c>
    </row>
    <row r="211" spans="1:7" ht="38.25">
      <c r="A211" s="15"/>
      <c r="B211" s="16">
        <v>210</v>
      </c>
      <c r="C211" s="16" t="s">
        <v>5014</v>
      </c>
      <c r="D211" s="16" t="s">
        <v>6701</v>
      </c>
      <c r="E211" s="16" t="str">
        <f ca="1">IFERROR(__xludf.DUMMYFUNCTION("AI(""c컬럼의 단어를 활용해서 적절한 예문을 만들어줘. 한글 해석은 줄띄움 후에 작성해줘"")"),"The United States adopted an isolationist policy in the 1920s to focus on its own economic recovery and internal growth.
미국은 자체적인 경제 회복과 내부 성장에 집중하기 위해 1920년대에 고립주의 정책을 채택했습니다.")</f>
        <v>The United States adopted an isolationist policy in the 1920s to focus on its own economic recovery and internal growth.
미국은 자체적인 경제 회복과 내부 성장에 집중하기 위해 1920년대에 고립주의 정책을 채택했습니다.</v>
      </c>
      <c r="F211" s="16" t="s">
        <v>5015</v>
      </c>
      <c r="G211" s="16">
        <v>1</v>
      </c>
    </row>
    <row r="212" spans="1:7" ht="38.25">
      <c r="A212" s="15"/>
      <c r="B212" s="16">
        <v>211</v>
      </c>
      <c r="C212" s="16" t="s">
        <v>5016</v>
      </c>
      <c r="D212" s="16" t="s">
        <v>6702</v>
      </c>
      <c r="E212" s="16" t="str">
        <f ca="1">IFERROR(__xludf.DUMMYFUNCTION("AI(""c컬럼의 단어를 활용해서 적절한 예문을 만들어줘. 한글 해석은 줄띄움 후에 작성해줘"")"),"The sudden transition from a calm melody to a heavy metal riff can be jarring for many listeners.
조용한 멜로디에서 헤비메탈 리프로의 갑작스러운 전환은 많은 청취자에게 거슬릴 수 있습니다.")</f>
        <v>The sudden transition from a calm melody to a heavy metal riff can be jarring for many listeners.
조용한 멜로디에서 헤비메탈 리프로의 갑작스러운 전환은 많은 청취자에게 거슬릴 수 있습니다.</v>
      </c>
      <c r="F212" s="16" t="s">
        <v>5017</v>
      </c>
      <c r="G212" s="16">
        <v>1</v>
      </c>
    </row>
    <row r="213" spans="1:7" ht="38.25">
      <c r="A213" s="15"/>
      <c r="B213" s="16">
        <v>212</v>
      </c>
      <c r="C213" s="16" t="s">
        <v>5018</v>
      </c>
      <c r="D213" s="16" t="s">
        <v>6703</v>
      </c>
      <c r="E213" s="16" t="str">
        <f ca="1">IFERROR(__xludf.DUMMYFUNCTION("AI(""c컬럼의 단어를 활용해서 적절한 예문을 만들어줘. 한글 해석은 줄띄움 후에 작성해줘"")"),"The government implemented a series of stimulus packages to jump-start the economy after the long period of recession.
정부는 오랜 경기 침체 이후 경제를 활성화하기 위해 일련의 경기 부양책을 시행했습니다.")</f>
        <v>The government implemented a series of stimulus packages to jump-start the economy after the long period of recession.
정부는 오랜 경기 침체 이후 경제를 활성화하기 위해 일련의 경기 부양책을 시행했습니다.</v>
      </c>
      <c r="F213" s="16" t="s">
        <v>5019</v>
      </c>
      <c r="G213" s="16">
        <v>1</v>
      </c>
    </row>
    <row r="214" spans="1:7" ht="51">
      <c r="A214" s="15"/>
      <c r="B214" s="16">
        <v>213</v>
      </c>
      <c r="C214" s="16" t="s">
        <v>5020</v>
      </c>
      <c r="D214" s="16" t="s">
        <v>6704</v>
      </c>
      <c r="E214" s="16" t="str">
        <f ca="1">IFERROR(__xludf.DUMMYFUNCTION("AI(""c컬럼의 단어를 활용해서 적절한 예문을 만들어줘. 한글 해석은 줄띄움 후에 작성해줘"")"),"Two employees of the U.S. Army Corps of Engineers were arrested for their involvement in a bribery and kickback scheme related to a $780 million government contract.
미 육군 공병단 직원 두 명이 7억 8천만 달러 규모의 정부 계약과 관련된 뇌물 및 뒷돈 수수 계획에 연루된 혐의로 체포되었습니다.")</f>
        <v>Two employees of the U.S. Army Corps of Engineers were arrested for their involvement in a bribery and kickback scheme related to a $780 million government contract.
미 육군 공병단 직원 두 명이 7억 8천만 달러 규모의 정부 계약과 관련된 뇌물 및 뒷돈 수수 계획에 연루된 혐의로 체포되었습니다.</v>
      </c>
      <c r="F214" s="16" t="s">
        <v>5021</v>
      </c>
      <c r="G214" s="16">
        <v>1</v>
      </c>
    </row>
    <row r="215" spans="1:7" ht="38.25">
      <c r="A215" s="15"/>
      <c r="B215" s="16">
        <v>214</v>
      </c>
      <c r="C215" s="16" t="s">
        <v>2949</v>
      </c>
      <c r="D215" s="16" t="s">
        <v>6705</v>
      </c>
      <c r="E215" s="16" t="str">
        <f ca="1">IFERROR(__xludf.DUMMYFUNCTION("AI(""c컬럼의 단어를 활용해서 적절한 예문을 만들어줘. 한글 해석은 줄띄움 후에 작성해줘"")"),"The teacher's encouraging words helped kindle a newfound interest in science among the students.
그 선생님의 격려 섞인 말은 학생들 사이에서 과학에 대한 새로운 관심을 불러일으키는 데 도움이 되었습니다.")</f>
        <v>The teacher's encouraging words helped kindle a newfound interest in science among the students.
그 선생님의 격려 섞인 말은 학생들 사이에서 과학에 대한 새로운 관심을 불러일으키는 데 도움이 되었습니다.</v>
      </c>
      <c r="F215" s="16" t="s">
        <v>5022</v>
      </c>
      <c r="G215" s="16">
        <v>1</v>
      </c>
    </row>
    <row r="216" spans="1:7" ht="25.5">
      <c r="A216" s="15"/>
      <c r="B216" s="16">
        <v>215</v>
      </c>
      <c r="C216" s="16" t="s">
        <v>5023</v>
      </c>
      <c r="D216" s="16" t="s">
        <v>6706</v>
      </c>
      <c r="E216" s="16" t="str">
        <f ca="1">IFERROR(__xludf.DUMMYFUNCTION("AI(""c컬럼의 단어를 활용해서 적절한 예문을 만들어줘. 한글 해석은 줄띄움 후에 작성해줘"")"),"The legal document was laden with complex terminology and moral implications.
그 법률 문서는 복잡한 전문 용어와 도덕적 함의로 가득 차 있었습니다.")</f>
        <v>The legal document was laden with complex terminology and moral implications.
그 법률 문서는 복잡한 전문 용어와 도덕적 함의로 가득 차 있었습니다.</v>
      </c>
      <c r="F216" s="16" t="s">
        <v>5024</v>
      </c>
      <c r="G216" s="16">
        <v>1</v>
      </c>
    </row>
    <row r="217" spans="1:7" ht="38.25">
      <c r="A217" s="15"/>
      <c r="B217" s="16">
        <v>216</v>
      </c>
      <c r="C217" s="16" t="s">
        <v>5025</v>
      </c>
      <c r="D217" s="16" t="s">
        <v>6707</v>
      </c>
      <c r="E217" s="16" t="str">
        <f ca="1">IFERROR(__xludf.DUMMYFUNCTION("AI(""c컬럼의 단어를 활용해서 적절한 예문을 만들어줘. 한글 해석은 줄띄움 후에 작성해줘"")"),"The politician's controversial policy was lambasted by critics for being unrealistic and short-sighted.
그 정치인의 논란이 된 정책은 비현실적이고 근시안적이라는 이유로 비평가들로부터 혹평을 받았습니다.")</f>
        <v>The politician's controversial policy was lambasted by critics for being unrealistic and short-sighted.
그 정치인의 논란이 된 정책은 비현실적이고 근시안적이라는 이유로 비평가들로부터 혹평을 받았습니다.</v>
      </c>
      <c r="F217" s="16" t="s">
        <v>5026</v>
      </c>
      <c r="G217" s="16">
        <v>1</v>
      </c>
    </row>
    <row r="218" spans="1:7" ht="51">
      <c r="A218" s="15"/>
      <c r="B218" s="16">
        <v>217</v>
      </c>
      <c r="C218" s="16" t="s">
        <v>5027</v>
      </c>
      <c r="D218" s="16" t="s">
        <v>6708</v>
      </c>
      <c r="E218" s="16" t="str">
        <f ca="1">IFERROR(__xludf.DUMMYFUNCTION("AI(""c컬럼의 단어를 활용해서 적절한 예문을 만들어줘. 한글 해석은 줄띄움 후에 작성해줘"")"),"Many classical music pieces that we love today spent decades, even centuries, languishing unread in archives before being rediscovered.
고전 음악 중 우리가 오늘날 가장 사랑하는 많은 곡들은 재발견되기 전까지 수 세기 동안 기록 보관소에서 읽히지 않은 채 방치되어 있었습니다.")</f>
        <v>Many classical music pieces that we love today spent decades, even centuries, languishing unread in archives before being rediscovered.
고전 음악 중 우리가 오늘날 가장 사랑하는 많은 곡들은 재발견되기 전까지 수 세기 동안 기록 보관소에서 읽히지 않은 채 방치되어 있었습니다.</v>
      </c>
      <c r="F218" s="16" t="s">
        <v>5028</v>
      </c>
      <c r="G218" s="16">
        <v>1</v>
      </c>
    </row>
    <row r="219" spans="1:7" ht="51">
      <c r="A219" s="15"/>
      <c r="B219" s="16">
        <v>218</v>
      </c>
      <c r="C219" s="16" t="s">
        <v>5029</v>
      </c>
      <c r="D219" s="16" t="s">
        <v>6709</v>
      </c>
      <c r="E219" s="16" t="str">
        <f ca="1">IFERROR(__xludf.DUMMYFUNCTION("AI(""c컬럼의 단어를 활용해서 적절한 예문을 만들어줘. 한글 해석은 줄띄움 후에 작성해줘"")"),"Many companies have been criticized for their lax data security practices, which led to the exposure of sensitive customer information.
많은 기업들이 민감한 고객 정보 유출로 이어진 그들의 허술한 데이터 보안 관행으로 비판받아 왔습니다.")</f>
        <v>Many companies have been criticized for their lax data security practices, which led to the exposure of sensitive customer information.
많은 기업들이 민감한 고객 정보 유출로 이어진 그들의 허술한 데이터 보안 관행으로 비판받아 왔습니다.</v>
      </c>
      <c r="F219" s="16" t="s">
        <v>5030</v>
      </c>
      <c r="G219" s="16">
        <v>1</v>
      </c>
    </row>
    <row r="220" spans="1:7" ht="38.25">
      <c r="A220" s="15"/>
      <c r="B220" s="16">
        <v>219</v>
      </c>
      <c r="C220" s="16" t="s">
        <v>5031</v>
      </c>
      <c r="D220" s="16" t="s">
        <v>6710</v>
      </c>
      <c r="E220" s="16" t="str">
        <f ca="1">IFERROR(__xludf.DUMMYFUNCTION("AI(""c컬럼의 단어를 활용해서 적절한 예문을 만들어줘. 한글 해석은 줄띄움 후에 작성해줘"")"),"Section 1983 provides a legal recourse for individuals whose constitutional rights are violated by government actors.
정부 행위자에 의해 헌법적 권리를 침해당한 개인들에게 섹션 1983은 법적 구제 수단을 제공합니다.")</f>
        <v>Section 1983 provides a legal recourse for individuals whose constitutional rights are violated by government actors.
정부 행위자에 의해 헌법적 권리를 침해당한 개인들에게 섹션 1983은 법적 구제 수단을 제공합니다.</v>
      </c>
      <c r="F220" s="16" t="s">
        <v>5032</v>
      </c>
      <c r="G220" s="16">
        <v>1</v>
      </c>
    </row>
    <row r="221" spans="1:7" ht="25.5">
      <c r="A221" s="15"/>
      <c r="B221" s="16">
        <v>220</v>
      </c>
      <c r="C221" s="16" t="s">
        <v>5033</v>
      </c>
      <c r="D221" s="16" t="s">
        <v>6711</v>
      </c>
      <c r="E221" s="16" t="str">
        <f ca="1">IFERROR(__xludf.DUMMYFUNCTION("AI(""c컬럼의 단어를 활용해서 적절한 예문을 만들어줘. 한글 해석은 줄띄움 후에 작성해줘"")"),"The state's legislative assembly is currently debating a new bill focused on environmental protection.
주 입법 의회는 현재 환경 보호에 초점을 맞춘 새로운 법안을 논의하고 있습니다.")</f>
        <v>The state's legislative assembly is currently debating a new bill focused on environmental protection.
주 입법 의회는 현재 환경 보호에 초점을 맞춘 새로운 법안을 논의하고 있습니다.</v>
      </c>
      <c r="F221" s="16" t="s">
        <v>5034</v>
      </c>
      <c r="G221" s="16">
        <v>1</v>
      </c>
    </row>
    <row r="222" spans="1:7" ht="38.25">
      <c r="A222" s="15"/>
      <c r="B222" s="16">
        <v>221</v>
      </c>
      <c r="C222" s="16" t="s">
        <v>5035</v>
      </c>
      <c r="D222" s="16" t="s">
        <v>6712</v>
      </c>
      <c r="E222" s="16" t="str">
        <f ca="1">IFERROR(__xludf.DUMMYFUNCTION("AI(""c컬럼의 단어를 활용해서 적절한 예문을 만들어줘. 한글 해석은 줄띄움 후에 작성해줘"")"),"The scientific community must examine how researchers perceive the legitimate grounds for research policy.
과학계는 연구자들이 연구 정책에 대한 정당한 근거를 어떻게 인식하는지 조사해야 합니다.")</f>
        <v>The scientific community must examine how researchers perceive the legitimate grounds for research policy.
과학계는 연구자들이 연구 정책에 대한 정당한 근거를 어떻게 인식하는지 조사해야 합니다.</v>
      </c>
      <c r="F222" s="16" t="s">
        <v>5036</v>
      </c>
      <c r="G222" s="16">
        <v>1</v>
      </c>
    </row>
    <row r="223" spans="1:7" ht="38.25">
      <c r="A223" s="15"/>
      <c r="B223" s="16">
        <v>222</v>
      </c>
      <c r="C223" s="16" t="s">
        <v>5037</v>
      </c>
      <c r="D223" s="16" t="s">
        <v>6713</v>
      </c>
      <c r="E223" s="16" t="str">
        <f ca="1">IFERROR(__xludf.DUMMYFUNCTION("AI(""c컬럼의 단어를 활용해서 적절한 예문을 만들어줘. 한글 해석은 줄띄움 후에 작성해줘"")"),"The judge ruled that the company had a legitimate reason to terminate the contract based on the evidence provided.
판사는 제공된 증거를 바탕으로 그 회사가 계약을 해지할 정당한 사유가 있다고 판결했습니다.")</f>
        <v>The judge ruled that the company had a legitimate reason to terminate the contract based on the evidence provided.
판사는 제공된 증거를 바탕으로 그 회사가 계약을 해지할 정당한 사유가 있다고 판결했습니다.</v>
      </c>
      <c r="F223" s="16" t="s">
        <v>5038</v>
      </c>
      <c r="G223" s="16">
        <v>2</v>
      </c>
    </row>
    <row r="224" spans="1:7" ht="25.5">
      <c r="A224" s="15"/>
      <c r="B224" s="16">
        <v>223</v>
      </c>
      <c r="C224" s="16" t="s">
        <v>5039</v>
      </c>
      <c r="D224" s="16" t="s">
        <v>6714</v>
      </c>
      <c r="E224" s="16" t="str">
        <f ca="1">IFERROR(__xludf.DUMMYFUNCTION("AI(""c컬럼의 단어를 활용해서 적절한 예문을 만들어줘. 한글 해석은 줄띄움 후에 작성해줘"")"),"The composer worked closely with the writer to ensure the music perfectly complemented the libretto.
작곡가는 음악이 오페라 대본과 완벽하게 어우러지도록 작가와 긴밀히 협력했습니다.")</f>
        <v>The composer worked closely with the writer to ensure the music perfectly complemented the libretto.
작곡가는 음악이 오페라 대본과 완벽하게 어우러지도록 작가와 긴밀히 협력했습니다.</v>
      </c>
      <c r="F224" s="16" t="s">
        <v>5040</v>
      </c>
      <c r="G224" s="16">
        <v>1</v>
      </c>
    </row>
    <row r="225" spans="1:7" ht="51">
      <c r="A225" s="15"/>
      <c r="B225" s="16">
        <v>224</v>
      </c>
      <c r="C225" s="16" t="s">
        <v>5041</v>
      </c>
      <c r="D225" s="16" t="s">
        <v>6715</v>
      </c>
      <c r="E225" s="16" t="str">
        <f ca="1">IFERROR(__xludf.DUMMYFUNCTION("AI(""c컬럼의 단어를 활용해서 적절한 예문을 만들어줘. 한글 해석은 줄띄움 후에 작성해줘"")"),"Scientists are working on a roadmap for the technology needed to make long-term human life-supporting environments on the Moon possible.
과학자들은 달에서 장기적으로 인간의 생명 유지가 가능한 환경을 만드는 데 필요한 기술 로드맵을 작성하고 있습니다.")</f>
        <v>Scientists are working on a roadmap for the technology needed to make long-term human life-supporting environments on the Moon possible.
과학자들은 달에서 장기적으로 인간의 생명 유지가 가능한 환경을 만드는 데 필요한 기술 로드맵을 작성하고 있습니다.</v>
      </c>
      <c r="F225" s="16" t="s">
        <v>5042</v>
      </c>
      <c r="G225" s="16">
        <v>1</v>
      </c>
    </row>
    <row r="226" spans="1:7" ht="25.5">
      <c r="A226" s="15"/>
      <c r="B226" s="16">
        <v>225</v>
      </c>
      <c r="C226" s="16" t="s">
        <v>5043</v>
      </c>
      <c r="D226" s="16" t="s">
        <v>6716</v>
      </c>
      <c r="E226" s="16" t="str">
        <f ca="1">IFERROR(__xludf.DUMMYFUNCTION("AI(""c컬럼의 단어를 활용해서 적절한 예문을 만들어줘. 한글 해석은 줄띄움 후에 작성해줘"")"),"I've had a noise complaint lodged about me and a friend when we were staying at a hotel.
호텔에 머물 때 친구와 저에 대해 소음 불만이 제기된 적이 있습니다.")</f>
        <v>I've had a noise complaint lodged about me and a friend when we were staying at a hotel.
호텔에 머물 때 친구와 저에 대해 소음 불만이 제기된 적이 있습니다.</v>
      </c>
      <c r="F226" s="16" t="s">
        <v>5044</v>
      </c>
      <c r="G226" s="16">
        <v>1</v>
      </c>
    </row>
    <row r="227" spans="1:7" ht="38.25">
      <c r="A227" s="15"/>
      <c r="B227" s="16">
        <v>226</v>
      </c>
      <c r="C227" s="16" t="s">
        <v>5045</v>
      </c>
      <c r="D227" s="16" t="s">
        <v>6717</v>
      </c>
      <c r="E227" s="16" t="str">
        <f ca="1">IFERROR(__xludf.DUMMYFUNCTION("AI(""c컬럼의 단어를 활용해서 적절한 예문을 만들어줘. 한글 해석은 줄띄움 후에 작성해줘"")"),"A healthy diet and regular exercise are critical lifestyle factors that can significantly increase your longevity.
건강한 식단과 규칙적인 운동은 당신의 장수를 상당히 늘릴 수 있는 중요한 생활 방식 요인입니다.")</f>
        <v>A healthy diet and regular exercise are critical lifestyle factors that can significantly increase your longevity.
건강한 식단과 규칙적인 운동은 당신의 장수를 상당히 늘릴 수 있는 중요한 생활 방식 요인입니다.</v>
      </c>
      <c r="F227" s="16" t="s">
        <v>5046</v>
      </c>
      <c r="G227" s="16">
        <v>1</v>
      </c>
    </row>
    <row r="228" spans="1:7" ht="25.5">
      <c r="A228" s="15"/>
      <c r="B228" s="16">
        <v>227</v>
      </c>
      <c r="C228" s="16" t="s">
        <v>5047</v>
      </c>
      <c r="D228" s="16" t="s">
        <v>6718</v>
      </c>
      <c r="E228" s="16" t="str">
        <f ca="1">IFERROR(__xludf.DUMMYFUNCTION("AI(""c컬럼의 단어를 활용해서 적절한 예문을 만들어줘. 한글 해석은 줄띄움 후에 작성해줘"")"),"Dark storm clouds gathered on the horizon, as if a great disaster were about to loom.
지평선에 먹구름이 모여들었는데, 마치 거대한 재앙이 위협적으로 어렴풋이 나타날 것만 같았습니다.")</f>
        <v>Dark storm clouds gathered on the horizon, as if a great disaster were about to loom.
지평선에 먹구름이 모여들었는데, 마치 거대한 재앙이 위협적으로 어렴풋이 나타날 것만 같았습니다.</v>
      </c>
      <c r="F228" s="16" t="s">
        <v>5048</v>
      </c>
      <c r="G228" s="16">
        <v>1</v>
      </c>
    </row>
    <row r="229" spans="1:7" ht="51">
      <c r="A229" s="15"/>
      <c r="B229" s="16">
        <v>228</v>
      </c>
      <c r="C229" s="16" t="s">
        <v>5049</v>
      </c>
      <c r="D229" s="16" t="s">
        <v>6719</v>
      </c>
      <c r="E229" s="16" t="str">
        <f ca="1">IFERROR(__xludf.DUMMYFUNCTION("AI(""c컬럼의 단어를 활용해서 적절한 예문을 만들어줘. 한글 해석은 줄띄움 후에 작성해줘"")"),"The media magnate expanded his business empire by acquiring several major television networks and newspapers.
그 미디어 거물은 여러 주요 텔레비전 방송국과 신문사를 인수함으로써 자신의 사업 제국을 확장했습니다.")</f>
        <v>The media magnate expanded his business empire by acquiring several major television networks and newspapers.
그 미디어 거물은 여러 주요 텔레비전 방송국과 신문사를 인수함으로써 자신의 사업 제국을 확장했습니다.</v>
      </c>
      <c r="F229" s="16" t="s">
        <v>5050</v>
      </c>
      <c r="G229" s="16">
        <v>1</v>
      </c>
    </row>
    <row r="230" spans="1:7" ht="38.25">
      <c r="A230" s="15"/>
      <c r="B230" s="16">
        <v>229</v>
      </c>
      <c r="C230" s="16" t="s">
        <v>5051</v>
      </c>
      <c r="D230" s="16" t="s">
        <v>6720</v>
      </c>
      <c r="E230" s="16" t="str">
        <f ca="1">IFERROR(__xludf.DUMMYFUNCTION("AI(""c컬럼의 단어를 활용해서 적절한 예문을 만들어줘. 한글 해석은 줄띄움 후에 작성해줘"")"),"A fever is often a physical manifestation of the body's natural defense mechanism against an underlying infection.
열은 종종 기저 감염에 대한 신체의 자연적인 방어 기제의 신체적 징후입니다.")</f>
        <v>A fever is often a physical manifestation of the body's natural defense mechanism against an underlying infection.
열은 종종 기저 감염에 대한 신체의 자연적인 방어 기제의 신체적 징후입니다.</v>
      </c>
      <c r="F230" s="16" t="s">
        <v>5052</v>
      </c>
      <c r="G230" s="16">
        <v>1</v>
      </c>
    </row>
    <row r="231" spans="1:7" ht="38.25">
      <c r="A231" s="15"/>
      <c r="B231" s="16">
        <v>230</v>
      </c>
      <c r="C231" s="16" t="s">
        <v>5053</v>
      </c>
      <c r="D231" s="16" t="s">
        <v>6721</v>
      </c>
      <c r="E231" s="16" t="str">
        <f ca="1">IFERROR(__xludf.DUMMYFUNCTION("AI(""c컬럼의 단어를 활용해서 적절한 예문을 만들어줘. 한글 해석은 줄띄움 후에 작성해줘"")"),"Agricultural mechanization serves as a potent catalyst for enhancing environmental efficiency within the agricultural sector.
농업 기계화는 농업 부문 내 환경 효율성을 높이는 강력한 촉매제 역할을 합니다.")</f>
        <v>Agricultural mechanization serves as a potent catalyst for enhancing environmental efficiency within the agricultural sector.
농업 기계화는 농업 부문 내 환경 효율성을 높이는 강력한 촉매제 역할을 합니다.</v>
      </c>
      <c r="F231" s="16" t="s">
        <v>5054</v>
      </c>
      <c r="G231" s="16">
        <v>1</v>
      </c>
    </row>
    <row r="232" spans="1:7" ht="51">
      <c r="A232" s="15"/>
      <c r="B232" s="16">
        <v>231</v>
      </c>
      <c r="C232" s="16" t="s">
        <v>5055</v>
      </c>
      <c r="D232" s="16" t="s">
        <v>6722</v>
      </c>
      <c r="E232" s="16" t="str">
        <f ca="1">IFERROR(__xludf.DUMMYFUNCTION("AI(""c컬럼의 단어를 활용해서 적절한 예문을 만들어줘. 한글 해석은 줄띄움 후에 작성해줘"")"),"The company is launching a media blitz to promote its new smartphone, with advertisements appearing on television, social media, and billboards simultaneously.
그 회사는 TV, 소셜 미디어, 빌보드에 동시에 광고를 게재하며 신형 스마트폰을 홍보하기 위해 대대적인 언론 캠페인을 시작하고 있습니다.")</f>
        <v>The company is launching a media blitz to promote its new smartphone, with advertisements appearing on television, social media, and billboards simultaneously.
그 회사는 TV, 소셜 미디어, 빌보드에 동시에 광고를 게재하며 신형 스마트폰을 홍보하기 위해 대대적인 언론 캠페인을 시작하고 있습니다.</v>
      </c>
      <c r="F232" s="16" t="s">
        <v>5056</v>
      </c>
      <c r="G232" s="16">
        <v>1</v>
      </c>
    </row>
    <row r="233" spans="1:7" ht="25.5">
      <c r="A233" s="15"/>
      <c r="B233" s="16">
        <v>232</v>
      </c>
      <c r="C233" s="16" t="s">
        <v>5057</v>
      </c>
      <c r="D233" s="16" t="s">
        <v>6723</v>
      </c>
      <c r="E233" s="16" t="str">
        <f ca="1">IFERROR(__xludf.DUMMYFUNCTION("AI(""c컬럼의 단어를 활용해서 적절한 예문을 만들어줘. 한글 해석은 줄띄움 후에 작성해줘"")"),"The actor's meteoric rise to fame surprised everyone in the industry.
그 배우의 눈부신 성공은 업계의 모든 사람을 놀라게 했습니다.")</f>
        <v>The actor's meteoric rise to fame surprised everyone in the industry.
그 배우의 눈부신 성공은 업계의 모든 사람을 놀라게 했습니다.</v>
      </c>
      <c r="F233" s="16" t="s">
        <v>5058</v>
      </c>
      <c r="G233" s="16">
        <v>1</v>
      </c>
    </row>
    <row r="234" spans="1:7" ht="38.25">
      <c r="A234" s="15"/>
      <c r="B234" s="16">
        <v>233</v>
      </c>
      <c r="C234" s="16" t="s">
        <v>5059</v>
      </c>
      <c r="D234" s="16" t="s">
        <v>6724</v>
      </c>
      <c r="E234" s="16" t="str">
        <f ca="1">IFERROR(__xludf.DUMMYFUNCTION("AI(""c컬럼의 단어를 활용해서 적절한 예문을 만들어줘. 한글 해석은 줄띄움 후에 작성해줘"")"),"Gut bacteria are essential microbes that help break down complex carbohydrates your body cannot digest on its own.
장내 세균은 인체가 스스로 소화할 수 없는 복잡한 탄수화물을 분해하도록 돕는 필수적인 미생물입니다.")</f>
        <v>Gut bacteria are essential microbes that help break down complex carbohydrates your body cannot digest on its own.
장내 세균은 인체가 스스로 소화할 수 없는 복잡한 탄수화물을 분해하도록 돕는 필수적인 미생물입니다.</v>
      </c>
      <c r="F234" s="16" t="s">
        <v>5060</v>
      </c>
      <c r="G234" s="16">
        <v>1</v>
      </c>
    </row>
    <row r="235" spans="1:7" ht="51">
      <c r="A235" s="15"/>
      <c r="B235" s="16">
        <v>234</v>
      </c>
      <c r="C235" s="16" t="s">
        <v>5061</v>
      </c>
      <c r="D235" s="16" t="s">
        <v>6725</v>
      </c>
      <c r="E235" s="16" t="str">
        <f ca="1">IFERROR(__xludf.DUMMYFUNCTION("AI(""c컬럼의 단어를 활용해서 적절한 예문을 만들어줘. 한글 해석은 줄띄움 후에 작성해줘"")"),"Scientists are studying the properties of the earth's molten core to better understand the movement of tectonic plates.
과학자들은 지각판의 움직임을 더 잘 이해하기 위해 지구의 녹은 핵이 가진 특성들을 연구하고 있습니다.")</f>
        <v>Scientists are studying the properties of the earth's molten core to better understand the movement of tectonic plates.
과학자들은 지각판의 움직임을 더 잘 이해하기 위해 지구의 녹은 핵이 가진 특성들을 연구하고 있습니다.</v>
      </c>
      <c r="F235" s="16" t="s">
        <v>5062</v>
      </c>
      <c r="G235" s="16">
        <v>1</v>
      </c>
    </row>
    <row r="236" spans="1:7" ht="38.25">
      <c r="A236" s="15"/>
      <c r="B236" s="16">
        <v>235</v>
      </c>
      <c r="C236" s="16" t="s">
        <v>5063</v>
      </c>
      <c r="D236" s="16" t="s">
        <v>6726</v>
      </c>
      <c r="E236" s="16" t="str">
        <f ca="1">IFERROR(__xludf.DUMMYFUNCTION("AI(""c컬럼의 단어를 활용해서 적절한 예문을 만들어줘. 한글 해석은 줄띄움 후에 작성해줘"")"),"The convection currents within the earth's molten mantle are the primary driving force behind the movement of tectonic plates.
지구의 녹은 맨틀 내에서 발생하는 대류 현상은 지각판 이동의 주요 원동력입니다.")</f>
        <v>The convection currents within the earth's molten mantle are the primary driving force behind the movement of tectonic plates.
지구의 녹은 맨틀 내에서 발생하는 대류 현상은 지각판 이동의 주요 원동력입니다.</v>
      </c>
      <c r="F236" s="16" t="s">
        <v>5063</v>
      </c>
      <c r="G236" s="16">
        <v>1</v>
      </c>
    </row>
    <row r="237" spans="1:7" ht="25.5">
      <c r="A237" s="15"/>
      <c r="B237" s="16">
        <v>236</v>
      </c>
      <c r="C237" s="16" t="s">
        <v>5064</v>
      </c>
      <c r="D237" s="16" t="s">
        <v>6727</v>
      </c>
      <c r="E237" s="16" t="str">
        <f ca="1">IFERROR(__xludf.DUMMYFUNCTION("AI(""c컬럼의 단어를 활용해서 적절한 예문을 만들어줘. 한글 해석은 줄띄움 후에 작성해줘"")"),"The teenager gave monosyllabic answers to his parents' questions about his day at school.
그 십 대 소년은 학교에서의 하루에 대한 부모님의 질문에 단음절의 대답만 했습니다.")</f>
        <v>The teenager gave monosyllabic answers to his parents' questions about his day at school.
그 십 대 소년은 학교에서의 하루에 대한 부모님의 질문에 단음절의 대답만 했습니다.</v>
      </c>
      <c r="F237" s="16" t="s">
        <v>5065</v>
      </c>
      <c r="G237" s="16">
        <v>1</v>
      </c>
    </row>
    <row r="238" spans="1:7" ht="51">
      <c r="A238" s="15"/>
      <c r="B238" s="16">
        <v>237</v>
      </c>
      <c r="C238" s="16" t="s">
        <v>5066</v>
      </c>
      <c r="D238" s="16" t="s">
        <v>6728</v>
      </c>
      <c r="E238" s="16" t="str">
        <f ca="1">IFERROR(__xludf.DUMMYFUNCTION("AI(""c컬럼의 단어를 활용해서 적절한 예문을 만들어줘. 한글 해석은 줄띄움 후에 작성해줘"")"),"Climate change is increasing the risk of mosquito-borne diseases by expanding the habitats where mosquitoes can thrive.
기후 변화는 모기가 번식할 수 있는 서식지를 확장함으로써 모기가 옮기는 질병의 위험을 증가시키고 있습니다.")</f>
        <v>Climate change is increasing the risk of mosquito-borne diseases by expanding the habitats where mosquitoes can thrive.
기후 변화는 모기가 번식할 수 있는 서식지를 확장함으로써 모기가 옮기는 질병의 위험을 증가시키고 있습니다.</v>
      </c>
      <c r="F238" s="16" t="s">
        <v>5067</v>
      </c>
      <c r="G238" s="16">
        <v>1</v>
      </c>
    </row>
    <row r="239" spans="1:7" ht="38.25">
      <c r="A239" s="15"/>
      <c r="B239" s="16">
        <v>238</v>
      </c>
      <c r="C239" s="16" t="s">
        <v>5068</v>
      </c>
      <c r="D239" s="16" t="s">
        <v>6729</v>
      </c>
      <c r="E239" s="16" t="str">
        <f ca="1">IFERROR(__xludf.DUMMYFUNCTION("AI(""c컬럼의 단어를 활용해서 적절한 예문을 만들어줘. 한글 해석은 줄띄움 후에 작성해줘"")"),"A mycorrhiza is a symbiotic association between a fungus and the roots of a vascular plant that plays a crucial role in plant nutrition.
균근은 식물 영양에 중요한 역할을 하는 곰팡이와 관다발 식물 뿌리 사이의 공생 관계입니다.")</f>
        <v>A mycorrhiza is a symbiotic association between a fungus and the roots of a vascular plant that plays a crucial role in plant nutrition.
균근은 식물 영양에 중요한 역할을 하는 곰팡이와 관다발 식물 뿌리 사이의 공생 관계입니다.</v>
      </c>
      <c r="F239" s="16" t="s">
        <v>5069</v>
      </c>
      <c r="G239" s="16">
        <v>1</v>
      </c>
    </row>
    <row r="240" spans="1:7" ht="38.25">
      <c r="A240" s="15"/>
      <c r="B240" s="16">
        <v>239</v>
      </c>
      <c r="C240" s="16" t="s">
        <v>5070</v>
      </c>
      <c r="D240" s="16" t="s">
        <v>6730</v>
      </c>
      <c r="E240" s="16" t="str">
        <f ca="1">IFERROR(__xludf.DUMMYFUNCTION("AI(""c컬럼의 단어를 활용해서 적절한 예문을 만들어줘. 한글 해석은 줄띄움 후에 작성해줘"")"),"Applicants who successfully complete the naturalization process are granted the rights and responsibilities of naturalized citizenship.
귀화 절차를 성공적으로 마친 신청자에게는 귀화 시민권의 권리와 책임이 부여됩니다.")</f>
        <v>Applicants who successfully complete the naturalization process are granted the rights and responsibilities of naturalized citizenship.
귀화 절차를 성공적으로 마친 신청자에게는 귀화 시민권의 권리와 책임이 부여됩니다.</v>
      </c>
      <c r="F240" s="16" t="s">
        <v>5070</v>
      </c>
      <c r="G240" s="16">
        <v>1</v>
      </c>
    </row>
    <row r="241" spans="1:7" ht="25.5">
      <c r="A241" s="15"/>
      <c r="B241" s="16">
        <v>240</v>
      </c>
      <c r="C241" s="16" t="s">
        <v>5071</v>
      </c>
      <c r="D241" s="16" t="s">
        <v>6731</v>
      </c>
      <c r="E241" s="16" t="str">
        <f ca="1">IFERROR(__xludf.DUMMYFUNCTION("AI(""c컬럼의 단어를 활용해서 적절한 예문을 만들어줘. 한글 해석은 줄띄움 후에 작성해줘"")"),"The impact of the new policy on the company's overall budget was negligible.
그 새로운 정책이 회사의 전체 예산에 미치는 영향은 미미했습니다.")</f>
        <v>The impact of the new policy on the company's overall budget was negligible.
그 새로운 정책이 회사의 전체 예산에 미치는 영향은 미미했습니다.</v>
      </c>
      <c r="F241" s="16" t="s">
        <v>5072</v>
      </c>
      <c r="G241" s="16">
        <v>1</v>
      </c>
    </row>
    <row r="242" spans="1:7" ht="51">
      <c r="A242" s="15"/>
      <c r="B242" s="16">
        <v>241</v>
      </c>
      <c r="C242" s="16" t="s">
        <v>5073</v>
      </c>
      <c r="D242" s="16" t="s">
        <v>6732</v>
      </c>
      <c r="E242" s="16" t="str">
        <f ca="1">IFERROR(__xludf.DUMMYFUNCTION("AI(""c컬럼의 단어를 활용해서 적절한 예문을 만들어줘. 한글 해석은 줄띄움 후에 작성해줘"")"),"Recent studies have shown that the widespread use of neonicotinoid insecticides can have detrimental effects on bee populations and overall biodiversity.
최근 연구에 따르면 네오니코티노이드계 살충제의 광범위한 사용이 벌 개체 수와 전반적인 생물 다양성에 해로운 영향을 미칠 수 있음이 밝혀졌습니다.")</f>
        <v>Recent studies have shown that the widespread use of neonicotinoid insecticides can have detrimental effects on bee populations and overall biodiversity.
최근 연구에 따르면 네오니코티노이드계 살충제의 광범위한 사용이 벌 개체 수와 전반적인 생물 다양성에 해로운 영향을 미칠 수 있음이 밝혀졌습니다.</v>
      </c>
      <c r="F242" s="16" t="s">
        <v>5074</v>
      </c>
      <c r="G242" s="16">
        <v>1</v>
      </c>
    </row>
    <row r="243" spans="1:7" ht="51">
      <c r="A243" s="15"/>
      <c r="B243" s="16">
        <v>242</v>
      </c>
      <c r="C243" s="16" t="s">
        <v>5075</v>
      </c>
      <c r="D243" s="16" t="s">
        <v>6733</v>
      </c>
      <c r="E243" s="16" t="str">
        <f ca="1">IFERROR(__xludf.DUMMYFUNCTION("AI(""c컬럼의 단어를 활용해서 적절한 예문을 만들어줘. 한글 해석은 줄띄움 후에 작성해줘"")"),"Chronic stress can severely damage neural pathways in the brain, making it harder for older adults to regain cognitive functions.
만성적인 스트레스는 뇌의 신경 경로를 심각하게 손상시켜 고령자가 인지 기능을 회복하는 것을 더 어렵게 만들 수 있습니다.")</f>
        <v>Chronic stress can severely damage neural pathways in the brain, making it harder for older adults to regain cognitive functions.
만성적인 스트레스는 뇌의 신경 경로를 심각하게 손상시켜 고령자가 인지 기능을 회복하는 것을 더 어렵게 만들 수 있습니다.</v>
      </c>
      <c r="F243" s="16" t="s">
        <v>5076</v>
      </c>
      <c r="G243" s="16">
        <v>1</v>
      </c>
    </row>
    <row r="244" spans="1:7" ht="38.25">
      <c r="A244" s="15"/>
      <c r="B244" s="16">
        <v>243</v>
      </c>
      <c r="C244" s="16" t="s">
        <v>5077</v>
      </c>
      <c r="D244" s="16" t="s">
        <v>6734</v>
      </c>
      <c r="E244" s="16" t="str">
        <f ca="1">IFERROR(__xludf.DUMMYFUNCTION("AI(""c컬럼의 단어를 활용해서 적절한 예문을 만들어줘. 한글 해석은 줄띄움 후에 작성해줘"")"),"Physical exercise has been shown to enhance cognitive function by promoting adult hippocampal neurogenesis.
규칙적인 운동은 성인 해마의 신경생성을 촉진함으로써 인지 기능을 향상시키는 것으로 나타났습니다.")</f>
        <v>Physical exercise has been shown to enhance cognitive function by promoting adult hippocampal neurogenesis.
규칙적인 운동은 성인 해마의 신경생성을 촉진함으로써 인지 기능을 향상시키는 것으로 나타났습니다.</v>
      </c>
      <c r="F244" s="16" t="s">
        <v>5078</v>
      </c>
      <c r="G244" s="16">
        <v>1</v>
      </c>
    </row>
    <row r="245" spans="1:7" ht="51">
      <c r="A245" s="15"/>
      <c r="B245" s="16">
        <v>244</v>
      </c>
      <c r="C245" s="16" t="s">
        <v>5079</v>
      </c>
      <c r="D245" s="16" t="s">
        <v>6735</v>
      </c>
      <c r="E245" s="16" t="str">
        <f ca="1">IFERROR(__xludf.DUMMYFUNCTION("AI(""c컬럼의 단어를 활용해서 적절한 예문을 만들어줘. 한글 해석은 줄띄움 후에 작성해줘"")"),"The implementation of stricter standards for vehicles has successfully lowered nitrogen dioxide emissions and improved air quality in urban areas.
차량에 대한 더 엄격한 기준의 이행은 도시 지역의 이산화질소 배출을 성공적으로 낮추고 공기 질을 개선했습니다.")</f>
        <v>The implementation of stricter standards for vehicles has successfully lowered nitrogen dioxide emissions and improved air quality in urban areas.
차량에 대한 더 엄격한 기준의 이행은 도시 지역의 이산화질소 배출을 성공적으로 낮추고 공기 질을 개선했습니다.</v>
      </c>
      <c r="F245" s="16" t="s">
        <v>5079</v>
      </c>
      <c r="G245" s="16">
        <v>1</v>
      </c>
    </row>
    <row r="246" spans="1:7" ht="51">
      <c r="A246" s="15"/>
      <c r="B246" s="16">
        <v>245</v>
      </c>
      <c r="C246" s="16" t="s">
        <v>5080</v>
      </c>
      <c r="D246" s="16" t="s">
        <v>6736</v>
      </c>
      <c r="E246" s="16" t="str">
        <f ca="1">IFERROR(__xludf.DUMMYFUNCTION("AI(""c컬럼의 단어를 활용해서 적절한 예문을 만들어줘. 한글 해석은 줄띄움 후에 작성해줘"")"),"Non-compliance with environmental regulations can lead to more than just fines—it can result in hidden costs like operational shutdowns and reputation damage.
환경 규제 불이행은 단순히 벌금에 그치지 않고, 운영 중단이나 평판 훼손과 같은 숨겨진 비용을 초래할 수 있습니다.")</f>
        <v>Non-compliance with environmental regulations can lead to more than just fines—it can result in hidden costs like operational shutdowns and reputation damage.
환경 규제 불이행은 단순히 벌금에 그치지 않고, 운영 중단이나 평판 훼손과 같은 숨겨진 비용을 초래할 수 있습니다.</v>
      </c>
      <c r="F246" s="16" t="s">
        <v>5081</v>
      </c>
      <c r="G246" s="16">
        <v>1</v>
      </c>
    </row>
    <row r="247" spans="1:7" ht="51">
      <c r="A247" s="15"/>
      <c r="B247" s="16">
        <v>246</v>
      </c>
      <c r="C247" s="16" t="s">
        <v>5082</v>
      </c>
      <c r="D247" s="16" t="s">
        <v>6737</v>
      </c>
      <c r="E247" s="16" t="str">
        <f ca="1">IFERROR(__xludf.DUMMYFUNCTION("AI(""c컬럼의 단어를 활용해서 적절한 예문을 만들어줘. 한글 해석은 줄띄움 후에 작성해줘"")"),"Nongovernmental organizations (NGOs) often collaborate with government agencies to provide essential health-care services to various communities.
비정부기구(NGO)는 다양한 지역사회에 필수적인 의료 서비스를 제공하기 위해 정부 기관과 자주 협력합니다.")</f>
        <v>Nongovernmental organizations (NGOs) often collaborate with government agencies to provide essential health-care services to various communities.
비정부기구(NGO)는 다양한 지역사회에 필수적인 의료 서비스를 제공하기 위해 정부 기관과 자주 협력합니다.</v>
      </c>
      <c r="F247" s="16" t="s">
        <v>5082</v>
      </c>
      <c r="G247" s="16">
        <v>1</v>
      </c>
    </row>
    <row r="248" spans="1:7" ht="51">
      <c r="A248" s="15"/>
      <c r="B248" s="16">
        <v>247</v>
      </c>
      <c r="C248" s="16" t="s">
        <v>5083</v>
      </c>
      <c r="D248" s="16" t="s">
        <v>6738</v>
      </c>
      <c r="E248" s="16" t="str">
        <f ca="1">IFERROR(__xludf.DUMMYFUNCTION("AI(""c컬럼의 단어를 활용해서 적절한 예문을 만들어줘. 한글 해석은 줄띄움 후에 작성해줘"")"),"Developing a more nuanced position on complex international issues allows diplomats to find common ground between conflicting nations.
복잡한 국제 문제에 대해 더 미묘하고 세분화된 입장을 발전시키는 것은 외교관들이 갈등하는 국가들 사이에서 공통분모를 찾는 것을 가능하게 합니다.")</f>
        <v>Developing a more nuanced position on complex international issues allows diplomats to find common ground between conflicting nations.
복잡한 국제 문제에 대해 더 미묘하고 세분화된 입장을 발전시키는 것은 외교관들이 갈등하는 국가들 사이에서 공통분모를 찾는 것을 가능하게 합니다.</v>
      </c>
      <c r="F248" s="16" t="s">
        <v>5084</v>
      </c>
      <c r="G248" s="16">
        <v>1</v>
      </c>
    </row>
    <row r="249" spans="1:7" ht="25.5">
      <c r="A249" s="15"/>
      <c r="B249" s="16">
        <v>248</v>
      </c>
      <c r="C249" s="16" t="s">
        <v>5085</v>
      </c>
      <c r="D249" s="16" t="s">
        <v>6739</v>
      </c>
      <c r="E249" s="16" t="str">
        <f ca="1">IFERROR(__xludf.DUMMYFUNCTION("AI(""c컬럼의 단어를 활용해서 적절한 예문을 만들어줘. 한글 해석은 줄띄움 후에 작성해줘"")"),"The Heimlich maneuver was performed on your patient as an attempt to clear her obstruction.
하임리히법은 환자의 막힘 증상을 해결하기 위한 시도로 수행되었습니다.")</f>
        <v>The Heimlich maneuver was performed on your patient as an attempt to clear her obstruction.
하임리히법은 환자의 막힘 증상을 해결하기 위한 시도로 수행되었습니다.</v>
      </c>
      <c r="F249" s="16" t="s">
        <v>5086</v>
      </c>
      <c r="G249" s="16">
        <v>1</v>
      </c>
    </row>
    <row r="250" spans="1:7" ht="25.5">
      <c r="A250" s="15"/>
      <c r="B250" s="16">
        <v>249</v>
      </c>
      <c r="C250" s="16" t="s">
        <v>534</v>
      </c>
      <c r="D250" s="16" t="s">
        <v>6740</v>
      </c>
      <c r="E250" s="16" t="str">
        <f ca="1">IFERROR(__xludf.DUMMYFUNCTION("AI(""c컬럼의 단어를 활용해서 적절한 예문을 만들어줘. 한글 해석은 줄띄움 후에 작성해줘"")"),"The project failed because of a critical omission in the final report.
최종 보고서의 중대한 누락 때문에 그 프로젝트는 실패했습니다.")</f>
        <v>The project failed because of a critical omission in the final report.
최종 보고서의 중대한 누락 때문에 그 프로젝트는 실패했습니다.</v>
      </c>
      <c r="F250" s="16" t="s">
        <v>5087</v>
      </c>
      <c r="G250" s="16">
        <v>1</v>
      </c>
    </row>
    <row r="251" spans="1:7" ht="51">
      <c r="A251" s="15"/>
      <c r="B251" s="16">
        <v>250</v>
      </c>
      <c r="C251" s="16" t="s">
        <v>5088</v>
      </c>
      <c r="D251" s="16" t="s">
        <v>6741</v>
      </c>
      <c r="E251" s="16" t="str">
        <f ca="1">IFERROR(__xludf.DUMMYFUNCTION("AI(""c컬럼의 단어를 활용해서 적절한 예문을 만들어줘. 한글 해석은 줄띄움 후에 작성해줘"")"),"Early detection of diseases like cancer or dementia is critical because it can improve patient outcomes and delay the onset of severe symptoms.
암이나 치매와 같은 질병의 조기 발견은 환자의 치료 결과를 개선하고 심각한 증상의 시작을 늦출 수 있기 때문에 매우 중요합니다.")</f>
        <v>Early detection of diseases like cancer or dementia is critical because it can improve patient outcomes and delay the onset of severe symptoms.
암이나 치매와 같은 질병의 조기 발견은 환자의 치료 결과를 개선하고 심각한 증상의 시작을 늦출 수 있기 때문에 매우 중요합니다.</v>
      </c>
      <c r="F251" s="16" t="s">
        <v>5089</v>
      </c>
      <c r="G251" s="16">
        <v>1</v>
      </c>
    </row>
    <row r="252" spans="1:7" ht="25.5">
      <c r="A252" s="15"/>
      <c r="B252" s="16">
        <v>251</v>
      </c>
      <c r="C252" s="16" t="s">
        <v>5090</v>
      </c>
      <c r="D252" s="16" t="s">
        <v>6742</v>
      </c>
      <c r="E252" s="16" t="str">
        <f ca="1">IFERROR(__xludf.DUMMYFUNCTION("AI(""c컬럼의 단어를 활용해서 적절한 예문을 만들어줘. 한글 해석은 줄띄움 후에 작성해줘"")"),"The Roman onslaught on the city walls forced the defenders to retreat to the inner fortress.
로마군의 성벽에 대한 맹공격은 방어군이 내부 요새로 퇴각하게 만들었습니다.")</f>
        <v>The Roman onslaught on the city walls forced the defenders to retreat to the inner fortress.
로마군의 성벽에 대한 맹공격은 방어군이 내부 요새로 퇴각하게 만들었습니다.</v>
      </c>
      <c r="F252" s="16" t="s">
        <v>5091</v>
      </c>
      <c r="G252" s="16">
        <v>1</v>
      </c>
    </row>
    <row r="253" spans="1:7" ht="25.5">
      <c r="A253" s="15"/>
      <c r="B253" s="16">
        <v>252</v>
      </c>
      <c r="C253" s="16" t="s">
        <v>5092</v>
      </c>
      <c r="D253" s="16" t="s">
        <v>6743</v>
      </c>
      <c r="E253" s="16" t="str">
        <f ca="1">IFERROR(__xludf.DUMMYFUNCTION("AI(""c컬럼의 단어를 활용해서 적절한 예문을 만들어줘. 한글 해석은 줄띄움 후에 작성해줘"")"),"The board of directors decided to oust the CEO following a series of financial scandals.
이사내회는 일련의 재정 스캔들 이후 최고경영자를 축출하기로 결정했습니다.")</f>
        <v>The board of directors decided to oust the CEO following a series of financial scandals.
이사내회는 일련의 재정 스캔들 이후 최고경영자를 축출하기로 결정했습니다.</v>
      </c>
      <c r="F253" s="16" t="s">
        <v>5093</v>
      </c>
      <c r="G253" s="16">
        <v>1</v>
      </c>
    </row>
    <row r="254" spans="1:7" ht="51">
      <c r="A254" s="15"/>
      <c r="B254" s="16">
        <v>253</v>
      </c>
      <c r="C254" s="16" t="s">
        <v>5094</v>
      </c>
      <c r="D254" s="16" t="s">
        <v>6744</v>
      </c>
      <c r="E254" s="16" t="str">
        <f ca="1">IFERROR(__xludf.DUMMYFUNCTION("AI(""c컬럼의 단어를 활용해서 적절한 예문을 만들어줘. 한글 해석은 줄띄움 후에 작성해줘"")"),"As companies strive to improve their bottom line and achieve their goals, they are increasingly adopting outcome-focused approaches to drive their success.
기업들이 실적을 개선하고 목표를 달성하기 위해 노력함에 따라, 성공을 견인하기 위한 성과 중심의 접근 방식을 점점 더 많이 채택하고 있습니다.")</f>
        <v>As companies strive to improve their bottom line and achieve their goals, they are increasingly adopting outcome-focused approaches to drive their success.
기업들이 실적을 개선하고 목표를 달성하기 위해 노력함에 따라, 성공을 견인하기 위한 성과 중심의 접근 방식을 점점 더 많이 채택하고 있습니다.</v>
      </c>
      <c r="F254" s="16" t="s">
        <v>5095</v>
      </c>
      <c r="G254" s="16">
        <v>1</v>
      </c>
    </row>
    <row r="255" spans="1:7" ht="51">
      <c r="A255" s="15"/>
      <c r="B255" s="16">
        <v>254</v>
      </c>
      <c r="C255" s="16" t="s">
        <v>5096</v>
      </c>
      <c r="D255" s="16" t="s">
        <v>6745</v>
      </c>
      <c r="E255" s="16" t="str">
        <f ca="1">IFERROR(__xludf.DUMMYFUNCTION("AI(""c컬럼의 단어를 활용해서 적절한 예문을 만들어줘. 한글 해석은 줄띄움 후에 작성해줘"")"),"The rapid population growth in cities leads to significant challenges such as overpopulation, strained infrastructure, and increased social inequalities.
도시의 급격한 인구 증가는 인구 과잉, 긴장된 기반 시설, 그리고 사회적 불평등 심화와 같은 중대한 문제들로 이어집니다.")</f>
        <v>The rapid population growth in cities leads to significant challenges such as overpopulation, strained infrastructure, and increased social inequalities.
도시의 급격한 인구 증가는 인구 과잉, 긴장된 기반 시설, 그리고 사회적 불평등 심화와 같은 중대한 문제들로 이어집니다.</v>
      </c>
      <c r="F255" s="16" t="s">
        <v>5097</v>
      </c>
      <c r="G255" s="16">
        <v>1</v>
      </c>
    </row>
    <row r="256" spans="1:7" ht="38.25">
      <c r="A256" s="15"/>
      <c r="B256" s="16">
        <v>255</v>
      </c>
      <c r="C256" s="16" t="s">
        <v>5098</v>
      </c>
      <c r="D256" s="16" t="s">
        <v>6746</v>
      </c>
      <c r="E256" s="16" t="str">
        <f ca="1">IFERROR(__xludf.DUMMYFUNCTION("AI(""c컬럼의 단어를 활용해서 적절한 예문을 만들어줘. 한글 해석은 줄띄움 후에 작성해줘"")"),"The transition from ancient paganism to Christianity was a complex process that spanned several centuries.
고대 이교 신앙에서 기독교로의 전환은 수세기에 걸친 복잡한 과정이었습니다.")</f>
        <v>The transition from ancient paganism to Christianity was a complex process that spanned several centuries.
고대 이교 신앙에서 기독교로의 전환은 수세기에 걸친 복잡한 과정이었습니다.</v>
      </c>
      <c r="F256" s="16" t="s">
        <v>5099</v>
      </c>
      <c r="G256" s="16">
        <v>1</v>
      </c>
    </row>
    <row r="257" spans="1:7" ht="25.5">
      <c r="A257" s="15"/>
      <c r="B257" s="16">
        <v>256</v>
      </c>
      <c r="C257" s="16" t="s">
        <v>5100</v>
      </c>
      <c r="D257" s="16" t="s">
        <v>6747</v>
      </c>
      <c r="E257" s="16" t="str">
        <f ca="1">IFERROR(__xludf.DUMMYFUNCTION("AI(""c컬럼의 단어를 활용해서 적절한 예문을 만들어줘. 한글 해석은 줄띄움 후에 작성해줘"")"),"The paleontologist's lifelong dream was to unearth a new species of dinosaur in the vast Sahara Desert.
그 고생물학자의 평생의 꿈은 광활한 사하라 사막에서 새로운 종의 공룡을 발굴하는 것이었습니다.")</f>
        <v>The paleontologist's lifelong dream was to unearth a new species of dinosaur in the vast Sahara Desert.
그 고생물학자의 평생의 꿈은 광활한 사하라 사막에서 새로운 종의 공룡을 발굴하는 것이었습니다.</v>
      </c>
      <c r="F257" s="16" t="s">
        <v>5100</v>
      </c>
      <c r="G257" s="16">
        <v>1</v>
      </c>
    </row>
    <row r="258" spans="1:7" ht="51">
      <c r="A258" s="15"/>
      <c r="B258" s="16">
        <v>257</v>
      </c>
      <c r="C258" s="16" t="s">
        <v>5101</v>
      </c>
      <c r="D258" s="16" t="s">
        <v>6748</v>
      </c>
      <c r="E258" s="16" t="str">
        <f ca="1">IFERROR(__xludf.DUMMYFUNCTION("AI(""c컬럼의 단어를 활용해서 적절한 예문을 만들어줘. 한글 해석은 줄띄움 후에 작성해줘"")"),"Paleontology is the scientific study of the history of life on Earth through the examination of fossilized remains of plants, animals, and other organisms.
고생물학은 식물, 동물, 그리고 다른 유기체들의 화석화된 유해에 대한 조사를 통해 지구 생명체의 역사를 과학적으로 연구하는 학문입니다.")</f>
        <v>Paleontology is the scientific study of the history of life on Earth through the examination of fossilized remains of plants, animals, and other organisms.
고생물학은 식물, 동물, 그리고 다른 유기체들의 화석화된 유해에 대한 조사를 통해 지구 생명체의 역사를 과학적으로 연구하는 학문입니다.</v>
      </c>
      <c r="F258" s="16" t="s">
        <v>5102</v>
      </c>
      <c r="G258" s="16">
        <v>1</v>
      </c>
    </row>
    <row r="259" spans="1:7" ht="38.25">
      <c r="A259" s="15"/>
      <c r="B259" s="16">
        <v>258</v>
      </c>
      <c r="C259" s="16" t="s">
        <v>5103</v>
      </c>
      <c r="D259" s="16" t="s">
        <v>6749</v>
      </c>
      <c r="E259" s="16" t="str">
        <f ca="1">IFERROR(__xludf.DUMMYFUNCTION("AI(""c컬럼의 단어를 활용해서 적절한 예문을 만들어줘. 한글 해석은 줄띄움 후에 작성해줘"")"),"The project manager needs to set clear parameters for the team to ensure the project stays on schedule and within budget.
프로젝트 매니저는 프로젝트가 일정과 예산 내에서 유지되도록 팀에 명확한 기준을 설정해야 합니다.")</f>
        <v>The project manager needs to set clear parameters for the team to ensure the project stays on schedule and within budget.
프로젝트 매니저는 프로젝트가 일정과 예산 내에서 유지되도록 팀에 명확한 기준을 설정해야 합니다.</v>
      </c>
      <c r="F259" s="16" t="s">
        <v>5104</v>
      </c>
      <c r="G259" s="16">
        <v>1</v>
      </c>
    </row>
    <row r="260" spans="1:7" ht="25.5">
      <c r="A260" s="15"/>
      <c r="B260" s="16">
        <v>259</v>
      </c>
      <c r="C260" s="16" t="s">
        <v>5105</v>
      </c>
      <c r="D260" s="16" t="s">
        <v>6750</v>
      </c>
      <c r="E260" s="16" t="str">
        <f ca="1">IFERROR(__xludf.DUMMYFUNCTION("AI(""c컬럼의 단어를 활용해서 적절한 예문을 만들어줘. 한글 해석은 줄띄움 후에 작성해줘"")"),"Many parasites have complex life cycles that involve multiple hosts to complete their development.
많은 기생충은 발달을 완료하기 위해 여러 숙주를 포함하는 복잡한 생애 주기를 가지고 있습니다.")</f>
        <v>Many parasites have complex life cycles that involve multiple hosts to complete their development.
많은 기생충은 발달을 완료하기 위해 여러 숙주를 포함하는 복잡한 생애 주기를 가지고 있습니다.</v>
      </c>
      <c r="F260" s="16" t="s">
        <v>5106</v>
      </c>
      <c r="G260" s="16">
        <v>1</v>
      </c>
    </row>
    <row r="261" spans="1:7" ht="25.5">
      <c r="A261" s="15"/>
      <c r="B261" s="16">
        <v>260</v>
      </c>
      <c r="C261" s="16" t="s">
        <v>5107</v>
      </c>
      <c r="D261" s="16" t="s">
        <v>6751</v>
      </c>
      <c r="E261" s="16" t="str">
        <f ca="1">IFERROR(__xludf.DUMMYFUNCTION("AI(""c컬럼의 단어를 활용해서 적절한 예문을 만들어줘. 한글 해석은 줄띄움 후에 작성해줘"")"),"The church organized a community dinner to welcome all new parishioners to the neighborhood.
그 교회는 모든 새로운 교구민들을 동네로 환영하기 위해 지역 사회 저녁 식사를 조직했습니다.")</f>
        <v>The church organized a community dinner to welcome all new parishioners to the neighborhood.
그 교회는 모든 새로운 교구민들을 동네로 환영하기 위해 지역 사회 저녁 식사를 조직했습니다.</v>
      </c>
      <c r="F261" s="16" t="s">
        <v>5108</v>
      </c>
      <c r="G261" s="16">
        <v>1</v>
      </c>
    </row>
    <row r="262" spans="1:7" ht="38.25">
      <c r="A262" s="15"/>
      <c r="B262" s="16">
        <v>261</v>
      </c>
      <c r="C262" s="16" t="s">
        <v>5109</v>
      </c>
      <c r="D262" s="16" t="s">
        <v>6752</v>
      </c>
      <c r="E262" s="16" t="str">
        <f ca="1">IFERROR(__xludf.DUMMYFUNCTION("AI(""c컬럼의 단어를 활용해서 적절한 예문을 만들어줘. 한글 해석은 줄띄움 후에 작성해줘"")"),"The government is implementing new policies to promote pay parity between men and women in the workplace.
정부는 직장 내 남녀 간의 임금 동등성을 증진하기 위해 새로운 정책을 시행하고 있습니다.")</f>
        <v>The government is implementing new policies to promote pay parity between men and women in the workplace.
정부는 직장 내 남녀 간의 임금 동등성을 증진하기 위해 새로운 정책을 시행하고 있습니다.</v>
      </c>
      <c r="F262" s="16" t="s">
        <v>5110</v>
      </c>
      <c r="G262" s="16">
        <v>1</v>
      </c>
    </row>
    <row r="263" spans="1:7" ht="38.25">
      <c r="A263" s="15"/>
      <c r="B263" s="16">
        <v>262</v>
      </c>
      <c r="C263" s="16" t="s">
        <v>5111</v>
      </c>
      <c r="D263" s="16" t="s">
        <v>6753</v>
      </c>
      <c r="E263" s="16" t="str">
        <f ca="1">IFERROR(__xludf.DUMMYFUNCTION("AI(""c컬럼의 단어를 활용해서 적절한 예문을 만들어줘. 한글 해석은 줄띄움 후에 작성해줘"")"),"The rise of objective journalism was a response to the highly partisan and yellow press origins of the early 20th century.
객관적 저널리즘의 부상은 20세기 초 매우 당파적이고 황색 언론적인 기원에 대한 대응이었습니다.")</f>
        <v>The rise of objective journalism was a response to the highly partisan and yellow press origins of the early 20th century.
객관적 저널리즘의 부상은 20세기 초 매우 당파적이고 황색 언론적인 기원에 대한 대응이었습니다.</v>
      </c>
      <c r="F263" s="16" t="s">
        <v>5112</v>
      </c>
      <c r="G263" s="16">
        <v>1</v>
      </c>
    </row>
    <row r="264" spans="1:7" ht="25.5">
      <c r="A264" s="15"/>
      <c r="B264" s="16">
        <v>263</v>
      </c>
      <c r="C264" s="16" t="s">
        <v>5113</v>
      </c>
      <c r="D264" s="16" t="s">
        <v>6754</v>
      </c>
      <c r="E264" s="16" t="str">
        <f ca="1">IFERROR(__xludf.DUMMYFUNCTION("AI(""c컬럼의 단어를 활용해서 적절한 예문을 만들어줘. 한글 해석은 줄띄움 후에 작성해줘"")"),"The Lord is my shepherd, and he makes me lie down in green pastures.
주님은 나의 목자시니, 그가 나를 푸른 목초지에 누이십니다.")</f>
        <v>The Lord is my shepherd, and he makes me lie down in green pastures.
주님은 나의 목자시니, 그가 나를 푸른 목초지에 누이십니다.</v>
      </c>
      <c r="F264" s="16" t="s">
        <v>5114</v>
      </c>
      <c r="G264" s="16">
        <v>1</v>
      </c>
    </row>
    <row r="265" spans="1:7" ht="25.5">
      <c r="A265" s="15"/>
      <c r="B265" s="16">
        <v>264</v>
      </c>
      <c r="C265" s="16" t="s">
        <v>5115</v>
      </c>
      <c r="D265" s="16" t="s">
        <v>6755</v>
      </c>
      <c r="E265" s="16" t="str">
        <f ca="1">IFERROR(__xludf.DUMMYFUNCTION("AI(""c컬럼의 단어를 활용해서 적절한 예문을 만들어줘. 한글 해석은 줄띄움 후에 작성해줘"")"),"Pathogens are microorganisms, such as bacteria and viruses, that can cause disease in their hosts.
병원균은 박테리아나 바이러스와 같이 숙주에게 질병을 일으킬 수 있는 미생물입니다.")</f>
        <v>Pathogens are microorganisms, such as bacteria and viruses, that can cause disease in their hosts.
병원균은 박테리아나 바이러스와 같이 숙주에게 질병을 일으킬 수 있는 미생물입니다.</v>
      </c>
      <c r="F265" s="16" t="s">
        <v>5116</v>
      </c>
      <c r="G265" s="16">
        <v>1</v>
      </c>
    </row>
    <row r="266" spans="1:7" ht="51">
      <c r="A266" s="15"/>
      <c r="B266" s="16">
        <v>265</v>
      </c>
      <c r="C266" s="16" t="s">
        <v>5117</v>
      </c>
      <c r="D266" s="16" t="s">
        <v>6756</v>
      </c>
      <c r="E266" s="16" t="str">
        <f ca="1">IFERROR(__xludf.DUMMYFUNCTION("AI(""c컬럼의 단어를 활용해서 적절한 예문을 만들어줘. 한글 해석은 줄띄움 후에 작성해줘"")"),"Many small towns face a paucity of essential services, forcing residents to travel long distances for medical care.
많은 소규모 마을들은 필수 서비스의 부족에 직면해 있어, 주민들이 의료 서비스를 받기 위해 먼 거리를 이동하게 만듭니다.")</f>
        <v>Many small towns face a paucity of essential services, forcing residents to travel long distances for medical care.
많은 소규모 마을들은 필수 서비스의 부족에 직면해 있어, 주민들이 의료 서비스를 받기 위해 먼 거리를 이동하게 만듭니다.</v>
      </c>
      <c r="F266" s="16" t="s">
        <v>5118</v>
      </c>
      <c r="G266" s="16">
        <v>1</v>
      </c>
    </row>
    <row r="267" spans="1:7" ht="51">
      <c r="A267" s="15"/>
      <c r="B267" s="16">
        <v>266</v>
      </c>
      <c r="C267" s="16" t="s">
        <v>5119</v>
      </c>
      <c r="D267" s="16" t="s">
        <v>6757</v>
      </c>
      <c r="E267" s="16" t="str">
        <f ca="1">IFERROR(__xludf.DUMMYFUNCTION("AI(""c컬럼의 단어를 활용해서 적절한 예문을 만들어줘. 한글 해석은 줄띄움 후에 작성해줘"")"),"The casting director initially pegged me as the romantic comedy guy, making it difficult to land more serious dramatic roles.
캐스팅 디렉터는 처음에 나를 로맨틱 코미디 전문 배우로 규정해서, 더 진지한 드라마 역할을 맡는 것을 어렵게 만들었습니다.")</f>
        <v>The casting director initially pegged me as the romantic comedy guy, making it difficult to land more serious dramatic roles.
캐스팅 디렉터는 처음에 나를 로맨틱 코미디 전문 배우로 규정해서, 더 진지한 드라마 역할을 맡는 것을 어렵게 만들었습니다.</v>
      </c>
      <c r="F267" s="16" t="s">
        <v>5120</v>
      </c>
      <c r="G267" s="16">
        <v>1</v>
      </c>
    </row>
    <row r="268" spans="1:7" ht="38.25">
      <c r="A268" s="15"/>
      <c r="B268" s="16">
        <v>267</v>
      </c>
      <c r="C268" s="16" t="s">
        <v>5121</v>
      </c>
      <c r="D268" s="16" t="s">
        <v>6758</v>
      </c>
      <c r="E268" s="16" t="str">
        <f ca="1">IFERROR(__xludf.DUMMYFUNCTION("AI(""c컬럼의 단어를 활용해서 적절한 예문을 만들어줘. 한글 해석은 줄띄움 후에 작성해줘"")"),"The company launched an aggressive marketing campaign to penetrate a new market and increase its global presence.
그 회사는 새로운 시장에 진입하고 글로벌 입지를 넓히기 위해 공격적인 마케팅 캠페인을 시작했습니다.")</f>
        <v>The company launched an aggressive marketing campaign to penetrate a new market and increase its global presence.
그 회사는 새로운 시장에 진입하고 글로벌 입지를 넓히기 위해 공격적인 마케팅 캠페인을 시작했습니다.</v>
      </c>
      <c r="F268" s="16" t="s">
        <v>5122</v>
      </c>
      <c r="G268" s="16">
        <v>1</v>
      </c>
    </row>
    <row r="269" spans="1:7" ht="25.5">
      <c r="A269" s="15"/>
      <c r="B269" s="16">
        <v>268</v>
      </c>
      <c r="C269" s="16" t="s">
        <v>5123</v>
      </c>
      <c r="D269" s="16" t="s">
        <v>6759</v>
      </c>
      <c r="E269" s="16" t="str">
        <f ca="1">IFERROR(__xludf.DUMMYFUNCTION("AI(""c컬럼의 단어를 활용해서 적절한 예문을 만들어줘. 한글 해석은 줄띄움 후에 작성해줘"")"),"The hiking trip through the mountain pass turned into a perilous journey when a sudden blizzard hit.
갑작스러운 눈보라가 몰아치자 산길을 통과하는 등산 여행은 위험한 여정으로 변했습니다.")</f>
        <v>The hiking trip through the mountain pass turned into a perilous journey when a sudden blizzard hit.
갑작스러운 눈보라가 몰아치자 산길을 통과하는 등산 여행은 위험한 여정으로 변했습니다.</v>
      </c>
      <c r="F269" s="16" t="s">
        <v>5124</v>
      </c>
      <c r="G269" s="16">
        <v>1</v>
      </c>
    </row>
    <row r="270" spans="1:7" ht="38.25">
      <c r="A270" s="15"/>
      <c r="B270" s="16">
        <v>269</v>
      </c>
      <c r="C270" s="16" t="s">
        <v>5125</v>
      </c>
      <c r="D270" s="16" t="s">
        <v>6760</v>
      </c>
      <c r="E270" s="16" t="str">
        <f ca="1">IFERROR(__xludf.DUMMYFUNCTION("AI(""c컬럼의 단어를 활용해서 적절한 예문을 만들어줘. 한글 해석은 줄띄움 후에 작성해줘"")"),"The global economy is perilously close to a recession as consumer sentiment plummeted amid rising tariffs.
세계 경제는 관세 인상 속에 소비자 심리가 급락하면서 경기 침체에 위험할 정도로 가까워졌습니다.")</f>
        <v>The global economy is perilously close to a recession as consumer sentiment plummeted amid rising tariffs.
세계 경제는 관세 인상 속에 소비자 심리가 급락하면서 경기 침체에 위험할 정도로 가까워졌습니다.</v>
      </c>
      <c r="F270" s="16" t="s">
        <v>5126</v>
      </c>
      <c r="G270" s="16">
        <v>1</v>
      </c>
    </row>
    <row r="271" spans="1:7" ht="51">
      <c r="A271" s="15"/>
      <c r="B271" s="16">
        <v>270</v>
      </c>
      <c r="C271" s="16" t="s">
        <v>5127</v>
      </c>
      <c r="D271" s="16" t="s">
        <v>6761</v>
      </c>
      <c r="E271" s="16" t="str">
        <f ca="1">IFERROR(__xludf.DUMMYFUNCTION("AI(""c컬럼의 단어를 활용해서 적절한 예문을 만들어줘. 한글 해석은 줄띄움 후에 작성해줘"")"),"Permissive parents often struggle to set firm boundaries, which can lead to children having difficulty with self-regulation.
허용적인 부모들은 종종 확고한 경계선을 설정하는 데 어려움을 겪으며, 이는 아이들이 자기 조절에 어려움을 겪는 결과로 이어질 수 있습니다.")</f>
        <v>Permissive parents often struggle to set firm boundaries, which can lead to children having difficulty with self-regulation.
허용적인 부모들은 종종 확고한 경계선을 설정하는 데 어려움을 겪으며, 이는 아이들이 자기 조절에 어려움을 겪는 결과로 이어질 수 있습니다.</v>
      </c>
      <c r="F271" s="16" t="s">
        <v>5128</v>
      </c>
      <c r="G271" s="16">
        <v>1</v>
      </c>
    </row>
    <row r="272" spans="1:7" ht="25.5">
      <c r="A272" s="15"/>
      <c r="B272" s="16">
        <v>271</v>
      </c>
      <c r="C272" s="16" t="s">
        <v>5129</v>
      </c>
      <c r="D272" s="16" t="s">
        <v>6762</v>
      </c>
      <c r="E272" s="16" t="str">
        <f ca="1">IFERROR(__xludf.DUMMYFUNCTION("AI(""c컬럼의 단어를 활용해서 적절한 예문을 만들어줘. 한글 해석은 줄띄움 후에 작성해줘"")"),"Make sure the fence panels are perfectly perpendicular to the ground to ensure the structure's stability.
울타리 패널이 지면과 완벽하게 수직이 되도록 하여 구조물의 안정성을 확보하세요.")</f>
        <v>Make sure the fence panels are perfectly perpendicular to the ground to ensure the structure's stability.
울타리 패널이 지면과 완벽하게 수직이 되도록 하여 구조물의 안정성을 확보하세요.</v>
      </c>
      <c r="F272" s="16" t="s">
        <v>5130</v>
      </c>
      <c r="G272" s="16">
        <v>1</v>
      </c>
    </row>
    <row r="273" spans="1:7" ht="25.5">
      <c r="A273" s="15"/>
      <c r="B273" s="16">
        <v>272</v>
      </c>
      <c r="C273" s="16" t="s">
        <v>5131</v>
      </c>
      <c r="D273" s="16" t="s">
        <v>6763</v>
      </c>
      <c r="E273" s="16" t="str">
        <f ca="1">IFERROR(__xludf.DUMMYFUNCTION("AI(""c컬럼의 단어를 활용해서 적절한 예문을 만들어줘. 한글 해석은 줄띄움 후에 작성해줘"")"),"The guidelines pertaining to workplace safety must be strictly followed by all staff members.
직장 안전에 관한 지침은 모든 직원이 엄격히 준수해야 합니다.")</f>
        <v>The guidelines pertaining to workplace safety must be strictly followed by all staff members.
직장 안전에 관한 지침은 모든 직원이 엄격히 준수해야 합니다.</v>
      </c>
      <c r="F273" s="16" t="s">
        <v>5132</v>
      </c>
      <c r="G273" s="16">
        <v>1</v>
      </c>
    </row>
    <row r="274" spans="1:7" ht="51">
      <c r="A274" s="15"/>
      <c r="B274" s="16">
        <v>273</v>
      </c>
      <c r="C274" s="16" t="s">
        <v>5133</v>
      </c>
      <c r="D274" s="16" t="s">
        <v>6764</v>
      </c>
      <c r="E274" s="16" t="str">
        <f ca="1">IFERROR(__xludf.DUMMYFUNCTION("AI(""c컬럼의 단어를 활용해서 적절한 예문을 만들어줘. 한글 해석은 줄띄움 후에 작성해줘"")"),"Reports suggest that corruption is pervasively infiltrating every level of the government, from local agencies to federal institutions.
부패가 지방 기관에서 연방 제도에 이르기까지 정부의 모든 수준에 만연하게 침투하고 있다는 보고가 있습니다.")</f>
        <v>Reports suggest that corruption is pervasively infiltrating every level of the government, from local agencies to federal institutions.
부패가 지방 기관에서 연방 제도에 이르기까지 정부의 모든 수준에 만연하게 침투하고 있다는 보고가 있습니다.</v>
      </c>
      <c r="F274" s="16" t="s">
        <v>5134</v>
      </c>
      <c r="G274" s="16">
        <v>1</v>
      </c>
    </row>
    <row r="275" spans="1:7" ht="25.5">
      <c r="A275" s="15"/>
      <c r="B275" s="16">
        <v>274</v>
      </c>
      <c r="C275" s="16" t="s">
        <v>5135</v>
      </c>
      <c r="D275" s="16" t="s">
        <v>6765</v>
      </c>
      <c r="E275" s="16" t="str">
        <f ca="1">IFERROR(__xludf.DUMMYFUNCTION("AI(""c컬럼의 단어를 활용해서 적절한 예문을 만들어줘. 한글 해석은 줄띄움 후에 작성해줘"")"),"The billionaire is well-known for his generous support of various philanthropic organizations worldwide.
그 억만장자는 전 세계의 다양한 자선 단체들을 관대하게 후원하는 것으로 잘 알려져 있습니다.")</f>
        <v>The billionaire is well-known for his generous support of various philanthropic organizations worldwide.
그 억만장자는 전 세계의 다양한 자선 단체들을 관대하게 후원하는 것으로 잘 알려져 있습니다.</v>
      </c>
      <c r="F275" s="16" t="s">
        <v>5136</v>
      </c>
      <c r="G275" s="16">
        <v>1</v>
      </c>
    </row>
    <row r="276" spans="1:7" ht="38.25">
      <c r="A276" s="15"/>
      <c r="B276" s="16">
        <v>275</v>
      </c>
      <c r="C276" s="16" t="s">
        <v>5137</v>
      </c>
      <c r="D276" s="16" t="s">
        <v>6766</v>
      </c>
      <c r="E276" s="16" t="str">
        <f ca="1">IFERROR(__xludf.DUMMYFUNCTION("AI(""c컬럼의 단어를 활용해서 적절한 예문을 만들어줘. 한글 해석은 줄띄움 후에 작성해줘"")"),"Non-native speakers often confuse phonetically similar words like ""rake"" and ""lake"" when learning English.
비원어민들은 영어를 배울 때 ""rake""와 ""lake""처럼 음성적으로 유사한 단어들을 종종 혼동합니다.")</f>
        <v>Non-native speakers often confuse phonetically similar words like "rake" and "lake" when learning English.
비원어민들은 영어를 배울 때 "rake"와 "lake"처럼 음성적으로 유사한 단어들을 종종 혼동합니다.</v>
      </c>
      <c r="F276" s="16" t="s">
        <v>5138</v>
      </c>
      <c r="G276" s="16">
        <v>1</v>
      </c>
    </row>
    <row r="277" spans="1:7" ht="51">
      <c r="A277" s="15"/>
      <c r="B277" s="16">
        <v>276</v>
      </c>
      <c r="C277" s="16" t="s">
        <v>5139</v>
      </c>
      <c r="D277" s="16" t="s">
        <v>6767</v>
      </c>
      <c r="E277" s="16" t="str">
        <f ca="1">IFERROR(__xludf.DUMMYFUNCTION("AI(""c컬럼의 단어를 활용해서 적절한 예문을 만들어줘. 한글 해석은 줄띄움 후에 작성해줘"")"),"Scientific research has shown that different hues can trigger significant physiological effects, such as changes in heart rate and blood pressure.
과학적 연구에 따르면 다양한 색조가 심박수나 혈압의 변화와 같은 중대한 생리적인 효과를 유발할 수 있습니다.")</f>
        <v>Scientific research has shown that different hues can trigger significant physiological effects, such as changes in heart rate and blood pressure.
과학적 연구에 따르면 다양한 색조가 심박수나 혈압의 변화와 같은 중대한 생리적인 효과를 유발할 수 있습니다.</v>
      </c>
      <c r="F277" s="16" t="s">
        <v>5140</v>
      </c>
      <c r="G277" s="16">
        <v>1</v>
      </c>
    </row>
    <row r="278" spans="1:7" ht="25.5">
      <c r="A278" s="15"/>
      <c r="B278" s="16">
        <v>277</v>
      </c>
      <c r="C278" s="16" t="s">
        <v>5141</v>
      </c>
      <c r="D278" s="16" t="s">
        <v>6768</v>
      </c>
      <c r="E278" s="16" t="str">
        <f ca="1">IFERROR(__xludf.DUMMYFUNCTION("AI(""c컬럼의 단어를 활용해서 적절한 예문을 만들어줘. 한글 해석은 줄띄움 후에 작성해줘"")"),"The proposed plan to build a new landfill in the area has pitted local residents against city officials.
지역에 새로운 매립지를 건설하려는 계획은 지역 주민들과 시 공무원들을 대립시켰습니다.")</f>
        <v>The proposed plan to build a new landfill in the area has pitted local residents against city officials.
지역에 새로운 매립지를 건설하려는 계획은 지역 주민들과 시 공무원들을 대립시켰습니다.</v>
      </c>
      <c r="F278" s="16" t="s">
        <v>5142</v>
      </c>
      <c r="G278" s="16">
        <v>1</v>
      </c>
    </row>
    <row r="279" spans="1:7" ht="51">
      <c r="A279" s="15"/>
      <c r="B279" s="16">
        <v>278</v>
      </c>
      <c r="C279" s="16" t="s">
        <v>5143</v>
      </c>
      <c r="D279" s="16" t="s">
        <v>6769</v>
      </c>
      <c r="E279" s="16" t="str">
        <f ca="1">IFERROR(__xludf.DUMMYFUNCTION("AI(""c컬럼의 단어를 활용해서 적절한 예문을 만들어줘. 한글 해석은 줄띄움 후에 작성해줘"")"),"Universities use specialized software to check student submissions for plagiarism and ensure academic integrity.
대학들은 학생 제출물의 표절 여부를 확인하고 학문적 진실성을 보장하기 위해 전문 소프트웨어를 사용합니다.")</f>
        <v>Universities use specialized software to check student submissions for plagiarism and ensure academic integrity.
대학들은 학생 제출물의 표절 여부를 확인하고 학문적 진실성을 보장하기 위해 전문 소프트웨어를 사용합니다.</v>
      </c>
      <c r="F279" s="16" t="s">
        <v>5144</v>
      </c>
      <c r="G279" s="16">
        <v>1</v>
      </c>
    </row>
    <row r="280" spans="1:7" ht="38.25">
      <c r="A280" s="15"/>
      <c r="B280" s="16">
        <v>279</v>
      </c>
      <c r="C280" s="16" t="s">
        <v>5145</v>
      </c>
      <c r="D280" s="16" t="s">
        <v>6770</v>
      </c>
      <c r="E280" s="16" t="str">
        <f ca="1">IFERROR(__xludf.DUMMYFUNCTION("AI(""c컬럼의 단어를 활용해서 적절한 예문을 만들어줘. 한글 해석은 줄띄움 후에 작성해줘"")"),"The American plant breeder dedicated his career to developing new rice varieties that are resistant to pests and diseases.
미국인 식물 육종가는 해충과 질병에 저항력이 있는 새로운 벼 품종을 개발하는 데 평생을 바쳤습니다.")</f>
        <v>The American plant breeder dedicated his career to developing new rice varieties that are resistant to pests and diseases.
미국인 식물 육종가는 해충과 질병에 저항력이 있는 새로운 벼 품종을 개발하는 데 평생을 바쳤습니다.</v>
      </c>
      <c r="F280" s="16" t="s">
        <v>5146</v>
      </c>
      <c r="G280" s="16">
        <v>1</v>
      </c>
    </row>
    <row r="281" spans="1:7" ht="25.5">
      <c r="A281" s="15"/>
      <c r="B281" s="16">
        <v>280</v>
      </c>
      <c r="C281" s="16" t="s">
        <v>5147</v>
      </c>
      <c r="D281" s="16" t="s">
        <v>6771</v>
      </c>
      <c r="E281" s="16" t="str">
        <f ca="1">IFERROR(__xludf.DUMMYFUNCTION("AI(""c컬럼의 단어를 활용해서 적절한 예문을 만들어줘. 한글 해석은 줄띄움 후에 작성해줘"")"),"The stock market began to plummet after the government's major tariff announcement.
정부의 중대 관세 발표 이후 주식 시장이 폭락하기 시작했습니다.")</f>
        <v>The stock market began to plummet after the government's major tariff announcement.
정부의 중대 관세 발표 이후 주식 시장이 폭락하기 시작했습니다.</v>
      </c>
      <c r="F281" s="16" t="s">
        <v>5148</v>
      </c>
      <c r="G281" s="16">
        <v>1</v>
      </c>
    </row>
    <row r="282" spans="1:7" ht="25.5">
      <c r="A282" s="15"/>
      <c r="B282" s="16">
        <v>281</v>
      </c>
      <c r="C282" s="16" t="s">
        <v>5149</v>
      </c>
      <c r="D282" s="16" t="s">
        <v>6772</v>
      </c>
      <c r="E282" s="16" t="str">
        <f ca="1">IFERROR(__xludf.DUMMYFUNCTION("AI(""c컬럼의 단어를 활용해서 적절한 예문을 만들어줘. 한글 해석은 줄띄움 후에 작성해줘"")"),"The Viking invaders often plundered coastal villages and took valuable items back to their homelands.
바이킹 침략자들은 종종 해안 마을을 약탈하고 귀중한 물건들을 고국으로 가져갔습니다.")</f>
        <v>The Viking invaders often plundered coastal villages and took valuable items back to their homelands.
바이킹 침략자들은 종종 해안 마을을 약탈하고 귀중한 물건들을 고국으로 가져갔습니다.</v>
      </c>
      <c r="F282" s="16" t="s">
        <v>5150</v>
      </c>
      <c r="G282" s="16">
        <v>1</v>
      </c>
    </row>
    <row r="283" spans="1:7" ht="38.25">
      <c r="A283" s="15"/>
      <c r="B283" s="16">
        <v>282</v>
      </c>
      <c r="C283" s="16" t="s">
        <v>5151</v>
      </c>
      <c r="D283" s="16" t="s">
        <v>6773</v>
      </c>
      <c r="E283" s="16" t="str">
        <f ca="1">IFERROR(__xludf.DUMMYFUNCTION("AI(""c컬럼의 단어를 활용해서 적절한 예문을 만들어줘. 한글 해석은 줄띄움 후에 작성해줘"")"),"Lenin opened up markets to a greater degree of free trade, hoping to motivate the populace to increase production.
레닌은 민중이 생산을 늘리도록 동기부여를 하기 위해 더 높은 수준의 자유 무역 시장을 열었습니다.")</f>
        <v>Lenin opened up markets to a greater degree of free trade, hoping to motivate the populace to increase production.
레닌은 민중이 생산을 늘리도록 동기부여를 하기 위해 더 높은 수준의 자유 무역 시장을 열었습니다.</v>
      </c>
      <c r="F283" s="16" t="s">
        <v>5152</v>
      </c>
      <c r="G283" s="16">
        <v>1</v>
      </c>
    </row>
    <row r="284" spans="1:7" ht="38.25">
      <c r="A284" s="15"/>
      <c r="B284" s="16">
        <v>283</v>
      </c>
      <c r="C284" s="16" t="s">
        <v>5153</v>
      </c>
      <c r="D284" s="16" t="s">
        <v>6774</v>
      </c>
      <c r="E284" s="16" t="str">
        <f ca="1">IFERROR(__xludf.DUMMYFUNCTION("AI(""c컬럼의 단어를 활용해서 적절한 예문을 만들어줘. 한글 해석은 줄띄움 후에 작성해줘"")"),"Many developed nations have transitioned into a postindustrial society where the service sector generates more wealth than manufacturing.
많은 선진국들은 서비스 부문이 제조업보다 더 많은 부를 창출하는 탈산업화 사회로 진입했습니다.")</f>
        <v>Many developed nations have transitioned into a postindustrial society where the service sector generates more wealth than manufacturing.
많은 선진국들은 서비스 부문이 제조업보다 더 많은 부를 창출하는 탈산업화 사회로 진입했습니다.</v>
      </c>
      <c r="F284" s="16" t="s">
        <v>5154</v>
      </c>
      <c r="G284" s="16">
        <v>1</v>
      </c>
    </row>
    <row r="285" spans="1:7" ht="25.5">
      <c r="A285" s="15"/>
      <c r="B285" s="16">
        <v>284</v>
      </c>
      <c r="C285" s="16" t="s">
        <v>3470</v>
      </c>
      <c r="D285" s="16" t="s">
        <v>6775</v>
      </c>
      <c r="E285" s="16" t="str">
        <f ca="1">IFERROR(__xludf.DUMMYFUNCTION("AI(""c컬럼의 단어를 활용해서 적절한 예문을 만들어줘. 한글 해석은 줄띄움 후에 작성해줘"")"),"The false accusation precipitated a full-scale judicial inquiry into the company's financial dealings.
그 거짓 비난은 회사의 금융 거래에 대한 전면적인 사법 조사를 촉발했습니다.")</f>
        <v>The false accusation precipitated a full-scale judicial inquiry into the company's financial dealings.
그 거짓 비난은 회사의 금융 거래에 대한 전면적인 사법 조사를 촉발했습니다.</v>
      </c>
      <c r="F285" s="16" t="s">
        <v>5155</v>
      </c>
      <c r="G285" s="16">
        <v>1</v>
      </c>
    </row>
    <row r="286" spans="1:7" ht="38.25">
      <c r="A286" s="15"/>
      <c r="B286" s="16">
        <v>285</v>
      </c>
      <c r="C286" s="16" t="s">
        <v>5156</v>
      </c>
      <c r="D286" s="16" t="s">
        <v>6776</v>
      </c>
      <c r="E286" s="16" t="str">
        <f ca="1">IFERROR(__xludf.DUMMYFUNCTION("AI(""c컬럼의 단어를 활용해서 적절한 예문을 만들어줘. 한글 해석은 줄띄움 후에 작성해줘"")"),"The legal standard for insufficient evidence ensures that weak proof does not preclude the possibility of an acquittal.
불충분한 증거에 대한 법적 기준은 미흡한 증거가 무죄 판결의 가능성을 차단하지 않도록 보장합니다.")</f>
        <v>The legal standard for insufficient evidence ensures that weak proof does not preclude the possibility of an acquittal.
불충분한 증거에 대한 법적 기준은 미흡한 증거가 무죄 판결의 가능성을 차단하지 않도록 보장합니다.</v>
      </c>
      <c r="F286" s="16" t="s">
        <v>5157</v>
      </c>
      <c r="G286" s="16">
        <v>1</v>
      </c>
    </row>
    <row r="287" spans="1:7" ht="38.25">
      <c r="A287" s="15"/>
      <c r="B287" s="16">
        <v>286</v>
      </c>
      <c r="C287" s="16" t="s">
        <v>5158</v>
      </c>
      <c r="D287" s="16" t="s">
        <v>6777</v>
      </c>
      <c r="E287" s="16" t="str">
        <f ca="1">IFERROR(__xludf.DUMMYFUNCTION("AI(""c컬럼의 단어를 활용해서 적절한 예문을 만들어줘. 한글 해석은 줄띄움 후에 작성해줘"")"),"The company was accused of using predatory pricing to drive its smaller competitors out of the market.
그 회사는 소규모 경쟁업체들을 시장에서 몰아내기 위해 약탈적 가격 책정을 사용했다는 비난을 받았습니다.")</f>
        <v>The company was accused of using predatory pricing to drive its smaller competitors out of the market.
그 회사는 소규모 경쟁업체들을 시장에서 몰아내기 위해 약탈적 가격 책정을 사용했다는 비난을 받았습니다.</v>
      </c>
      <c r="F287" s="16" t="s">
        <v>5159</v>
      </c>
      <c r="G287" s="16">
        <v>1</v>
      </c>
    </row>
    <row r="288" spans="1:7" ht="51">
      <c r="A288" s="15"/>
      <c r="B288" s="16">
        <v>287</v>
      </c>
      <c r="C288" s="16" t="s">
        <v>5160</v>
      </c>
      <c r="D288" s="16" t="s">
        <v>6778</v>
      </c>
      <c r="E288" s="16" t="str">
        <f ca="1">IFERROR(__xludf.DUMMYFUNCTION("AI(""c컬럼의 단어를 활용해서 적절한 예문을 만들어줘. 한글 해석은 줄띄움 후에 작성해줘"")"),"Mutations or variations in specific genes can predispose individuals to certain diseases, such as heart disease, diabetes, or cancer.
특정 유전자의 돌연변이나 변이는 개인이 심장병, 당뇨병 또는 암과 같은 특정 질병에 걸리기 쉽게 만들 수 있습니다.")</f>
        <v>Mutations or variations in specific genes can predispose individuals to certain diseases, such as heart disease, diabetes, or cancer.
특정 유전자의 돌연변이나 변이는 개인이 심장병, 당뇨병 또는 암과 같은 특정 질병에 걸리기 쉽게 만들 수 있습니다.</v>
      </c>
      <c r="F288" s="16" t="s">
        <v>5161</v>
      </c>
      <c r="G288" s="16">
        <v>1</v>
      </c>
    </row>
    <row r="289" spans="1:7" ht="25.5">
      <c r="A289" s="15"/>
      <c r="B289" s="16">
        <v>288</v>
      </c>
      <c r="C289" s="16" t="s">
        <v>5162</v>
      </c>
      <c r="D289" s="16" t="s">
        <v>6779</v>
      </c>
      <c r="E289" s="16" t="str">
        <f ca="1">IFERROR(__xludf.DUMMYFUNCTION("AI(""c컬럼의 단어를 활용해서 적절한 예문을 만들어줘. 한글 해석은 줄띄움 후에 작성해줘"")"),"In some ecosystems, a few dominant species predominate and shape the entire environment.
일부 생태계에서는 몇몇 우세한 종들이 지배적이며 환경 전체를 형성합니다.")</f>
        <v>In some ecosystems, a few dominant species predominate and shape the entire environment.
일부 생태계에서는 몇몇 우세한 종들이 지배적이며 환경 전체를 형성합니다.</v>
      </c>
      <c r="F289" s="16" t="s">
        <v>5163</v>
      </c>
      <c r="G289" s="16">
        <v>1</v>
      </c>
    </row>
    <row r="290" spans="1:7" ht="38.25">
      <c r="A290" s="15"/>
      <c r="B290" s="16">
        <v>289</v>
      </c>
      <c r="C290" s="16" t="s">
        <v>5164</v>
      </c>
      <c r="D290" s="16" t="s">
        <v>6780</v>
      </c>
      <c r="E290" s="16" t="str">
        <f ca="1">IFERROR(__xludf.DUMMYFUNCTION("AI(""c컬럼의 단어를 활용해서 적절한 예문을 만들어줘. 한글 해석은 줄띄움 후에 작성해줘"")"),"The company was accused of giving preferential treatment to certain suppliers during the bidding process.
그 회사는 입찰 과정에서 특정 공급업체들에게 특혜를 주었다는 비난을 받았습니다.")</f>
        <v>The company was accused of giving preferential treatment to certain suppliers during the bidding process.
그 회사는 입찰 과정에서 특정 공급업체들에게 특혜를 주었다는 비난을 받았습니다.</v>
      </c>
      <c r="F290" s="16" t="s">
        <v>5165</v>
      </c>
      <c r="G290" s="16">
        <v>1</v>
      </c>
    </row>
    <row r="291" spans="1:7" ht="51">
      <c r="A291" s="15"/>
      <c r="B291" s="16">
        <v>290</v>
      </c>
      <c r="C291" s="16" t="s">
        <v>5166</v>
      </c>
      <c r="D291" s="16" t="s">
        <v>6781</v>
      </c>
      <c r="E291" s="16" t="str">
        <f ca="1">IFERROR(__xludf.DUMMYFUNCTION("AI(""c컬럼의 단어를 활용해서 적절한 예문을 만들어줘. 한글 해석은 줄띄움 후에 작성해줘"")"),"The CEO's warnings about the potential risks of AI now seem prescient given the recent global concerns over its rapid development.
그 CEO의 AI 잠재적 위험에 대한 경고는 최근의 급격한 발전에 대한 전 세계적인 우려를 고려할 때 이제 선견지명이 있었던 것으로 보입니다.")</f>
        <v>The CEO's warnings about the potential risks of AI now seem prescient given the recent global concerns over its rapid development.
그 CEO의 AI 잠재적 위험에 대한 경고는 최근의 급격한 발전에 대한 전 세계적인 우려를 고려할 때 이제 선견지명이 있었던 것으로 보입니다.</v>
      </c>
      <c r="F291" s="16" t="s">
        <v>5167</v>
      </c>
      <c r="G291" s="16">
        <v>1</v>
      </c>
    </row>
    <row r="292" spans="1:7" ht="25.5">
      <c r="A292" s="15"/>
      <c r="B292" s="16">
        <v>291</v>
      </c>
      <c r="C292" s="16" t="s">
        <v>5168</v>
      </c>
      <c r="D292" s="16" t="s">
        <v>6782</v>
      </c>
      <c r="E292" s="16" t="str">
        <f ca="1">IFERROR(__xludf.DUMMYFUNCTION("AI(""c컬럼의 단어를 활용해서 적절한 예문을 만들어줘. 한글 해석은 줄띄움 후에 작성해줘"")"),"A judge has been appointed to preside over the upcoming retrial of the high-profile murder case.
고판사가 임명되어 세간의 이목을 끄는 살인 사건의 향후 재심을 주재하게 되었습니다.")</f>
        <v>A judge has been appointed to preside over the upcoming retrial of the high-profile murder case.
고판사가 임명되어 세간의 이목을 끄는 살인 사건의 향후 재심을 주재하게 되었습니다.</v>
      </c>
      <c r="F292" s="16" t="s">
        <v>5169</v>
      </c>
      <c r="G292" s="16">
        <v>1</v>
      </c>
    </row>
    <row r="293" spans="1:7" ht="25.5">
      <c r="A293" s="15"/>
      <c r="B293" s="16">
        <v>292</v>
      </c>
      <c r="C293" s="16" t="s">
        <v>5170</v>
      </c>
      <c r="D293" s="16" t="s">
        <v>6783</v>
      </c>
      <c r="E293" s="16" t="str">
        <f ca="1">IFERROR(__xludf.DUMMYFUNCTION("AI(""c컬럼의 단어를 활용해서 적절한 예문을 만들어줘. 한글 해석은 줄띄움 후에 작성해줘"")"),"The government imposed strict press censorship to control the narrative during the conflict.
정부는 갈등 기간 동안 여론을 통제하기 위해 엄격한 언론 검열을 실시했습니다.")</f>
        <v>The government imposed strict press censorship to control the narrative during the conflict.
정부는 갈등 기간 동안 여론을 통제하기 위해 엄격한 언론 검열을 실시했습니다.</v>
      </c>
      <c r="F293" s="16" t="s">
        <v>5171</v>
      </c>
      <c r="G293" s="16">
        <v>1</v>
      </c>
    </row>
    <row r="294" spans="1:7" ht="25.5">
      <c r="A294" s="15"/>
      <c r="B294" s="16">
        <v>293</v>
      </c>
      <c r="C294" s="16" t="s">
        <v>5172</v>
      </c>
      <c r="D294" s="16" t="s">
        <v>6784</v>
      </c>
      <c r="E294" s="16" t="str">
        <f ca="1">IFERROR(__xludf.DUMMYFUNCTION("AI(""c컬럼의 단어를 활용해서 적절한 예문을 만들어줘. 한글 해석은 줄띄움 후에 작성해줘"")"),"The high prevalence of smartphones has revolutionized the way people communicate globally.
스마트폰의 높은 보급률은 전 세계 사람들이 소통하는 방식을 혁신적으로 변화시켰습니다.")</f>
        <v>The high prevalence of smartphones has revolutionized the way people communicate globally.
스마트폰의 높은 보급률은 전 세계 사람들이 소통하는 방식을 혁신적으로 변화시켰습니다.</v>
      </c>
      <c r="F294" s="16" t="s">
        <v>5173</v>
      </c>
      <c r="G294" s="16">
        <v>1</v>
      </c>
    </row>
    <row r="295" spans="1:7" ht="51">
      <c r="A295" s="15"/>
      <c r="B295" s="16">
        <v>294</v>
      </c>
      <c r="C295" s="16" t="s">
        <v>5174</v>
      </c>
      <c r="D295" s="16" t="s">
        <v>6785</v>
      </c>
      <c r="E295" s="16" t="str">
        <f ca="1">IFERROR(__xludf.DUMMYFUNCTION("AI(""c컬럼의 단어를 활용해서 적절한 예문을 만들어줘. 한글 해석은 줄띄움 후에 작성해줘"")"),"The loss of a loved one or a major natural disaster can have a profound psychological impact on individuals and entire communities.
사랑하는 사람을 잃거나 중대한 자연재해를 겪는 것은 개인과 지역 사회 전체에 깊은 심리적 영향을 미칠 수 있습니다.")</f>
        <v>The loss of a loved one or a major natural disaster can have a profound psychological impact on individuals and entire communities.
사랑하는 사람을 잃거나 중대한 자연재해를 겪는 것은 개인과 지역 사회 전체에 깊은 심리적 영향을 미칠 수 있습니다.</v>
      </c>
      <c r="F295" s="16" t="s">
        <v>5175</v>
      </c>
      <c r="G295" s="16">
        <v>1</v>
      </c>
    </row>
    <row r="296" spans="1:7" ht="38.25">
      <c r="A296" s="15"/>
      <c r="B296" s="16">
        <v>295</v>
      </c>
      <c r="C296" s="16" t="s">
        <v>5176</v>
      </c>
      <c r="D296" s="16" t="s">
        <v>6786</v>
      </c>
      <c r="E296" s="16" t="str">
        <f ca="1">IFERROR(__xludf.DUMMYFUNCTION("AI(""c컬럼의 단어를 활용해서 적절한 예문을 만들어줘. 한글 해석은 줄띄움 후에 작성해줘"")"),"The exponential growth of digital technology leads to information proliferating at an increasingly faster rate.
디지털 기술의 기하급수적인 성장은 정보가 점점 더 빠른 속도로 급증하는 결과를 초래합니다.")</f>
        <v>The exponential growth of digital technology leads to information proliferating at an increasingly faster rate.
디지털 기술의 기하급수적인 성장은 정보가 점점 더 빠른 속도로 급증하는 결과를 초래합니다.</v>
      </c>
      <c r="F296" s="16" t="s">
        <v>5177</v>
      </c>
      <c r="G296" s="16">
        <v>2</v>
      </c>
    </row>
    <row r="297" spans="1:7" ht="25.5">
      <c r="A297" s="15"/>
      <c r="B297" s="16">
        <v>296</v>
      </c>
      <c r="C297" s="16" t="s">
        <v>5178</v>
      </c>
      <c r="D297" s="16" t="s">
        <v>6787</v>
      </c>
      <c r="E297" s="16" t="str">
        <f ca="1">IFERROR(__xludf.DUMMYFUNCTION("AI(""c컬럼의 단어를 활용해서 적절한 예문을 만들어줘. 한글 해석은 줄띄움 후에 작성해줘"")"),"Plants use various methods to propagate their species in different environments.
식물들은 다양한 환경에서 종을 번식시키기 위해 여러 가지 방법을 사용합니다.")</f>
        <v>Plants use various methods to propagate their species in different environments.
식물들은 다양한 환경에서 종을 번식시키기 위해 여러 가지 방법을 사용합니다.</v>
      </c>
      <c r="F297" s="16" t="s">
        <v>5179</v>
      </c>
      <c r="G297" s="16">
        <v>2</v>
      </c>
    </row>
    <row r="298" spans="1:7" ht="51">
      <c r="A298" s="15"/>
      <c r="B298" s="16">
        <v>297</v>
      </c>
      <c r="C298" s="16" t="s">
        <v>5180</v>
      </c>
      <c r="D298" s="16" t="s">
        <v>6788</v>
      </c>
      <c r="E298" s="16" t="str">
        <f ca="1">IFERROR(__xludf.DUMMYFUNCTION("AI(""c컬럼의 단어를 활용해서 적절한 예문을 만들어줘. 한글 해석은 줄띄움 후에 작성해줘"")"),"The architect's design for the new community center was criticized for being too prosaic and lacking creative inspiration.
그 커뮤니티 센터에 대한 건축가의 설계는 너무 평범하고 창의적인 영감이 부족하다는 비판을 받았습니다.")</f>
        <v>The architect's design for the new community center was criticized for being too prosaic and lacking creative inspiration.
그 커뮤니티 센터에 대한 건축가의 설계는 너무 평범하고 창의적인 영감이 부족하다는 비판을 받았습니다.</v>
      </c>
      <c r="F298" s="16" t="s">
        <v>5181</v>
      </c>
      <c r="G298" s="16">
        <v>1</v>
      </c>
    </row>
    <row r="299" spans="1:7" ht="25.5">
      <c r="A299" s="15"/>
      <c r="B299" s="16">
        <v>298</v>
      </c>
      <c r="C299" s="16" t="s">
        <v>5182</v>
      </c>
      <c r="D299" s="16" t="s">
        <v>6789</v>
      </c>
      <c r="E299" s="16" t="str">
        <f ca="1">IFERROR(__xludf.DUMMYFUNCTION("AI(""c컬럼의 단어를 활용해서 적절한 예문을 만들어줘. 한글 해석은 줄띄움 후에 작성해줘"")"),"The athlete was celebrated for his remarkable athletic prowess on the international stage.
그 선수는 국제 무대에서 보여준 놀라운 운동 기량으로 찬사를 받았습니다.")</f>
        <v>The athlete was celebrated for his remarkable athletic prowess on the international stage.
그 선수는 국제 무대에서 보여준 놀라운 운동 기량으로 찬사를 받았습니다.</v>
      </c>
      <c r="F299" s="16" t="s">
        <v>5183</v>
      </c>
      <c r="G299" s="16">
        <v>1</v>
      </c>
    </row>
    <row r="300" spans="1:7" ht="38.25">
      <c r="A300" s="15"/>
      <c r="B300" s="16">
        <v>299</v>
      </c>
      <c r="C300" s="16" t="s">
        <v>5184</v>
      </c>
      <c r="D300" s="16" t="s">
        <v>6790</v>
      </c>
      <c r="E300" s="16" t="str">
        <f ca="1">IFERROR(__xludf.DUMMYFUNCTION("AI(""c컬럼의 단어를 활용해서 적절한 예문을 만들어줘. 한글 해석은 줄띄움 후에 작성해줘"")"),"The events of the film are told from the perspective of a proximal observer to make the audience feel more immersed in the scene.
그 영화의 사건들은 관객들이 장면에 더 몰입할 수 있도록 가까운 관찰자의 관점에서 이야기됩니다.")</f>
        <v>The events of the film are told from the perspective of a proximal observer to make the audience feel more immersed in the scene.
그 영화의 사건들은 관객들이 장면에 더 몰입할 수 있도록 가까운 관찰자의 관점에서 이야기됩니다.</v>
      </c>
      <c r="F300" s="16" t="s">
        <v>5185</v>
      </c>
      <c r="G300" s="16">
        <v>1</v>
      </c>
    </row>
    <row r="301" spans="1:7" ht="25.5">
      <c r="A301" s="15"/>
      <c r="B301" s="16">
        <v>300</v>
      </c>
      <c r="C301" s="16" t="s">
        <v>23</v>
      </c>
      <c r="D301" s="16" t="s">
        <v>6791</v>
      </c>
      <c r="E301" s="16" t="str">
        <f ca="1">IFERROR(__xludf.DUMMYFUNCTION("AI(""c컬럼의 단어를 활용해서 적절한 예문을 만들어줘. 한글 해석은 줄띄움 후에 작성해줘"")"),"It is essential to be prudent when making major financial decisions that could impact your future.
미래에 영향을 미칠 수 있는 중대한 재정적 결정을 내릴 때는 신중을 기하는 것이 필수적입니다.")</f>
        <v>It is essential to be prudent when making major financial decisions that could impact your future.
미래에 영향을 미칠 수 있는 중대한 재정적 결정을 내릴 때는 신중을 기하는 것이 필수적입니다.</v>
      </c>
      <c r="F301" s="16" t="s">
        <v>5186</v>
      </c>
      <c r="G301" s="16">
        <v>1</v>
      </c>
    </row>
    <row r="302" spans="1:7" ht="38.25">
      <c r="A302" s="15"/>
      <c r="B302" s="16">
        <v>301</v>
      </c>
      <c r="C302" s="16" t="s">
        <v>5187</v>
      </c>
      <c r="D302" s="16" t="s">
        <v>6792</v>
      </c>
      <c r="E302" s="16" t="str">
        <f ca="1">IFERROR(__xludf.DUMMYFUNCTION("AI(""c컬럼의 단어를 활용해서 적절한 예문을 만들어줘. 한글 해석은 줄띄움 후에 작성해줘"")"),"It is important to develop critical thinking skills to differentiate between evidence-based science and pseudoscience.
증거에 기반한 과학과 사이비 과학을 구별하기 위해 비판적 사고 능력을 기르는 것이 중요합니다.")</f>
        <v>It is important to develop critical thinking skills to differentiate between evidence-based science and pseudoscience.
증거에 기반한 과학과 사이비 과학을 구별하기 위해 비판적 사고 능력을 기르는 것이 중요합니다.</v>
      </c>
      <c r="F302" s="16" t="s">
        <v>5188</v>
      </c>
      <c r="G302" s="16">
        <v>1</v>
      </c>
    </row>
    <row r="303" spans="1:7" ht="51">
      <c r="A303" s="15"/>
      <c r="B303" s="16">
        <v>302</v>
      </c>
      <c r="C303" s="16" t="s">
        <v>5189</v>
      </c>
      <c r="D303" s="16" t="s">
        <v>6793</v>
      </c>
      <c r="E303" s="16" t="str">
        <f ca="1">IFERROR(__xludf.DUMMYFUNCTION("AI(""c컬럼의 단어를 활용해서 적절한 예문을 만들어줘. 한글 해석은 줄띄움 후에 작성해줘"")"),"Psoriasis is a chronic skin condition that causes red, scaly patches to appear on the skin, most commonly on the elbows and knees.
건선은 팔꿈치와 무릎에 가장 흔하게 나타나며, 피부에 붉고 비늘 같은 반점이 생기는 만성 피부 질환입니다.")</f>
        <v>Psoriasis is a chronic skin condition that causes red, scaly patches to appear on the skin, most commonly on the elbows and knees.
건선은 팔꿈치와 무릎에 가장 흔하게 나타나며, 피부에 붉고 비늘 같은 반점이 생기는 만성 피부 질환입니다.</v>
      </c>
      <c r="F303" s="16" t="s">
        <v>5190</v>
      </c>
      <c r="G303" s="16">
        <v>1</v>
      </c>
    </row>
    <row r="304" spans="1:7" ht="25.5">
      <c r="A304" s="15"/>
      <c r="B304" s="16">
        <v>303</v>
      </c>
      <c r="C304" s="16" t="s">
        <v>5191</v>
      </c>
      <c r="D304" s="16" t="s">
        <v>6794</v>
      </c>
      <c r="E304" s="16" t="str">
        <f ca="1">IFERROR(__xludf.DUMMYFUNCTION("AI(""c컬럼의 단어를 활용해서 적절한 예문을 만들어줘. 한글 해석은 줄띄움 후에 작성해줘"")"),"The celebrity’s appearance at the charity event was dismissed by critics as a cheap publicity stunt.
그 연예인의 자선 행사 참석은 비평가들에 의해 저급한 홍보성 행위로 치부되었습니다.")</f>
        <v>The celebrity’s appearance at the charity event was dismissed by critics as a cheap publicity stunt.
그 연예인의 자선 행사 참석은 비평가들에 의해 저급한 홍보성 행위로 치부되었습니다.</v>
      </c>
      <c r="F304" s="16" t="s">
        <v>5192</v>
      </c>
      <c r="G304" s="16">
        <v>1</v>
      </c>
    </row>
    <row r="305" spans="1:7" ht="51">
      <c r="A305" s="15"/>
      <c r="B305" s="16">
        <v>304</v>
      </c>
      <c r="C305" s="16" t="s">
        <v>5193</v>
      </c>
      <c r="D305" s="16" t="s">
        <v>6795</v>
      </c>
      <c r="E305" s="16" t="str">
        <f ca="1">IFERROR(__xludf.DUMMYFUNCTION("AI(""c컬럼의 단어를 활용해서 적절한 예문을 만들어줘. 한글 해석은 줄띄움 후에 작성해줘"")"),"The Pure Water San Diego Program will use proven water purification technology to clean recycled water to produce safe, high-quality drinking water.
샌디에이고 퓨어 워터 프로그램은 검증된 수질 정화 기술을 사용하여 재활용된 물을 깨끗하게 함으로써 안전하고 품질 높은 식수를 생산할 것입니다.")</f>
        <v>The Pure Water San Diego Program will use proven water purification technology to clean recycled water to produce safe, high-quality drinking water.
샌디에이고 퓨어 워터 프로그램은 검증된 수질 정화 기술을 사용하여 재활용된 물을 깨끗하게 함으로써 안전하고 품질 높은 식수를 생산할 것입니다.</v>
      </c>
      <c r="F305" s="16" t="s">
        <v>5194</v>
      </c>
      <c r="G305" s="16">
        <v>1</v>
      </c>
    </row>
    <row r="306" spans="1:7" ht="25.5">
      <c r="A306" s="15"/>
      <c r="B306" s="16">
        <v>305</v>
      </c>
      <c r="C306" s="16" t="s">
        <v>5195</v>
      </c>
      <c r="D306" s="16" t="s">
        <v>6796</v>
      </c>
      <c r="E306" s="16" t="str">
        <f ca="1">IFERROR(__xludf.DUMMYFUNCTION("AI(""c컬럼의 단어를 활용해서 적절한 예문을 만들어줘. 한글 해석은 줄띄움 후에 작성해줘"")"),"The government decided to deploy military forces to quell an uprising in the capital city.
정부는 수도에서 발생한 반란을 진압하기 위해 군대를 배치하기로 결정했습니다.")</f>
        <v>The government decided to deploy military forces to quell an uprising in the capital city.
정부는 수도에서 발생한 반란을 진압하기 위해 군대를 배치하기로 결정했습니다.</v>
      </c>
      <c r="F306" s="16" t="s">
        <v>5195</v>
      </c>
      <c r="G306" s="16">
        <v>1</v>
      </c>
    </row>
    <row r="307" spans="1:7" ht="51">
      <c r="A307" s="15"/>
      <c r="B307" s="16">
        <v>306</v>
      </c>
      <c r="C307" s="16" t="s">
        <v>5196</v>
      </c>
      <c r="D307" s="16" t="s">
        <v>6797</v>
      </c>
      <c r="E307" s="16" t="str">
        <f ca="1">IFERROR(__xludf.DUMMYFUNCTION("AI(""c컬럼의 단어를 활용해서 적절한 예문을 만들어줘. 한글 해석은 줄띄움 후에 작성해줘"")"),"The authoritarian government used strict censorship and heavy policing to quell dissent among the citizens.
독재 정부는 시민들 사이의 반대 의견을 진압하기 위해 엄격한 검열과 강력한 치안 유지를 이용했습니다.")</f>
        <v>The authoritarian government used strict censorship and heavy policing to quell dissent among the citizens.
독재 정부는 시민들 사이의 반대 의견을 진압하기 위해 엄격한 검열과 강력한 치안 유지를 이용했습니다.</v>
      </c>
      <c r="F307" s="16" t="s">
        <v>5196</v>
      </c>
      <c r="G307" s="16">
        <v>1</v>
      </c>
    </row>
    <row r="308" spans="1:7" ht="38.25">
      <c r="A308" s="15"/>
      <c r="B308" s="16">
        <v>307</v>
      </c>
      <c r="C308" s="16" t="s">
        <v>5197</v>
      </c>
      <c r="D308" s="16" t="s">
        <v>6798</v>
      </c>
      <c r="E308" s="16" t="str">
        <f ca="1">IFERROR(__xludf.DUMMYFUNCTION("AI(""c컬럼의 단어를 활용해서 적절한 예문을 만들어줘. 한글 해석은 줄띄움 후에 작성해줘"")"),"Environmental impact analysis is used to identify and mitigate the potential environmental ramifications of development projects.
환경 영향 분석은 개발 프로젝트의 잠재적인 환경적 파급 효과를 식별하고 완화하는 데 사용됩니다.")</f>
        <v>Environmental impact analysis is used to identify and mitigate the potential environmental ramifications of development projects.
환경 영향 분석은 개발 프로젝트의 잠재적인 환경적 파급 효과를 식별하고 완화하는 데 사용됩니다.</v>
      </c>
      <c r="F308" s="16" t="s">
        <v>5198</v>
      </c>
      <c r="G308" s="16">
        <v>1</v>
      </c>
    </row>
    <row r="309" spans="1:7" ht="25.5">
      <c r="A309" s="15"/>
      <c r="B309" s="16">
        <v>308</v>
      </c>
      <c r="C309" s="16" t="s">
        <v>5199</v>
      </c>
      <c r="D309" s="16" t="s">
        <v>6799</v>
      </c>
      <c r="E309" s="16" t="str">
        <f ca="1">IFERROR(__xludf.DUMMYFUNCTION("AI(""c컬럼의 단어를 활용해서 적절한 예문을 만들어줘. 한글 해석은 줄띄움 후에 작성해줘"")"),"The biological study explains the evolutionary rationale behind certain animal behaviors.
그 생물학 연구는 특정 동물 행동 뒤에 숨겨진 진화론적 근거를 설명합니다.")</f>
        <v>The biological study explains the evolutionary rationale behind certain animal behaviors.
그 생물학 연구는 특정 동물 행동 뒤에 숨겨진 진화론적 근거를 설명합니다.</v>
      </c>
      <c r="F309" s="16" t="s">
        <v>5200</v>
      </c>
      <c r="G309" s="16">
        <v>1</v>
      </c>
    </row>
    <row r="310" spans="1:7" ht="25.5">
      <c r="A310" s="15"/>
      <c r="B310" s="16">
        <v>309</v>
      </c>
      <c r="C310" s="16" t="s">
        <v>5201</v>
      </c>
      <c r="D310" s="16" t="s">
        <v>6800</v>
      </c>
      <c r="E310" s="16" t="str">
        <f ca="1">IFERROR(__xludf.DUMMYFUNCTION("AI(""c컬럼의 단어를 활용해서 적절한 예문을 만들어줘. 한글 해석은 줄띄움 후에 작성해줘"")"),"House Bill 2265 passed through with sweeping support from both chambers and both sides of the aisle.
하우스 빌 2265는 양원과 상대 당 모두로부터 압도적인 지지를 받으며 통과되었습니다.")</f>
        <v>House Bill 2265 passed through with sweeping support from both chambers and both sides of the aisle.
하우스 빌 2265는 양원과 상대 당 모두로부터 압도적인 지지를 받으며 통과되었습니다.</v>
      </c>
      <c r="F310" s="16" t="s">
        <v>5201</v>
      </c>
      <c r="G310" s="16">
        <v>1</v>
      </c>
    </row>
    <row r="311" spans="1:7" ht="38.25">
      <c r="A311" s="15"/>
      <c r="B311" s="16">
        <v>310</v>
      </c>
      <c r="C311" s="16" t="s">
        <v>5202</v>
      </c>
      <c r="D311" s="16" t="s">
        <v>6801</v>
      </c>
      <c r="E311" s="16" t="str">
        <f ca="1">IFERROR(__xludf.DUMMYFUNCTION("AI(""c컬럼의 단어를 활용해서 적절한 예문을 만들어줘. 한글 해석은 줄띄움 후에 작성해줘"")"),"The company announced it was receptive to acquisition offers that align with its long-term growth strategy.
그 회사는 자사의 장기 성장 전략과 일치하는 인수 제안에 호의적이라고 발표했습니다.")</f>
        <v>The company announced it was receptive to acquisition offers that align with its long-term growth strategy.
그 회사는 자사의 장기 성장 전략과 일치하는 인수 제안에 호의적이라고 발표했습니다.</v>
      </c>
      <c r="F311" s="16" t="s">
        <v>5202</v>
      </c>
      <c r="G311" s="16">
        <v>1</v>
      </c>
    </row>
    <row r="312" spans="1:7" ht="25.5">
      <c r="A312" s="15"/>
      <c r="B312" s="16">
        <v>311</v>
      </c>
      <c r="C312" s="16" t="s">
        <v>5203</v>
      </c>
      <c r="D312" s="16" t="s">
        <v>6802</v>
      </c>
      <c r="E312" s="16" t="str">
        <f ca="1">IFERROR(__xludf.DUMMYFUNCTION("AI(""c컬럼의 단어를 활용해서 적절한 예문을 만들어줘. 한글 해석은 줄띄움 후에 작성해줘"")"),"Many marine species find refuge in deep-water reefs to protect themselves from predators.
많은 해양 생물들은 포식자로부터 자신을 보호하기 위해 심해 산호초에서 피난처를 찾습니다.")</f>
        <v>Many marine species find refuge in deep-water reefs to protect themselves from predators.
많은 해양 생물들은 포식자로부터 자신을 보호하기 위해 심해 산호초에서 피난처를 찾습니다.</v>
      </c>
      <c r="F312" s="16" t="s">
        <v>5204</v>
      </c>
      <c r="G312" s="16">
        <v>1</v>
      </c>
    </row>
    <row r="313" spans="1:7" ht="38.25">
      <c r="A313" s="15"/>
      <c r="B313" s="16">
        <v>312</v>
      </c>
      <c r="C313" s="16" t="s">
        <v>5205</v>
      </c>
      <c r="D313" s="16" t="s">
        <v>6803</v>
      </c>
      <c r="E313" s="16" t="str">
        <f ca="1">IFERROR(__xludf.DUMMYFUNCTION("AI(""c컬럼의 단어를 활용해서 적절한 예문을 만들어줘. 한글 해석은 줄띄움 후에 작성해줘"")"),"The city council approved the funding for the refurbishment of the historic theater to restore its former glory.
시 의회는 역사적인 극장을 이전의 영광으로 되돌리기 위한 개보수 자금 지원을 승인했습니다.")</f>
        <v>The city council approved the funding for the refurbishment of the historic theater to restore its former glory.
시 의회는 역사적인 극장을 이전의 영광으로 되돌리기 위한 개보수 자금 지원을 승인했습니다.</v>
      </c>
      <c r="F313" s="16" t="s">
        <v>5206</v>
      </c>
      <c r="G313" s="16">
        <v>1</v>
      </c>
    </row>
    <row r="314" spans="1:7" ht="51">
      <c r="A314" s="15"/>
      <c r="B314" s="16">
        <v>313</v>
      </c>
      <c r="C314" s="16" t="s">
        <v>612</v>
      </c>
      <c r="D314" s="16" t="s">
        <v>6804</v>
      </c>
      <c r="E314" s="16" t="str">
        <f ca="1">IFERROR(__xludf.DUMMYFUNCTION("AI(""c컬럼의 단어를 활용해서 적절한 예문을 만들어줘. 한글 해석은 줄띄움 후에 작성해줘"")"),"The defense attorney introduced several expert witnesses to conclusively refute the forensic evidence presented by the prosecution.
국방 변호인은 검찰이 제시한 법의학 증거를 결정적으로 논박하기 위해 여러 명의 전문가 증인을 도입했습니다.")</f>
        <v>The defense attorney introduced several expert witnesses to conclusively refute the forensic evidence presented by the prosecution.
국방 변호인은 검찰이 제시한 법의학 증거를 결정적으로 논박하기 위해 여러 명의 전문가 증인을 도입했습니다.</v>
      </c>
      <c r="F314" s="16" t="s">
        <v>5207</v>
      </c>
      <c r="G314" s="16">
        <v>1</v>
      </c>
    </row>
    <row r="315" spans="1:7" ht="51">
      <c r="A315" s="15"/>
      <c r="B315" s="16">
        <v>314</v>
      </c>
      <c r="C315" s="16" t="s">
        <v>5208</v>
      </c>
      <c r="D315" s="16" t="s">
        <v>6805</v>
      </c>
      <c r="E315" s="16" t="str">
        <f ca="1">IFERROR(__xludf.DUMMYFUNCTION("AI(""c컬럼의 단어를 활용해서 적절한 예문을 만들어줘. 한글 해석은 줄띄움 후에 작성해줘"")"),"Regenerative medicine has the potential to heal or replace tissues and organs damaged by age, disease, or trauma.
재생 의학은 노화, 질병 또는 외상으로 인해 손상된 조직과 장기를 치유하거나 교체할 수 있는 잠재력을 가지고 있습니다.")</f>
        <v>Regenerative medicine has the potential to heal or replace tissues and organs damaged by age, disease, or trauma.
재생 의학은 노화, 질병 또는 외상으로 인해 손상된 조직과 장기를 치유하거나 교체할 수 있는 잠재력을 가지고 있습니다.</v>
      </c>
      <c r="F315" s="16" t="s">
        <v>5208</v>
      </c>
      <c r="G315" s="16">
        <v>1</v>
      </c>
    </row>
    <row r="316" spans="1:7" ht="25.5">
      <c r="A316" s="15"/>
      <c r="B316" s="16">
        <v>315</v>
      </c>
      <c r="C316" s="16" t="s">
        <v>5209</v>
      </c>
      <c r="D316" s="16" t="s">
        <v>6806</v>
      </c>
      <c r="E316" s="16" t="str">
        <f ca="1">IFERROR(__xludf.DUMMYFUNCTION("AI(""c컬럼의 단어를 활용해서 적절한 예문을 만들어줘. 한글 해석은 줄띄움 후에 작성해줘"")"),"The importance of effective regulatory oversight in financial reporting cannot be overstated.
재무 보고에서 효과적인 규제 감독의 중요성은 아무리 강조해도 지나치지 않습니다.")</f>
        <v>The importance of effective regulatory oversight in financial reporting cannot be overstated.
재무 보고에서 효과적인 규제 감독의 중요성은 아무리 강조해도 지나치지 않습니다.</v>
      </c>
      <c r="F316" s="16" t="s">
        <v>5210</v>
      </c>
      <c r="G316" s="16">
        <v>1</v>
      </c>
    </row>
    <row r="317" spans="1:7" ht="38.25">
      <c r="A317" s="15"/>
      <c r="B317" s="16">
        <v>316</v>
      </c>
      <c r="C317" s="16" t="s">
        <v>5211</v>
      </c>
      <c r="D317" s="16" t="s">
        <v>6807</v>
      </c>
      <c r="E317" s="16" t="str">
        <f ca="1">IFERROR(__xludf.DUMMYFUNCTION("AI(""c컬럼의 단어를 활용해서 적절한 예문을 만들어줘. 한글 해석은 줄띄움 후에 작성해줘"")"),"The company agreed to reimburse the employee for all travel expenses incurred during the business trip.
회사는 직원이 출장 중 발생한 모든 여행 경비를 환급해 주기로 합의했습니다.")</f>
        <v>The company agreed to reimburse the employee for all travel expenses incurred during the business trip.
회사는 직원이 출장 중 발생한 모든 여행 경비를 환급해 주기로 합의했습니다.</v>
      </c>
      <c r="F317" s="16" t="s">
        <v>5212</v>
      </c>
      <c r="G317" s="16">
        <v>1</v>
      </c>
    </row>
    <row r="318" spans="1:7" ht="51">
      <c r="A318" s="15"/>
      <c r="B318" s="16">
        <v>317</v>
      </c>
      <c r="C318" s="16" t="s">
        <v>5213</v>
      </c>
      <c r="D318" s="16" t="s">
        <v>6808</v>
      </c>
      <c r="E318" s="16" t="str">
        <f ca="1">IFERROR(__xludf.DUMMYFUNCTION("AI(""c컬럼의 단어를 활용해서 적절한 예문을 만들어줘. 한글 해석은 줄띄움 후에 작성해줘"")"),"The company established a clear policy for travel expense reimbursement to ensure all employees are fairly repaid for work-related costs.
회사는 모든 직원이 업무 관련 비용을 공정하게 환급받을 수 있도록 명확한 출장비 상환 정책을 수립했습니다.")</f>
        <v>The company established a clear policy for travel expense reimbursement to ensure all employees are fairly repaid for work-related costs.
회사는 모든 직원이 업무 관련 비용을 공정하게 환급받을 수 있도록 명확한 출장비 상환 정책을 수립했습니다.</v>
      </c>
      <c r="F318" s="16" t="s">
        <v>5214</v>
      </c>
      <c r="G318" s="16">
        <v>1</v>
      </c>
    </row>
    <row r="319" spans="1:7" ht="38.25">
      <c r="A319" s="15"/>
      <c r="B319" s="16">
        <v>318</v>
      </c>
      <c r="C319" s="16" t="s">
        <v>5215</v>
      </c>
      <c r="D319" s="16" t="s">
        <v>6809</v>
      </c>
      <c r="E319" s="16" t="str">
        <f ca="1">IFERROR(__xludf.DUMMYFUNCTION("AI(""c컬럼의 단어를 활용해서 적절한 예문을 만들어줘. 한글 해석은 줄띄움 후에 작성해줘"")"),"The best leaders have a relentless pursuit of excellence, which distinguishes them from others.
가장 훌륭한 리더들은 탁월함에 대한 끊임없는 추구를 멈추지 않으며, 이것이 그들을 다른 사람들과 구별해 줍니다.")</f>
        <v>The best leaders have a relentless pursuit of excellence, which distinguishes them from others.
가장 훌륭한 리더들은 탁월함에 대한 끊임없는 추구를 멈추지 않으며, 이것이 그들을 다른 사람들과 구별해 줍니다.</v>
      </c>
      <c r="F319" s="16" t="s">
        <v>5216</v>
      </c>
      <c r="G319" s="16">
        <v>1</v>
      </c>
    </row>
    <row r="320" spans="1:7" ht="51">
      <c r="A320" s="15"/>
      <c r="B320" s="16">
        <v>319</v>
      </c>
      <c r="C320" s="16" t="s">
        <v>5217</v>
      </c>
      <c r="D320" s="16" t="s">
        <v>6810</v>
      </c>
      <c r="E320" s="16" t="str">
        <f ca="1">IFERROR(__xludf.DUMMYFUNCTION("AI(""c컬럼의 단어를 활용해서 적절한 예문을 만들어줘. 한글 해석은 줄띄움 후에 작성해줘"")"),"Regular physical activity can render a person less susceptible to various chronic diseases like heart disease and diabetes.
규칙적인 신체 활동은 사람을 심장 질환이나 당뇨병과 같은 다양한 만성 질환에 덜 취약하게 만들 수 있습니다.")</f>
        <v>Regular physical activity can render a person less susceptible to various chronic diseases like heart disease and diabetes.
규칙적인 신체 활동은 사람을 심장 질환이나 당뇨병과 같은 다양한 만성 질환에 덜 취약하게 만들 수 있습니다.</v>
      </c>
      <c r="F320" s="16" t="s">
        <v>5218</v>
      </c>
      <c r="G320" s="16">
        <v>1</v>
      </c>
    </row>
    <row r="321" spans="1:7" ht="38.25">
      <c r="A321" s="15"/>
      <c r="B321" s="16">
        <v>320</v>
      </c>
      <c r="C321" s="16" t="s">
        <v>3775</v>
      </c>
      <c r="D321" s="16" t="s">
        <v>6811</v>
      </c>
      <c r="E321" s="16" t="str">
        <f ca="1">IFERROR(__xludf.DUMMYFUNCTION("AI(""c컬럼의 단어를 활용해서 적절한 예문을 만들어줘. 한글 해석은 줄띄움 후에 작성해줘"")"),"The repatriation of cultural artifacts is an ongoing debate concerning the return of items to their countries of origin.
문화재 본국 반환은 해당 물품을 기원국으로 돌려보내는 것에 관한 지속적인 논쟁입니다.")</f>
        <v>The repatriation of cultural artifacts is an ongoing debate concerning the return of items to their countries of origin.
문화재 본국 반환은 해당 물품을 기원국으로 돌려보내는 것에 관한 지속적인 논쟁입니다.</v>
      </c>
      <c r="F321" s="16" t="s">
        <v>5219</v>
      </c>
      <c r="G321" s="16">
        <v>1</v>
      </c>
    </row>
    <row r="322" spans="1:7" ht="51">
      <c r="A322" s="15"/>
      <c r="B322" s="16">
        <v>321</v>
      </c>
      <c r="C322" s="16" t="s">
        <v>5220</v>
      </c>
      <c r="D322" s="16" t="s">
        <v>6812</v>
      </c>
      <c r="E322" s="16" t="str">
        <f ca="1">IFERROR(__xludf.DUMMYFUNCTION("AI(""c컬럼의 단어를 활용해서 적절한 예문을 만들어줘. 한글 해석은 줄띄움 후에 작성해줘"")"),"The architect's design provides a visual representation of how the city has reinvented itself over its long history.
그 건축가의 디자인은 도시가 긴 역사에 걸쳐 어떻게 스스로를 재탄생시켰는지를 시각적으로 표현해 줍니다.")</f>
        <v>The architect's design provides a visual representation of how the city has reinvented itself over its long history.
그 건축가의 디자인은 도시가 긴 역사에 걸쳐 어떻게 스스로를 재탄생시켰는지를 시각적으로 표현해 줍니다.</v>
      </c>
      <c r="F322" s="16" t="s">
        <v>5221</v>
      </c>
      <c r="G322" s="16">
        <v>1</v>
      </c>
    </row>
    <row r="323" spans="1:7" ht="25.5">
      <c r="A323" s="15"/>
      <c r="B323" s="16">
        <v>322</v>
      </c>
      <c r="C323" s="16" t="s">
        <v>5222</v>
      </c>
      <c r="D323" s="16" t="s">
        <v>6813</v>
      </c>
      <c r="E323" s="16" t="str">
        <f ca="1">IFERROR(__xludf.DUMMYFUNCTION("AI(""c컬럼의 단어를 활용해서 적절한 예문을 만들어줘. 한글 해석은 줄띄움 후에 작성해줘"")"),"The government is considering military action as a reprisal for the recent terrorist attacks.
정부는 최근의 테러 공격에 대한 보복으로 군사 조치를 검토하고 있습니다.")</f>
        <v>The government is considering military action as a reprisal for the recent terrorist attacks.
정부는 최근의 테러 공격에 대한 보복으로 군사 조치를 검토하고 있습니다.</v>
      </c>
      <c r="F323" s="16" t="s">
        <v>5223</v>
      </c>
      <c r="G323" s="16">
        <v>1</v>
      </c>
    </row>
    <row r="324" spans="1:7" ht="25.5">
      <c r="A324" s="15"/>
      <c r="B324" s="16">
        <v>323</v>
      </c>
      <c r="C324" s="16" t="s">
        <v>5224</v>
      </c>
      <c r="D324" s="16" t="s">
        <v>6814</v>
      </c>
      <c r="E324" s="16" t="str">
        <f ca="1">IFERROR(__xludf.DUMMYFUNCTION("AI(""c컬럼의 단어를 활용해서 적절한 예문을 만들어줘. 한글 해석은 줄띄움 후에 작성해줘"")"),"The reticulocyte count is a valuable tool for assessing the bone marrow's response to anemia.
망상적혈구 수치는 빈혈에 대한 골수의 반응을 평가하는 데 유용한 도구입니다.")</f>
        <v>The reticulocyte count is a valuable tool for assessing the bone marrow's response to anemia.
망상적혈구 수치는 빈혈에 대한 골수의 반응을 평가하는 데 유용한 도구입니다.</v>
      </c>
      <c r="F324" s="16" t="s">
        <v>5225</v>
      </c>
      <c r="G324" s="16">
        <v>1</v>
      </c>
    </row>
    <row r="325" spans="1:7" ht="38.25">
      <c r="A325" s="15"/>
      <c r="B325" s="16">
        <v>324</v>
      </c>
      <c r="C325" s="16" t="s">
        <v>5226</v>
      </c>
      <c r="D325" s="16" t="s">
        <v>6815</v>
      </c>
      <c r="E325" s="16" t="str">
        <f ca="1">IFERROR(__xludf.DUMMYFUNCTION("AI(""c컬럼의 단어를 활용해서 적절한 예문을 만들어줘. 한글 해석은 줄띄움 후에 작성해줘"")"),"The government decided to respond with retorsion after the neighboring country imposed unfair trade tariffs.
이웃 국가가 부당한 무역 관세를 부과하자 정부는 보복 조치로 대응하기로 결정했습니다.")</f>
        <v>The government decided to respond with retorsion after the neighboring country imposed unfair trade tariffs.
이웃 국가가 부당한 무역 관세를 부과하자 정부는 보복 조치로 대응하기로 결정했습니다.</v>
      </c>
      <c r="F325" s="16" t="s">
        <v>5227</v>
      </c>
      <c r="G325" s="16">
        <v>1</v>
      </c>
    </row>
    <row r="326" spans="1:7" ht="51">
      <c r="A326" s="15"/>
      <c r="B326" s="16">
        <v>325</v>
      </c>
      <c r="C326" s="16" t="s">
        <v>5228</v>
      </c>
      <c r="D326" s="16" t="s">
        <v>6816</v>
      </c>
      <c r="E326" s="16" t="str">
        <f ca="1">IFERROR(__xludf.DUMMYFUNCTION("AI(""c컬럼의 단어를 활용해서 적절한 예문을 만들어줘. 한글 해석은 줄띄움 후에 작성해줘"")"),"Eligible small businesses are allowed to apply the new expensing rules retroactively to expenditures incurred in prior taxable years.
적격 소기업은 이전 과세 연도에 발생한 지출에 대해 새로운 비용 처리 규정을 소급해서 적용할 수 있습니다.")</f>
        <v>Eligible small businesses are allowed to apply the new expensing rules retroactively to expenditures incurred in prior taxable years.
적격 소기업은 이전 과세 연도에 발생한 지출에 대해 새로운 비용 처리 규정을 소급해서 적용할 수 있습니다.</v>
      </c>
      <c r="F326" s="16" t="s">
        <v>5229</v>
      </c>
      <c r="G326" s="16">
        <v>1</v>
      </c>
    </row>
    <row r="327" spans="1:7" ht="38.25">
      <c r="A327" s="15"/>
      <c r="B327" s="16">
        <v>326</v>
      </c>
      <c r="C327" s="16" t="s">
        <v>5230</v>
      </c>
      <c r="D327" s="16" t="s">
        <v>6817</v>
      </c>
      <c r="E327" s="16" t="str">
        <f ca="1">IFERROR(__xludf.DUMMYFUNCTION("AI(""c컬럼의 단어를 활용해서 적절한 예문을 만들어줘. 한글 해석은 줄띄움 후에 작성해줘"")"),"Scientists use reverse transcriptase to convert viral RNA into DNA for further study or diagnosis.
과학자들은 추가 연구나 진단을 위해 바이러스의 RNA를 DNA로 전환하는 데 역전사 효소를 사용합니다.")</f>
        <v>Scientists use reverse transcriptase to convert viral RNA into DNA for further study or diagnosis.
과학자들은 추가 연구나 진단을 위해 바이러스의 RNA를 DNA로 전환하는 데 역전사 효소를 사용합니다.</v>
      </c>
      <c r="F327" s="16" t="s">
        <v>5231</v>
      </c>
      <c r="G327" s="16">
        <v>1</v>
      </c>
    </row>
    <row r="328" spans="1:7" ht="51">
      <c r="A328" s="15"/>
      <c r="B328" s="16">
        <v>327</v>
      </c>
      <c r="C328" s="16" t="s">
        <v>5232</v>
      </c>
      <c r="D328" s="16" t="s">
        <v>6818</v>
      </c>
      <c r="E328" s="16" t="str">
        <f ca="1">IFERROR(__xludf.DUMMYFUNCTION("AI(""c컬럼의 단어를 활용해서 적절한 예문을 만들어줘. 한글 해석은 줄띄움 후에 작성해줘"")"),"Artificial intelligence has the potential to revolutionize how we generate and consume power while helping to mitigate climate change.
인공지능은 기후 변화 완화를 돕는 동시에 우리가 에너지를 생성하고 소비하는 방식을 혁신할 잠재력을 가지고 있습니다.")</f>
        <v>Artificial intelligence has the potential to revolutionize how we generate and consume power while helping to mitigate climate change.
인공지능은 기후 변화 완화를 돕는 동시에 우리가 에너지를 생성하고 소비하는 방식을 혁신할 잠재력을 가지고 있습니다.</v>
      </c>
      <c r="F328" s="16" t="s">
        <v>5233</v>
      </c>
      <c r="G328" s="16">
        <v>1</v>
      </c>
    </row>
    <row r="329" spans="1:7" ht="51">
      <c r="A329" s="15"/>
      <c r="B329" s="16">
        <v>328</v>
      </c>
      <c r="C329" s="16" t="s">
        <v>5234</v>
      </c>
      <c r="D329" s="16" t="s">
        <v>6819</v>
      </c>
      <c r="E329" s="16" t="str">
        <f ca="1">IFERROR(__xludf.DUMMYFUNCTION("AI(""c컬럼의 단어를 활용해서 적절한 예문을 만들어줘. 한글 해석은 줄띄움 후에 작성해줘"")"),"Despite the long and difficult journey, the shared sense of purpose among the team was the only saving grace that kept them motivated.
그 길고 험난한 여정에도 불구하고, 팀원들 사이에 공유된 목적의식은 그들이 동기를 유지하게 해준 유일하게 다행인 점이었습니다.")</f>
        <v>Despite the long and difficult journey, the shared sense of purpose among the team was the only saving grace that kept them motivated.
그 길고 험난한 여정에도 불구하고, 팀원들 사이에 공유된 목적의식은 그들이 동기를 유지하게 해준 유일하게 다행인 점이었습니다.</v>
      </c>
      <c r="F329" s="16" t="s">
        <v>5235</v>
      </c>
      <c r="G329" s="16">
        <v>1</v>
      </c>
    </row>
    <row r="330" spans="1:7" ht="51">
      <c r="A330" s="15"/>
      <c r="B330" s="16">
        <v>329</v>
      </c>
      <c r="C330" s="16" t="s">
        <v>5236</v>
      </c>
      <c r="D330" s="16" t="s">
        <v>6820</v>
      </c>
      <c r="E330" s="16" t="str">
        <f ca="1">IFERROR(__xludf.DUMMYFUNCTION("AI(""c컬럼의 단어를 활용해서 적절한 예문을 만들어줘. 한글 해석은 줄띄움 후에 작성해줘"")"),"Ancient scribes were responsible for meticulously documenting history and maintaining essential records for the kingdom.
고대 필경사들은 왕국을 위해 역사를 세심하게 기록하고 필수적인 기록물을 유지하는 책임을 맡았습니다.")</f>
        <v>Ancient scribes were responsible for meticulously documenting history and maintaining essential records for the kingdom.
고대 필경사들은 왕국을 위해 역사를 세심하게 기록하고 필수적인 기록물을 유지하는 책임을 맡았습니다.</v>
      </c>
      <c r="F330" s="16" t="s">
        <v>5237</v>
      </c>
      <c r="G330" s="16">
        <v>1</v>
      </c>
    </row>
    <row r="331" spans="1:7" ht="25.5">
      <c r="A331" s="15"/>
      <c r="B331" s="16">
        <v>330</v>
      </c>
      <c r="C331" s="16" t="s">
        <v>5238</v>
      </c>
      <c r="D331" s="16" t="s">
        <v>6821</v>
      </c>
      <c r="E331" s="16" t="str">
        <f ca="1">IFERROR(__xludf.DUMMYFUNCTION("AI(""c컬럼의 단어를 활용해서 적절한 예문을 만들어줘. 한글 해석은 줄띄움 후에 작성해줘"")"),"The proposed marketing strategy is facing increased scrutiny from the board of directors.
제안된 마케팅 전략은 이사회로부터 강화된 정밀 조사를 받고 있습니다.")</f>
        <v>The proposed marketing strategy is facing increased scrutiny from the board of directors.
제안된 마케팅 전략은 이사회로부터 강화된 정밀 조사를 받고 있습니다.</v>
      </c>
      <c r="F331" s="16" t="s">
        <v>5239</v>
      </c>
      <c r="G331" s="16">
        <v>1</v>
      </c>
    </row>
    <row r="332" spans="1:7" ht="38.25">
      <c r="A332" s="15"/>
      <c r="B332" s="16">
        <v>331</v>
      </c>
      <c r="C332" s="16" t="s">
        <v>5240</v>
      </c>
      <c r="D332" s="16" t="s">
        <v>6822</v>
      </c>
      <c r="E332" s="16" t="str">
        <f ca="1">IFERROR(__xludf.DUMMYFUNCTION("AI(""c컬럼의 단어를 활용해서 적절한 예문을 만들어줘. 한글 해석은 줄띄움 후에 작성해줘"")"),"The signature of the Munich Agreement would eventually seal the nation's fate, leading to its total occupation within months.
뮌헨 협정의 체결은 결국 그 국가의 운명을 결정지었으며, 불과 몇 달 만에 전체 점령으로 이어졌습니다.")</f>
        <v>The signature of the Munich Agreement would eventually seal the nation's fate, leading to its total occupation within months.
뮌헨 협정의 체결은 결국 그 국가의 운명을 결정지었으며, 불과 몇 달 만에 전체 점령으로 이어졌습니다.</v>
      </c>
      <c r="F332" s="16" t="s">
        <v>5241</v>
      </c>
      <c r="G332" s="16">
        <v>1</v>
      </c>
    </row>
    <row r="333" spans="1:7" ht="51">
      <c r="A333" s="15"/>
      <c r="B333" s="16">
        <v>332</v>
      </c>
      <c r="C333" s="16" t="s">
        <v>5242</v>
      </c>
      <c r="D333" s="16" t="s">
        <v>6823</v>
      </c>
      <c r="E333" s="16" t="str">
        <f ca="1">IFERROR(__xludf.DUMMYFUNCTION("AI(""c컬럼의 단어를 활용해서 적절한 예문을 만들어줘. 한글 해석은 줄띄움 후에 작성해줘"")"),"The fear of failure often creates a self-fulfilling prophecy, where the expectation of failing leads to behaviors that make failure more likely.
실패에 대한 두려움은 종종 자기실현적 예언을 만들어내는데, 실패할 것이라는 기대가 실제로 실패할 가능성을 높이는 행동으로 이어지기 때문입니다.")</f>
        <v>The fear of failure often creates a self-fulfilling prophecy, where the expectation of failing leads to behaviors that make failure more likely.
실패에 대한 두려움은 종종 자기실현적 예언을 만들어내는데, 실패할 것이라는 기대가 실제로 실패할 가능성을 높이는 행동으로 이어지기 때문입니다.</v>
      </c>
      <c r="F333" s="16" t="s">
        <v>5243</v>
      </c>
      <c r="G333" s="16">
        <v>1</v>
      </c>
    </row>
    <row r="334" spans="1:7" ht="38.25">
      <c r="A334" s="15"/>
      <c r="B334" s="16">
        <v>333</v>
      </c>
      <c r="C334" s="16" t="s">
        <v>5244</v>
      </c>
      <c r="D334" s="16" t="s">
        <v>6824</v>
      </c>
      <c r="E334" s="16" t="str">
        <f ca="1">IFERROR(__xludf.DUMMYFUNCTION("AI(""c컬럼의 단어를 활용해서 적절한 예문을 만들어줘. 한글 해석은 줄띄움 후에 작성해줘"")"),"The semiconductor industry is experiencing rapid growth due to the increasing demand for artificial intelligence and cloud computing.
반도체 산업은 인공지능과 클라우드 컴퓨팅에 대한 수요 증가로 인해 급속한 성장을 경험하고 있습니다.")</f>
        <v>The semiconductor industry is experiencing rapid growth due to the increasing demand for artificial intelligence and cloud computing.
반도체 산업은 인공지능과 클라우드 컴퓨팅에 대한 수요 증가로 인해 급속한 성장을 경험하고 있습니다.</v>
      </c>
      <c r="F334" s="16" t="s">
        <v>5245</v>
      </c>
      <c r="G334" s="16">
        <v>1</v>
      </c>
    </row>
    <row r="335" spans="1:7" ht="25.5">
      <c r="A335" s="15"/>
      <c r="B335" s="16">
        <v>334</v>
      </c>
      <c r="C335" s="16" t="s">
        <v>5246</v>
      </c>
      <c r="D335" s="16" t="s">
        <v>6825</v>
      </c>
      <c r="E335" s="16" t="str">
        <f ca="1">IFERROR(__xludf.DUMMYFUNCTION("AI(""c컬럼의 단어를 활용해서 적절한 예문을 만들어줘. 한글 해석은 줄띄움 후에 작성해줘"")"),"The film was criticized by some reviewers for its excessive sentimentality and predictable plot.
그 영화는 과도한 감상주의와 예측 가능한 줄거리로 인해 일부 비평가들로부터 비판을 받았습니다.")</f>
        <v>The film was criticized by some reviewers for its excessive sentimentality and predictable plot.
그 영화는 과도한 감상주의와 예측 가능한 줄거리로 인해 일부 비평가들로부터 비판을 받았습니다.</v>
      </c>
      <c r="F335" s="16" t="s">
        <v>5247</v>
      </c>
      <c r="G335" s="16">
        <v>1</v>
      </c>
    </row>
    <row r="336" spans="1:7" ht="51">
      <c r="A336" s="15"/>
      <c r="B336" s="16">
        <v>335</v>
      </c>
      <c r="C336" s="16" t="s">
        <v>5248</v>
      </c>
      <c r="D336" s="16" t="s">
        <v>6826</v>
      </c>
      <c r="E336" s="16" t="str">
        <f ca="1">IFERROR(__xludf.DUMMYFUNCTION("AI(""c컬럼의 단어를 활용해서 적절한 예문을 만들어줘. 한글 해석은 줄띄움 후에 작성해줘"")"),"The committee members debated for several hours before they finally settled upon a new budget plan for the next fiscal year.
위원회 위원들은 다음 회계 연도를 위한 새로운 예산안으로 최종 결정하기 전까지 몇 시간 동안 논의했습니다.")</f>
        <v>The committee members debated for several hours before they finally settled upon a new budget plan for the next fiscal year.
위원회 위원들은 다음 회계 연도를 위한 새로운 예산안으로 최종 결정하기 전까지 몇 시간 동안 논의했습니다.</v>
      </c>
      <c r="F336" s="16" t="s">
        <v>5249</v>
      </c>
      <c r="G336" s="16">
        <v>1</v>
      </c>
    </row>
    <row r="337" spans="1:7" ht="38.25">
      <c r="A337" s="15"/>
      <c r="B337" s="16">
        <v>336</v>
      </c>
      <c r="C337" s="16" t="s">
        <v>5250</v>
      </c>
      <c r="D337" s="16" t="s">
        <v>6827</v>
      </c>
      <c r="E337" s="16" t="str">
        <f ca="1">IFERROR(__xludf.DUMMYFUNCTION("AI(""c컬럼의 단어를 활용해서 적절한 예문을 만들어줘. 한글 해석은 줄띄움 후에 작성해줘"")"),"The company implemented a robust risk management strategy to sidestep potential losses during the economic downturn.
그 회사는 경기 침체기 동안 잠재적인 손실을 피하기 위해 강력한 위험 관리 전략을 시행했습니다.")</f>
        <v>The company implemented a robust risk management strategy to sidestep potential losses during the economic downturn.
그 회사는 경기 침체기 동안 잠재적인 손실을 피하기 위해 강력한 위험 관리 전략을 시행했습니다.</v>
      </c>
      <c r="F337" s="16" t="s">
        <v>5251</v>
      </c>
      <c r="G337" s="16">
        <v>1</v>
      </c>
    </row>
    <row r="338" spans="1:7" ht="25.5">
      <c r="A338" s="15"/>
      <c r="B338" s="16">
        <v>337</v>
      </c>
      <c r="C338" s="16" t="s">
        <v>5252</v>
      </c>
      <c r="D338" s="16" t="s">
        <v>6828</v>
      </c>
      <c r="E338" s="16" t="str">
        <f ca="1">IFERROR(__xludf.DUMMYFUNCTION("AI(""c컬럼의 단어를 활용해서 적절한 예문을 만들어줘. 한글 해석은 줄띄움 후에 작성해줘"")"),"The politician tried to sidestep the issue by changing the subject during the interview.
그 정치인은 인터뷰 도중 주제를 바꿈으로써 문제를 회피하려 노력했습니다.")</f>
        <v>The politician tried to sidestep the issue by changing the subject during the interview.
그 정치인은 인터뷰 도중 주제를 바꿈으로써 문제를 회피하려 노력했습니다.</v>
      </c>
      <c r="F338" s="16" t="s">
        <v>5253</v>
      </c>
      <c r="G338" s="16">
        <v>1</v>
      </c>
    </row>
    <row r="339" spans="1:7" ht="25.5">
      <c r="A339" s="15"/>
      <c r="B339" s="16">
        <v>338</v>
      </c>
      <c r="C339" s="16" t="s">
        <v>5254</v>
      </c>
      <c r="D339" s="16" t="s">
        <v>6829</v>
      </c>
      <c r="E339" s="16" t="str">
        <f ca="1">IFERROR(__xludf.DUMMYFUNCTION("AI(""c컬럼의 단어를 활용해서 적절한 예문을 만들어줘. 한글 해석은 줄띄움 후에 작성해줘"")"),"The Paris Agreement was signed by 175 parties on the first day it was opened for signature.
파리 협정은 서명을 위해 개방된 첫날 175개 서명국에 의해 서명되었습니다.")</f>
        <v>The Paris Agreement was signed by 175 parties on the first day it was opened for signature.
파리 협정은 서명을 위해 개방된 첫날 175개 서명국에 의해 서명되었습니다.</v>
      </c>
      <c r="F339" s="16" t="s">
        <v>5255</v>
      </c>
      <c r="G339" s="16">
        <v>1</v>
      </c>
    </row>
    <row r="340" spans="1:7" ht="25.5">
      <c r="A340" s="15"/>
      <c r="B340" s="16">
        <v>339</v>
      </c>
      <c r="C340" s="16" t="s">
        <v>5256</v>
      </c>
      <c r="D340" s="16" t="s">
        <v>6830</v>
      </c>
      <c r="E340" s="16" t="str">
        <f ca="1">IFERROR(__xludf.DUMMYFUNCTION("AI(""c컬럼의 단어를 활용해서 적절한 예문을 만들어줘. 한글 해석은 줄띄움 후에 작성해줘"")"),"He successfully completed the project single-handedly before the deadline.
그는 마감 기한 전에 혼자 힘으로 프로젝트를 성공적으로 완수했습니다.")</f>
        <v>He successfully completed the project single-handedly before the deadline.
그는 마감 기한 전에 혼자 힘으로 프로젝트를 성공적으로 완수했습니다.</v>
      </c>
      <c r="F340" s="16" t="s">
        <v>5257</v>
      </c>
      <c r="G340" s="16">
        <v>1</v>
      </c>
    </row>
    <row r="341" spans="1:7" ht="38.25">
      <c r="A341" s="15"/>
      <c r="B341" s="16">
        <v>340</v>
      </c>
      <c r="C341" s="16" t="s">
        <v>5258</v>
      </c>
      <c r="D341" s="16" t="s">
        <v>6831</v>
      </c>
      <c r="E341" s="16" t="str">
        <f ca="1">IFERROR(__xludf.DUMMYFUNCTION("AI(""c컬럼의 단어를 활용해서 적절한 예문을 만들어줘. 한글 해석은 줄띄움 후에 작성해줘"")"),"The main character in the romantic novel was completely smitten with the mysterious librarian from their very first meeting.
그 로맨스 소설의 주인공은 첫 만남부터 미스테리한 사서에게 완전히 푹 빠졌습니다.")</f>
        <v>The main character in the romantic novel was completely smitten with the mysterious librarian from their very first meeting.
그 로맨스 소설의 주인공은 첫 만남부터 미스테리한 사서에게 완전히 푹 빠졌습니다.</v>
      </c>
      <c r="F341" s="16" t="s">
        <v>5259</v>
      </c>
      <c r="G341" s="16">
        <v>1</v>
      </c>
    </row>
    <row r="342" spans="1:7" ht="25.5">
      <c r="A342" s="15"/>
      <c r="B342" s="16">
        <v>341</v>
      </c>
      <c r="C342" s="16" t="s">
        <v>5260</v>
      </c>
      <c r="D342" s="16" t="s">
        <v>6832</v>
      </c>
      <c r="E342" s="16" t="str">
        <f ca="1">IFERROR(__xludf.DUMMYFUNCTION("AI(""c컬럼의 단어를 활용해서 적절한 예문을 만들어줘. 한글 해석은 줄띄움 후에 작성해줘"")"),"The author's latest book was met with several snide reviews from critics who found the plot predictable.
그 작가의 최신작은 줄거리가 뻔하다고 생각한 비평가들로부터 몇몇 비꼬는 듯한 평을 받았습니다.")</f>
        <v>The author's latest book was met with several snide reviews from critics who found the plot predictable.
그 작가의 최신작은 줄거리가 뻔하다고 생각한 비평가들로부터 몇몇 비꼬는 듯한 평을 받았습니다.</v>
      </c>
      <c r="F342" s="16" t="s">
        <v>5261</v>
      </c>
      <c r="G342" s="16">
        <v>1</v>
      </c>
    </row>
    <row r="343" spans="1:7" ht="38.25">
      <c r="A343" s="15"/>
      <c r="B343" s="16">
        <v>342</v>
      </c>
      <c r="C343" s="16" t="s">
        <v>5262</v>
      </c>
      <c r="D343" s="16" t="s">
        <v>6833</v>
      </c>
      <c r="E343" s="16" t="str">
        <f ca="1">IFERROR(__xludf.DUMMYFUNCTION("AI(""c컬럼의 단어를 활용해서 적절한 예문을 만들어줘. 한글 해석은 줄띄움 후에 작성해줘"")"),"Maintaining national sovereignty is essential for any independent nation to protect its own security interests.
국가 주권을 유지하는 것은 모든 독립 국가가 자국의 안보 이익을 보호하는 데 필수적입니다.")</f>
        <v>Maintaining national sovereignty is essential for any independent nation to protect its own security interests.
국가 주권을 유지하는 것은 모든 독립 국가가 자국의 안보 이익을 보호하는 데 필수적입니다.</v>
      </c>
      <c r="F343" s="16" t="s">
        <v>5263</v>
      </c>
      <c r="G343" s="16">
        <v>1</v>
      </c>
    </row>
    <row r="344" spans="1:7" ht="38.25">
      <c r="A344" s="15"/>
      <c r="B344" s="16">
        <v>343</v>
      </c>
      <c r="C344" s="16" t="s">
        <v>5264</v>
      </c>
      <c r="D344" s="16" t="s">
        <v>6834</v>
      </c>
      <c r="E344" s="16" t="str">
        <f ca="1">IFERROR(__xludf.DUMMYFUNCTION("AI(""c컬럼의 단어를 활용해서 적절한 예문을 만들어줘. 한글 해석은 줄띄움 후에 작성해줘"")"),"The rapid development of artificial intelligence could spell the demise of many traditional service industries.
인공지능의 급격한 발전은 많은 전통적인 서비스 산업의 종말을 의미할 수 있습니다.")</f>
        <v>The rapid development of artificial intelligence could spell the demise of many traditional service industries.
인공지능의 급격한 발전은 많은 전통적인 서비스 산업의 종말을 의미할 수 있습니다.</v>
      </c>
      <c r="F344" s="16" t="s">
        <v>5265</v>
      </c>
      <c r="G344" s="16">
        <v>1</v>
      </c>
    </row>
    <row r="345" spans="1:7" ht="25.5">
      <c r="A345" s="15"/>
      <c r="B345" s="16">
        <v>344</v>
      </c>
      <c r="C345" s="16" t="s">
        <v>5266</v>
      </c>
      <c r="D345" s="16" t="s">
        <v>6835</v>
      </c>
      <c r="E345" s="16" t="str">
        <f ca="1">IFERROR(__xludf.DUMMYFUNCTION("AI(""c컬럼의 단어를 활용해서 적절한 예문을 만들어줘. 한글 해석은 줄띄움 후에 작성해줘"")"),"The company launched a new marketing campaign intended to spur sales during the holiday season.
그 회사는 휴가 시즌 동안 매출을 촉진하기 위해 의도된 새로운 마케팅 캠페인을 시작했습니다.")</f>
        <v>The company launched a new marketing campaign intended to spur sales during the holiday season.
그 회사는 휴가 시즌 동안 매출을 촉진하기 위해 의도된 새로운 마케팅 캠페인을 시작했습니다.</v>
      </c>
      <c r="F345" s="16" t="s">
        <v>5267</v>
      </c>
      <c r="G345" s="16">
        <v>1</v>
      </c>
    </row>
    <row r="346" spans="1:7" ht="51">
      <c r="A346" s="15"/>
      <c r="B346" s="16">
        <v>345</v>
      </c>
      <c r="C346" s="16" t="s">
        <v>5268</v>
      </c>
      <c r="D346" s="16" t="s">
        <v>6836</v>
      </c>
      <c r="E346" s="16" t="str">
        <f ca="1">IFERROR(__xludf.DUMMYFUNCTION("AI(""c컬럼의 단어를 활용해서 적절한 예문을 만들어줘. 한글 해석은 줄띄움 후에 작성해줘"")"),"People's perceptions of a situation do not always square with reality, as our brains often filter information based on personal beliefs.
사람들의 상황에 대한 인식은 우리의 뇌가 종종 개인적 믿음에 근거해 정보를 거르기 때문에 항상 현실과 맞아떨어지는 것은 아닙니다.")</f>
        <v>People's perceptions of a situation do not always square with reality, as our brains often filter information based on personal beliefs.
사람들의 상황에 대한 인식은 우리의 뇌가 종종 개인적 믿음에 근거해 정보를 거르기 때문에 항상 현실과 맞아떨어지는 것은 아닙니다.</v>
      </c>
      <c r="F346" s="16" t="s">
        <v>5269</v>
      </c>
      <c r="G346" s="16">
        <v>1</v>
      </c>
    </row>
    <row r="347" spans="1:7" ht="25.5">
      <c r="A347" s="15"/>
      <c r="B347" s="16">
        <v>346</v>
      </c>
      <c r="C347" s="16" t="s">
        <v>5270</v>
      </c>
      <c r="D347" s="16" t="s">
        <v>6837</v>
      </c>
      <c r="E347" s="16" t="str">
        <f ca="1">IFERROR(__xludf.DUMMYFUNCTION("AI(""c컬럼의 단어를 활용해서 적절한 예문을 만들어줘. 한글 해석은 줄띄움 후에 작성해줘"")"),"Economic growth is likely to remain slow as long as global demand for investment remains stagnant.
글로벌 투자 수요가 정체되어 있는 한 경제 성장은 계속 둔화될 가능성이 높습니다.")</f>
        <v>Economic growth is likely to remain slow as long as global demand for investment remains stagnant.
글로벌 투자 수요가 정체되어 있는 한 경제 성장은 계속 둔화될 가능성이 높습니다.</v>
      </c>
      <c r="F347" s="16" t="s">
        <v>5271</v>
      </c>
      <c r="G347" s="16">
        <v>1</v>
      </c>
    </row>
    <row r="348" spans="1:7" ht="51">
      <c r="A348" s="15"/>
      <c r="B348" s="16">
        <v>347</v>
      </c>
      <c r="C348" s="16" t="s">
        <v>5272</v>
      </c>
      <c r="D348" s="16" t="s">
        <v>6838</v>
      </c>
      <c r="E348" s="16" t="str">
        <f ca="1">IFERROR(__xludf.DUMMYFUNCTION("AI(""c컬럼의 단어를 활용해서 적절한 예문을 만들어줘. 한글 해석은 줄띄움 후에 작성해줘"")"),"Many people carry staphylococcus on their skin or in their nose without even knowing it, as it often doesn't cause any harm.
많은 사람들은 피부나 코에 포도상구균을 가지고 있지만, 흔히 아무런 해를 끼치지 않기 때문에 자신도 모르게 이를 보유하고 있는 경우가 많습니다.")</f>
        <v>Many people carry staphylococcus on their skin or in their nose without even knowing it, as it often doesn't cause any harm.
많은 사람들은 피부나 코에 포도상구균을 가지고 있지만, 흔히 아무런 해를 끼치지 않기 때문에 자신도 모르게 이를 보유하고 있는 경우가 많습니다.</v>
      </c>
      <c r="F348" s="16" t="s">
        <v>5273</v>
      </c>
      <c r="G348" s="16">
        <v>1</v>
      </c>
    </row>
    <row r="349" spans="1:7" ht="38.25">
      <c r="A349" s="15"/>
      <c r="B349" s="16">
        <v>348</v>
      </c>
      <c r="C349" s="16" t="s">
        <v>5274</v>
      </c>
      <c r="D349" s="16" t="s">
        <v>6839</v>
      </c>
      <c r="E349" s="16" t="str">
        <f ca="1">IFERROR(__xludf.DUMMYFUNCTION("AI(""c컬럼의 단어를 활용해서 적절한 예문을 만들어줘. 한글 해석은 줄띄움 후에 작성해줘"")"),"The company’s success is built on the staunch support of its loyal customers and dedicated employees.
그 회사의 성공은 충실한 고객들과 헌신적인 직원들의 확고한 지지 위에 세워졌습니다.")</f>
        <v>The company’s success is built on the staunch support of its loyal customers and dedicated employees.
그 회사의 성공은 충실한 고객들과 헌신적인 직원들의 확고한 지지 위에 세워졌습니다.</v>
      </c>
      <c r="F349" s="16" t="s">
        <v>5275</v>
      </c>
      <c r="G349" s="16">
        <v>1</v>
      </c>
    </row>
    <row r="350" spans="1:7" ht="51">
      <c r="A350" s="15"/>
      <c r="B350" s="16">
        <v>349</v>
      </c>
      <c r="C350" s="16" t="s">
        <v>5276</v>
      </c>
      <c r="D350" s="16" t="s">
        <v>6840</v>
      </c>
      <c r="E350" s="16" t="str">
        <f ca="1">IFERROR(__xludf.DUMMYFUNCTION("AI(""c컬럼의 단어를 활용해서 적절한 예문을 만들어줘. 한글 해석은 줄띄움 후에 작성해줘"")"),"The contract includes a clause stipulating that all project deliverables must be completed by the agreed deadline.
계약서에는 모든 프로젝트 결과물이 합의된 마감일까지 완료되어야 함을 명시하는 조항이 포함되어 있습니다.")</f>
        <v>The contract includes a clause stipulating that all project deliverables must be completed by the agreed deadline.
계약서에는 모든 프로젝트 결과물이 합의된 마감일까지 완료되어야 함을 명시하는 조항이 포함되어 있습니다.</v>
      </c>
      <c r="F350" s="16" t="s">
        <v>5277</v>
      </c>
      <c r="G350" s="16">
        <v>2</v>
      </c>
    </row>
    <row r="351" spans="1:7" ht="38.25">
      <c r="A351" s="15"/>
      <c r="B351" s="16">
        <v>350</v>
      </c>
      <c r="C351" s="16" t="s">
        <v>5278</v>
      </c>
      <c r="D351" s="16" t="s">
        <v>6841</v>
      </c>
      <c r="E351" s="16" t="str">
        <f ca="1">IFERROR(__xludf.DUMMYFUNCTION("AI(""c컬럼의 단어를 활용해서 적절한 예문을 만들어줘. 한글 해석은 줄띄움 후에 작성해줘"")"),"The company implemented a new software system to streamline its production process and reduce costs.
그 회사는 생산 과정을 효율화하고 비용을 절감하기 위해 새로운 소프트웨어 시스템을 도입했습니다.")</f>
        <v>The company implemented a new software system to streamline its production process and reduce costs.
그 회사는 생산 과정을 효율화하고 비용을 절감하기 위해 새로운 소프트웨어 시스템을 도입했습니다.</v>
      </c>
      <c r="F351" s="16" t="s">
        <v>5279</v>
      </c>
      <c r="G351" s="16">
        <v>1</v>
      </c>
    </row>
    <row r="352" spans="1:7" ht="51">
      <c r="A352" s="15"/>
      <c r="B352" s="16">
        <v>351</v>
      </c>
      <c r="C352" s="16" t="s">
        <v>5280</v>
      </c>
      <c r="D352" s="16" t="s">
        <v>6842</v>
      </c>
      <c r="E352" s="16" t="str">
        <f ca="1">IFERROR(__xludf.DUMMYFUNCTION("AI(""c컬럼의 단어를 활용해서 적절한 예문을 만들어줘. 한글 해석은 줄띄움 후에 작성해줘"")"),"Tasers are being used successfully elsewhere to subdue violent subjects who pose a threat to police and others.
테이저는 경찰과 다른 사람들에게 위협이 되는 폭력적인 대상들을 제압하는 데 다른 곳에서 성공적으로 사용되고 있습니다.")</f>
        <v>Tasers are being used successfully elsewhere to subdue violent subjects who pose a threat to police and others.
테이저는 경찰과 다른 사람들에게 위협이 되는 폭력적인 대상들을 제압하는 데 다른 곳에서 성공적으로 사용되고 있습니다.</v>
      </c>
      <c r="F352" s="16" t="s">
        <v>5281</v>
      </c>
      <c r="G352" s="16">
        <v>1</v>
      </c>
    </row>
    <row r="353" spans="1:7" ht="38.25">
      <c r="A353" s="15"/>
      <c r="B353" s="16">
        <v>352</v>
      </c>
      <c r="C353" s="16" t="s">
        <v>4207</v>
      </c>
      <c r="D353" s="16" t="s">
        <v>6843</v>
      </c>
      <c r="E353" s="16" t="str">
        <f ca="1">IFERROR(__xludf.DUMMYFUNCTION("AI(""c컬럼의 단어를 활용해서 적절한 예문을 만들어줘. 한글 해석은 줄띄움 후에 작성해줘"")"),"The ancestral home on the island eventually became submerged due to the rising tides caused by climate change.
기후 변화로 인한 조수 상승으로 인해 섬에 있던 조상 대대로 내려온 집은 결국 물에 잠겼습니다.")</f>
        <v>The ancestral home on the island eventually became submerged due to the rising tides caused by climate change.
기후 변화로 인한 조수 상승으로 인해 섬에 있던 조상 대대로 내려온 집은 결국 물에 잠겼습니다.</v>
      </c>
      <c r="F353" s="16" t="s">
        <v>5282</v>
      </c>
      <c r="G353" s="16">
        <v>1</v>
      </c>
    </row>
    <row r="354" spans="1:7" ht="51">
      <c r="A354" s="15"/>
      <c r="B354" s="16">
        <v>353</v>
      </c>
      <c r="C354" s="16" t="s">
        <v>5283</v>
      </c>
      <c r="D354" s="16" t="s">
        <v>6844</v>
      </c>
      <c r="E354" s="16" t="str">
        <f ca="1">IFERROR(__xludf.DUMMYFUNCTION("AI(""c컬럼의 단어를 활용해서 적절한 예문을 만들어줘. 한글 해석은 줄띄움 후에 작성해줘"")"),"Many smallholder farmers in rural areas must subsist on a very limited income, often struggling to meet their basic needs.
많은 농촌의 소규모 농부들은 매우 제한된 수입으로 근근이 살아가야 하며, 종종 그들의 기본적인 욕구를 충족시키기 위해 고군분투합니다.")</f>
        <v>Many smallholder farmers in rural areas must subsist on a very limited income, often struggling to meet their basic needs.
많은 농촌의 소규모 농부들은 매우 제한된 수입으로 근근이 살아가야 하며, 종종 그들의 기본적인 욕구를 충족시키기 위해 고군분투합니다.</v>
      </c>
      <c r="F354" s="16" t="s">
        <v>5284</v>
      </c>
      <c r="G354" s="16">
        <v>1</v>
      </c>
    </row>
    <row r="355" spans="1:7" ht="38.25">
      <c r="A355" s="15"/>
      <c r="B355" s="16">
        <v>354</v>
      </c>
      <c r="C355" s="16" t="s">
        <v>5285</v>
      </c>
      <c r="D355" s="16" t="s">
        <v>6845</v>
      </c>
      <c r="E355" s="16" t="str">
        <f ca="1">IFERROR(__xludf.DUMMYFUNCTION("AI(""c컬럼의 단어를 활용해서 적절한 예문을 만들어줘. 한글 해석은 줄띄움 후에 작성해줘"")"),"The findings from the recent clinical trial substantiates the efficacy of the new drug in treating the condition.
최근 임상 시험의 결과는 그 질환을 치료하는 데 있어 신약의 효능을 입증합니다.")</f>
        <v>The findings from the recent clinical trial substantiates the efficacy of the new drug in treating the condition.
최근 임상 시험의 결과는 그 질환을 치료하는 데 있어 신약의 효능을 입증합니다.</v>
      </c>
      <c r="F355" s="16" t="s">
        <v>5286</v>
      </c>
      <c r="G355" s="16">
        <v>1</v>
      </c>
    </row>
    <row r="356" spans="1:7" ht="51">
      <c r="A356" s="15"/>
      <c r="B356" s="16">
        <v>355</v>
      </c>
      <c r="C356" s="16" t="s">
        <v>5287</v>
      </c>
      <c r="D356" s="16" t="s">
        <v>6846</v>
      </c>
      <c r="E356" s="16" t="str">
        <f ca="1">IFERROR(__xludf.DUMMYFUNCTION("AI(""c컬럼의 단어를 활용해서 적절한 예문을 만들어줘. 한글 해석은 줄띄움 후에 작성해줘"")"),"Some political leaders attempt to subvert democracy by spreading disinformation and undermining the integrity of free elections.
일부 정치 지도자들은 허위 정보를 유포하고 자유 선거의 무결성을 훼손함으로써 민주주의를 전복하려 시도합니다.")</f>
        <v>Some political leaders attempt to subvert democracy by spreading disinformation and undermining the integrity of free elections.
일부 정치 지도자들은 허위 정보를 유포하고 자유 선거의 무결성을 훼손함으로써 민주주의를 전복하려 시도합니다.</v>
      </c>
      <c r="F356" s="16" t="s">
        <v>5288</v>
      </c>
      <c r="G356" s="16">
        <v>1</v>
      </c>
    </row>
    <row r="357" spans="1:7" ht="25.5">
      <c r="A357" s="15"/>
      <c r="B357" s="16">
        <v>356</v>
      </c>
      <c r="C357" s="16" t="s">
        <v>5289</v>
      </c>
      <c r="D357" s="16" t="s">
        <v>6847</v>
      </c>
      <c r="E357" s="16" t="str">
        <f ca="1">IFERROR(__xludf.DUMMYFUNCTION("AI(""c컬럼의 단어를 활용해서 적절한 예문을 만들어줘. 한글 해석은 줄띄움 후에 작성해줘"")"),"Bright yellow sulfur formations rise from the ground, surrounded by steam and rocky terrain.
밝은 노란색의 황 형성물이 증기와 암석 지대에 둘러싸인 채 지면에서 솟아올라 있습니다.")</f>
        <v>Bright yellow sulfur formations rise from the ground, surrounded by steam and rocky terrain.
밝은 노란색의 황 형성물이 증기와 암석 지대에 둘러싸인 채 지면에서 솟아올라 있습니다.</v>
      </c>
      <c r="F357" s="16" t="s">
        <v>5290</v>
      </c>
      <c r="G357" s="16">
        <v>1</v>
      </c>
    </row>
    <row r="358" spans="1:7" ht="76.5">
      <c r="A358" s="15"/>
      <c r="B358" s="16">
        <v>357</v>
      </c>
      <c r="C358" s="16" t="s">
        <v>5291</v>
      </c>
      <c r="D358" s="16" t="s">
        <v>6848</v>
      </c>
      <c r="E358" s="16" t="str">
        <f ca="1">IFERROR(__xludf.DUMMYFUNCTION("AI(""c컬럼의 단어를 활용해서 적절한 예문을 만들어줘. 한글 해석은 줄띄움 후에 작성해줘"")"),"Although Internet Explorer was initially not necessarily technically better than Netscape Navigator, Microsoft was able to leverage its resources to challenge the supremacy of Netscape in the web browser market.
인터넷 익스플로러가 초기에는 반드시 넷스케이프 내비게이터보다 기술적으로 우수했"&amp;"던 것은 아니었지만, 마이크로소프트는 자사의 자원을 활용하여 웹 브라우저 시장에서 넷스케이프의 우위에 도전할 수 있었습니다.")</f>
        <v>Although Internet Explorer was initially not necessarily technically better than Netscape Navigator, Microsoft was able to leverage its resources to challenge the supremacy of Netscape in the web browser market.
인터넷 익스플로러가 초기에는 반드시 넷스케이프 내비게이터보다 기술적으로 우수했던 것은 아니었지만, 마이크로소프트는 자사의 자원을 활용하여 웹 브라우저 시장에서 넷스케이프의 우위에 도전할 수 있었습니다.</v>
      </c>
      <c r="F358" s="16" t="s">
        <v>5292</v>
      </c>
      <c r="G358" s="16">
        <v>1</v>
      </c>
    </row>
    <row r="359" spans="1:7" ht="38.25">
      <c r="A359" s="15"/>
      <c r="B359" s="16">
        <v>358</v>
      </c>
      <c r="C359" s="16" t="s">
        <v>5293</v>
      </c>
      <c r="D359" s="16" t="s">
        <v>6849</v>
      </c>
      <c r="E359" s="16" t="str">
        <f ca="1">IFERROR(__xludf.DUMMYFUNCTION("AI(""c컬럼의 단어를 활용해서 적절한 예문을 만들어줘. 한글 해석은 줄띄움 후에 작성해줘"")"),"The government expanded its surveillance of the border to curb illegal immigration and enhance national security.
정부는 불법 이민을 억제하고 국가 안보를 강화하기 위해 국경 감시를 확대했습니다.")</f>
        <v>The government expanded its surveillance of the border to curb illegal immigration and enhance national security.
정부는 불법 이민을 억제하고 국가 안보를 강화하기 위해 국경 감시를 확대했습니다.</v>
      </c>
      <c r="F359" s="16" t="s">
        <v>5294</v>
      </c>
      <c r="G359" s="16">
        <v>3</v>
      </c>
    </row>
    <row r="360" spans="1:7" ht="25.5">
      <c r="A360" s="15"/>
      <c r="B360" s="16">
        <v>359</v>
      </c>
      <c r="C360" s="16" t="s">
        <v>5295</v>
      </c>
      <c r="D360" s="16" t="s">
        <v>6850</v>
      </c>
      <c r="E360" s="16" t="str">
        <f ca="1">IFERROR(__xludf.DUMMYFUNCTION("AI(""c컬럼의 단어를 활용해서 적절한 예문을 만들어줘. 한글 해석은 줄띄움 후에 작성해줘"")"),"The primary symptom of a weakened immune system is susceptibility to infection.
약한 면역 체계의 주요 증상은 감염에 대한 취약성입니다.")</f>
        <v>The primary symptom of a weakened immune system is susceptibility to infection.
약한 면역 체계의 주요 증상은 감염에 대한 취약성입니다.</v>
      </c>
      <c r="F360" s="16" t="s">
        <v>5296</v>
      </c>
      <c r="G360" s="16">
        <v>1</v>
      </c>
    </row>
    <row r="361" spans="1:7" ht="25.5">
      <c r="A361" s="15"/>
      <c r="B361" s="16">
        <v>360</v>
      </c>
      <c r="C361" s="16" t="s">
        <v>5297</v>
      </c>
      <c r="D361" s="16" t="s">
        <v>6851</v>
      </c>
      <c r="E361" s="16" t="str">
        <f ca="1">IFERROR(__xludf.DUMMYFUNCTION("AI(""c컬럼의 단어를 활용해서 적절한 예문을 만들어줘. 한글 해석은 줄띄움 후에 작성해줘"")"),"For a startup, relying solely on advertisements is not a sustainable revenue source in the long run.
스타트업에게 광고에만 의존하는 것은 장기적으로 지속 가능한 수입원이 아닙니다.")</f>
        <v>For a startup, relying solely on advertisements is not a sustainable revenue source in the long run.
스타트업에게 광고에만 의존하는 것은 장기적으로 지속 가능한 수입원이 아닙니다.</v>
      </c>
      <c r="F361" s="16" t="s">
        <v>5298</v>
      </c>
      <c r="G361" s="16">
        <v>1</v>
      </c>
    </row>
    <row r="362" spans="1:7" ht="51">
      <c r="A362" s="15"/>
      <c r="B362" s="16">
        <v>361</v>
      </c>
      <c r="C362" s="16" t="s">
        <v>5299</v>
      </c>
      <c r="D362" s="16" t="s">
        <v>6852</v>
      </c>
      <c r="E362" s="16" t="str">
        <f ca="1">IFERROR(__xludf.DUMMYFUNCTION("AI(""c컬럼의 단어를 활용해서 적절한 예문을 만들어줘. 한글 해석은 줄띄움 후에 작성해줘"")"),"To finalize the deal, the company decided to sweeten an offer by adding extra stock options and a flexible work schedule.
그 거래를 마무리 짓기 위해, 회사는 추가 주식 매수권과 유연한 근무 일정을 추가하여 제안을 더 좋게 만들기로 결정했습니다.")</f>
        <v>To finalize the deal, the company decided to sweeten an offer by adding extra stock options and a flexible work schedule.
그 거래를 마무리 짓기 위해, 회사는 추가 주식 매수권과 유연한 근무 일정을 추가하여 제안을 더 좋게 만들기로 결정했습니다.</v>
      </c>
      <c r="F362" s="16" t="s">
        <v>5300</v>
      </c>
      <c r="G362" s="16">
        <v>1</v>
      </c>
    </row>
    <row r="363" spans="1:7" ht="25.5">
      <c r="A363" s="15"/>
      <c r="B363" s="16">
        <v>362</v>
      </c>
      <c r="C363" s="16" t="s">
        <v>5301</v>
      </c>
      <c r="D363" s="16" t="s">
        <v>6853</v>
      </c>
      <c r="E363" s="16" t="str">
        <f ca="1">IFERROR(__xludf.DUMMYFUNCTION("AI(""c컬럼의 단어를 활용해서 적절한 예문을 만들어줘. 한글 해석은 줄띄움 후에 작성해줘"")"),"The company's customer base began to swell after the successful launch of its innovative product line.
그 회사의 고객층은 혁신적인 제품 라인의 성공적인 출시 이후에 늘어나기 시작했습니다.")</f>
        <v>The company's customer base began to swell after the successful launch of its innovative product line.
그 회사의 고객층은 혁신적인 제품 라인의 성공적인 출시 이후에 늘어나기 시작했습니다.</v>
      </c>
      <c r="F363" s="16" t="s">
        <v>5302</v>
      </c>
      <c r="G363" s="16">
        <v>1</v>
      </c>
    </row>
    <row r="364" spans="1:7" ht="25.5">
      <c r="A364" s="15"/>
      <c r="B364" s="16">
        <v>363</v>
      </c>
      <c r="C364" s="16" t="s">
        <v>5303</v>
      </c>
      <c r="D364" s="16" t="s">
        <v>6854</v>
      </c>
      <c r="E364" s="16" t="str">
        <f ca="1">IFERROR(__xludf.DUMMYFUNCTION("AI(""c컬럼의 단어를 활용해서 적절한 예문을 만들어줘. 한글 해석은 줄띄움 후에 작성해줘"")"),"Almost all plants live in close symbiosis with mycorrhizal fungi to absorb essential nutrients.
거의 모든 식물은 필수 영양소를 흡수하기 위해 균근균과 긴밀한 공생 관계를 맺고 살고 있습니다.")</f>
        <v>Almost all plants live in close symbiosis with mycorrhizal fungi to absorb essential nutrients.
거의 모든 식물은 필수 영양소를 흡수하기 위해 균근균과 긴밀한 공생 관계를 맺고 살고 있습니다.</v>
      </c>
      <c r="F364" s="16" t="s">
        <v>5304</v>
      </c>
      <c r="G364" s="16">
        <v>1</v>
      </c>
    </row>
    <row r="365" spans="1:7" ht="25.5">
      <c r="A365" s="15"/>
      <c r="B365" s="16">
        <v>364</v>
      </c>
      <c r="C365" s="16" t="s">
        <v>5305</v>
      </c>
      <c r="D365" s="16" t="s">
        <v>6855</v>
      </c>
      <c r="E365" s="16" t="str">
        <f ca="1">IFERROR(__xludf.DUMMYFUNCTION("AI(""c컬럼의 단어를 활용해서 적절한 예문을 만들어줘. 한글 해석은 줄띄움 후에 작성해줘"")"),"Mosquitoes have syringe-like mouthparts that prevent blood from clogging while they feed.
모기는 피를 먹는 동안 혈액이 굳는 것을 방지하는 주사기 같은 구강 구조를 가지고 있습니다.")</f>
        <v>Mosquitoes have syringe-like mouthparts that prevent blood from clogging while they feed.
모기는 피를 먹는 동안 혈액이 굳는 것을 방지하는 주사기 같은 구강 구조를 가지고 있습니다.</v>
      </c>
      <c r="F365" s="16" t="s">
        <v>5306</v>
      </c>
      <c r="G365" s="16">
        <v>1</v>
      </c>
    </row>
    <row r="366" spans="1:7" ht="38.25">
      <c r="A366" s="15"/>
      <c r="B366" s="16">
        <v>365</v>
      </c>
      <c r="C366" s="16" t="s">
        <v>5307</v>
      </c>
      <c r="D366" s="16" t="s">
        <v>6856</v>
      </c>
      <c r="E366" s="16" t="str">
        <f ca="1">IFERROR(__xludf.DUMMYFUNCTION("AI(""c컬럼의 단어를 활용해서 적절한 예문을 만들어줘. 한글 해석은 줄띄움 후에 작성해줘"")"),"The committee members tend to take issue with the proposed changes to the company policy.
위원회 구성원들은 회사 정책의 제안된 변경 사항에 이의를 제기하는 경향이 있습니다.")</f>
        <v>The committee members tend to take issue with the proposed changes to the company policy.
위원회 구성원들은 회사 정책의 제안된 변경 사항에 이의를 제기하는 경향이 있습니다.</v>
      </c>
      <c r="F366" s="16" t="s">
        <v>5308</v>
      </c>
      <c r="G366" s="16">
        <v>2</v>
      </c>
    </row>
    <row r="367" spans="1:7" ht="51">
      <c r="A367" s="15"/>
      <c r="B367" s="16">
        <v>366</v>
      </c>
      <c r="C367" s="16" t="s">
        <v>5309</v>
      </c>
      <c r="D367" s="16" t="s">
        <v>6857</v>
      </c>
      <c r="E367" s="16" t="str">
        <f ca="1">IFERROR(__xludf.DUMMYFUNCTION("AI(""c컬럼의 단어를 활용해서 적절한 예문을 만들어줘. 한글 해석은 줄띄움 후에 작성해줘"")"),"Screenwriters Binder, Grant, and LaZebnik took creative liberties with history in an attempt to make the film palatable to audiences.
시나리오 작가인 바인더, 그랜트, 라제브닉은 영화를 관객들이 받아들이기 쉽게 만들기 위해 역사를 자유롭게 바꾸었습니다.")</f>
        <v>Screenwriters Binder, Grant, and LaZebnik took creative liberties with history in an attempt to make the film palatable to audiences.
시나리오 작가인 바인더, 그랜트, 라제브닉은 영화를 관객들이 받아들이기 쉽게 만들기 위해 역사를 자유롭게 바꾸었습니다.</v>
      </c>
      <c r="F367" s="16" t="s">
        <v>5310</v>
      </c>
      <c r="G367" s="16">
        <v>1</v>
      </c>
    </row>
    <row r="368" spans="1:7" ht="51">
      <c r="A368" s="15"/>
      <c r="B368" s="16">
        <v>367</v>
      </c>
      <c r="C368" s="16" t="s">
        <v>5311</v>
      </c>
      <c r="D368" s="16" t="s">
        <v>6858</v>
      </c>
      <c r="E368" s="16" t="str">
        <f ca="1">IFERROR(__xludf.DUMMYFUNCTION("AI(""c컬럼의 단어를 활용해서 적절한 예문을 만들어줘. 한글 해석은 줄띄움 후에 작성해줘"")"),"The government reconfirmed its hardline stance by announcing that national security must take precedence over all other policy considerations.
정부는 국가 안보가 다른 모든 정책적 고려 사항보다 우선해야 한다고 발표하며 강경한 입장을 재확인했습니다.")</f>
        <v>The government reconfirmed its hardline stance by announcing that national security must take precedence over all other policy considerations.
정부는 국가 안보가 다른 모든 정책적 고려 사항보다 우선해야 한다고 발표하며 강경한 입장을 재확인했습니다.</v>
      </c>
      <c r="F368" s="16" t="s">
        <v>5312</v>
      </c>
      <c r="G368" s="16">
        <v>1</v>
      </c>
    </row>
    <row r="369" spans="1:7" ht="51">
      <c r="A369" s="15"/>
      <c r="B369" s="16">
        <v>368</v>
      </c>
      <c r="C369" s="16" t="s">
        <v>5313</v>
      </c>
      <c r="D369" s="16" t="s">
        <v>6859</v>
      </c>
      <c r="E369" s="16" t="str">
        <f ca="1">IFERROR(__xludf.DUMMYFUNCTION("AI(""c컬럼의 단어를 활용해서 적절한 예문을 만들어줘. 한글 해석은 줄띄움 후에 작성해줘"")"),"Telerobotic surgical systems allow surgeons to perform complex procedures from remote locations with the aid of telerobots.
원격 로봇 수술 시스템은 외과의가 원격 조종 로봇의 도움을 받아 원격지에서 복잡한 수술을 수행할 수 있도록 해줍니다.")</f>
        <v>Telerobotic surgical systems allow surgeons to perform complex procedures from remote locations with the aid of telerobots.
원격 로봇 수술 시스템은 외과의가 원격 조종 로봇의 도움을 받아 원격지에서 복잡한 수술을 수행할 수 있도록 해줍니다.</v>
      </c>
      <c r="F369" s="16" t="s">
        <v>5314</v>
      </c>
      <c r="G369" s="16">
        <v>1</v>
      </c>
    </row>
    <row r="370" spans="1:7" ht="38.25">
      <c r="A370" s="15"/>
      <c r="B370" s="16">
        <v>369</v>
      </c>
      <c r="C370" s="16" t="s">
        <v>5315</v>
      </c>
      <c r="D370" s="16" t="s">
        <v>6860</v>
      </c>
      <c r="E370" s="16" t="str">
        <f ca="1">IFERROR(__xludf.DUMMYFUNCTION("AI(""c컬럼의 단어를 활용해서 적절한 예문을 만들어줘. 한글 해석은 줄띄움 후에 작성해줘"")"),"The coach praised the team’s tenacity during the final minutes of the match, as they refused to give up despite the score.
감독은 점수 차에도 불구하고 포기하기를 거부한 팀의 끈기를 경기 마지막 몇 분 동안 칭찬했습니다.")</f>
        <v>The coach praised the team’s tenacity during the final minutes of the match, as they refused to give up despite the score.
감독은 점수 차에도 불구하고 포기하기를 거부한 팀의 끈기를 경기 마지막 몇 분 동안 칭찬했습니다.</v>
      </c>
      <c r="F370" s="16" t="s">
        <v>5316</v>
      </c>
      <c r="G370" s="16">
        <v>1</v>
      </c>
    </row>
    <row r="371" spans="1:7" ht="51">
      <c r="A371" s="15"/>
      <c r="B371" s="16">
        <v>370</v>
      </c>
      <c r="C371" s="16" t="s">
        <v>5317</v>
      </c>
      <c r="D371" s="16" t="s">
        <v>6861</v>
      </c>
      <c r="E371" s="16" t="str">
        <f ca="1">IFERROR(__xludf.DUMMYFUNCTION("AI(""c컬럼의 단어를 활용해서 적절한 예문을 만들어줘. 한글 해석은 줄띄움 후에 작성해줘"")"),"Tenements built specifically for housing the poor originated at some time between 1820 and 1850, and even the new buildings were considered overcrowded and inadequate.
가난한 사람들을 수용하기 위해 특별히 지어진 공동주택은 1820년에서 1850년 사이에 생겨났으며, 심지어 그 신축 건물들조차 지나치게 붐비고 불충분한 것으"&amp;"로 여겨졌습니다.")</f>
        <v>Tenements built specifically for housing the poor originated at some time between 1820 and 1850, and even the new buildings were considered overcrowded and inadequate.
가난한 사람들을 수용하기 위해 특별히 지어진 공동주택은 1820년에서 1850년 사이에 생겨났으며, 심지어 그 신축 건물들조차 지나치게 붐비고 불충분한 것으로 여겨졌습니다.</v>
      </c>
      <c r="F371" s="16" t="s">
        <v>5318</v>
      </c>
      <c r="G371" s="16">
        <v>1</v>
      </c>
    </row>
    <row r="372" spans="1:7" ht="51">
      <c r="A372" s="15"/>
      <c r="B372" s="16">
        <v>371</v>
      </c>
      <c r="C372" s="16" t="s">
        <v>5319</v>
      </c>
      <c r="D372" s="16" t="s">
        <v>6862</v>
      </c>
      <c r="E372" s="16" t="str">
        <f ca="1">IFERROR(__xludf.DUMMYFUNCTION("AI(""c컬럼의 단어를 활용해서 적절한 예문을 만들어줘. 한글 해석은 줄띄움 후에 작성해줘"")"),"The local art scene has undergone a tentative renewal as several small galleries began to reopen after the long closure.
오랫동안 문을 닫았던 몇몇 소규모 갤러리들이 다시 문을 열기 시작하면서 지역 예술계는 조심스러운 부흥을 겪었습니다.")</f>
        <v>The local art scene has undergone a tentative renewal as several small galleries began to reopen after the long closure.
오랫동안 문을 닫았던 몇몇 소규모 갤러리들이 다시 문을 열기 시작하면서 지역 예술계는 조심스러운 부흥을 겪었습니다.</v>
      </c>
      <c r="F372" s="16" t="s">
        <v>5320</v>
      </c>
      <c r="G372" s="16">
        <v>1</v>
      </c>
    </row>
    <row r="373" spans="1:7" ht="25.5">
      <c r="A373" s="15"/>
      <c r="B373" s="16">
        <v>372</v>
      </c>
      <c r="C373" s="16" t="s">
        <v>711</v>
      </c>
      <c r="D373" s="16" t="s">
        <v>6863</v>
      </c>
      <c r="E373" s="16" t="str">
        <f ca="1">IFERROR(__xludf.DUMMYFUNCTION("AI(""c컬럼의 단어를 활용해서 적절한 예문을 만들어줘. 한글 해석은 줄띄움 후에 작성해줘"")"),"The professor’s research productivity remained high during her tenure at the university.
그 교수의 연구 생산성은 대학 재임 기간 내내 높게 유지되었습니다.")</f>
        <v>The professor’s research productivity remained high during her tenure at the university.
그 교수의 연구 생산성은 대학 재임 기간 내내 높게 유지되었습니다.</v>
      </c>
      <c r="F373" s="16" t="s">
        <v>5321</v>
      </c>
      <c r="G373" s="16">
        <v>1</v>
      </c>
    </row>
    <row r="374" spans="1:7" ht="25.5">
      <c r="A374" s="15"/>
      <c r="B374" s="16">
        <v>373</v>
      </c>
      <c r="C374" s="16" t="s">
        <v>5322</v>
      </c>
      <c r="D374" s="16" t="s">
        <v>6864</v>
      </c>
      <c r="E374" s="16" t="str">
        <f ca="1">IFERROR(__xludf.DUMMYFUNCTION("AI(""c컬럼의 단어를 활용해서 적절한 예문을 만들어줘. 한글 해석은 줄띄움 후에 작성해줘"")"),"Geese are highly territorial and can become quite aggressive when they perceive a threat to their nests.
거위들은 영역 본능이 매우 강하며 자신의 둥지에 위협을 느끼면 상당히 공격적으로 변할 수 있습니다.")</f>
        <v>Geese are highly territorial and can become quite aggressive when they perceive a threat to their nests.
거위들은 영역 본능이 매우 강하며 자신의 둥지에 위협을 느끼면 상당히 공격적으로 변할 수 있습니다.</v>
      </c>
      <c r="F374" s="16" t="s">
        <v>5323</v>
      </c>
      <c r="G374" s="16">
        <v>1</v>
      </c>
    </row>
    <row r="375" spans="1:7" ht="25.5">
      <c r="A375" s="15"/>
      <c r="B375" s="16">
        <v>374</v>
      </c>
      <c r="C375" s="16" t="s">
        <v>5324</v>
      </c>
      <c r="D375" s="16" t="s">
        <v>6865</v>
      </c>
      <c r="E375" s="16" t="str">
        <f ca="1">IFERROR(__xludf.DUMMYFUNCTION("AI(""c컬럼의 단어를 활용해서 적절한 예문을 만들어줘. 한글 해석은 줄띄움 후에 작성해줘"")"),"A tethered EV charger features a charging cable that is permanently attached to the unit.
테더링 방식의 전기차 충전기는 충전 케이블이 본체에 영구적으로 연결되어 있는 것이 특징입니다.")</f>
        <v>A tethered EV charger features a charging cable that is permanently attached to the unit.
테더링 방식의 전기차 충전기는 충전 케이블이 본체에 영구적으로 연결되어 있는 것이 특징입니다.</v>
      </c>
      <c r="F375" s="16" t="s">
        <v>5325</v>
      </c>
      <c r="G375" s="16">
        <v>1</v>
      </c>
    </row>
    <row r="376" spans="1:7" ht="25.5">
      <c r="A376" s="15"/>
      <c r="B376" s="16">
        <v>375</v>
      </c>
      <c r="C376" s="16" t="s">
        <v>5326</v>
      </c>
      <c r="D376" s="16" t="s">
        <v>6866</v>
      </c>
      <c r="E376" s="16" t="str">
        <f ca="1">IFERROR(__xludf.DUMMYFUNCTION("AI(""c컬럼의 단어를 활용해서 적절한 예문을 만들어줘. 한글 해석은 줄띄움 후에 작성해줘"")"),"In today’s competitive market, sustainable business success is the exception rather than the rule.
오늘날의 경쟁 시장에서 지속 가능한 비즈니스 성공은 일반적이지 않은 예외입니다.")</f>
        <v>In today’s competitive market, sustainable business success is the exception rather than the rule.
오늘날의 경쟁 시장에서 지속 가능한 비즈니스 성공은 일반적이지 않은 예외입니다.</v>
      </c>
      <c r="F376" s="16" t="s">
        <v>5326</v>
      </c>
      <c r="G376" s="16">
        <v>1</v>
      </c>
    </row>
    <row r="377" spans="1:7" ht="51">
      <c r="A377" s="15"/>
      <c r="B377" s="16">
        <v>376</v>
      </c>
      <c r="C377" s="16" t="s">
        <v>5327</v>
      </c>
      <c r="D377" s="16" t="s">
        <v>6867</v>
      </c>
      <c r="E377" s="16" t="str">
        <f ca="1">IFERROR(__xludf.DUMMYFUNCTION("AI(""c컬럼의 단어를 활용해서 적절한 예문을 만들어줘. 한글 해석은 줄띄움 후에 작성해줘"")"),"The CEO committed to bringing the prices of most handbags below a certain threshold to remain competitive in the market.
CEO는 시장에서 경쟁력을 유지하기 위해 대부분의 핸드백 가격을 특정 한계치 아래로 낮추기로 약속했습니다.")</f>
        <v>The CEO committed to bringing the prices of most handbags below a certain threshold to remain competitive in the market.
CEO는 시장에서 경쟁력을 유지하기 위해 대부분의 핸드백 가격을 특정 한계치 아래로 낮추기로 약속했습니다.</v>
      </c>
      <c r="F377" s="16" t="s">
        <v>5328</v>
      </c>
      <c r="G377" s="16">
        <v>1</v>
      </c>
    </row>
    <row r="378" spans="1:7" ht="51">
      <c r="A378" s="15"/>
      <c r="B378" s="16">
        <v>377</v>
      </c>
      <c r="C378" s="16" t="s">
        <v>5329</v>
      </c>
      <c r="D378" s="16" t="s">
        <v>6868</v>
      </c>
      <c r="E378" s="16" t="str">
        <f ca="1">IFERROR(__xludf.DUMMYFUNCTION("AI(""c컬럼의 단어를 활용해서 적절한 예문을 만들어줘. 한글 해석은 줄띄움 후에 작성해줘"")"),"The Democratic party chose to throw its weight behind a new climate change plan to address the urgent need for action.
민주당은 조치를 취해야 할 시급한 필요성을 해결하기 위해 새로운 기후 변화 계획을 적극 지지하기로 했습니다.")</f>
        <v>The Democratic party chose to throw its weight behind a new climate change plan to address the urgent need for action.
민주당은 조치를 취해야 할 시급한 필요성을 해결하기 위해 새로운 기후 변화 계획을 적극 지지하기로 했습니다.</v>
      </c>
      <c r="F378" s="16" t="s">
        <v>5330</v>
      </c>
      <c r="G378" s="16">
        <v>1</v>
      </c>
    </row>
    <row r="379" spans="1:7" ht="51">
      <c r="A379" s="15"/>
      <c r="B379" s="16">
        <v>378</v>
      </c>
      <c r="C379" s="16" t="s">
        <v>5331</v>
      </c>
      <c r="D379" s="16" t="s">
        <v>6869</v>
      </c>
      <c r="E379" s="16" t="str">
        <f ca="1">IFERROR(__xludf.DUMMYFUNCTION("AI(""c컬럼의 단어를 활용해서 적절한 예문을 만들어줘. 한글 해석은 줄띄움 후에 작성해줘"")"),"A well-prepared bidding strategy can help a company tip the odds in its favor during a competitive tender process.
잘 준비된 입찰 전략은 경쟁 입찰 과정에서 회사가 승산을 자기 쪽으로 기울이는 데 도움이 될 수 있습니다.")</f>
        <v>A well-prepared bidding strategy can help a company tip the odds in its favor during a competitive tender process.
잘 준비된 입찰 전략은 경쟁 입찰 과정에서 회사가 승산을 자기 쪽으로 기울이는 데 도움이 될 수 있습니다.</v>
      </c>
      <c r="F379" s="16" t="s">
        <v>5332</v>
      </c>
      <c r="G379" s="16">
        <v>1</v>
      </c>
    </row>
    <row r="380" spans="1:7" ht="25.5">
      <c r="A380" s="15"/>
      <c r="B380" s="16">
        <v>379</v>
      </c>
      <c r="C380" s="16" t="s">
        <v>5333</v>
      </c>
      <c r="D380" s="16" t="s">
        <v>6870</v>
      </c>
      <c r="E380" s="16" t="str">
        <f ca="1">IFERROR(__xludf.DUMMYFUNCTION("AI(""c컬럼의 단어를 활용해서 적절한 예문을 만들어줘. 한글 해석은 줄띄움 후에 작성해줘"")"),"Advocates tout the benefits of the new technology to increase consumer interest in the market.
옹호자들은 시장에서 소비자 관심을 높이기 위해 신기술의 장점을 선전합니다.")</f>
        <v>Advocates tout the benefits of the new technology to increase consumer interest in the market.
옹호자들은 시장에서 소비자 관심을 높이기 위해 신기술의 장점을 선전합니다.</v>
      </c>
      <c r="F380" s="16" t="s">
        <v>5334</v>
      </c>
      <c r="G380" s="16">
        <v>1</v>
      </c>
    </row>
    <row r="381" spans="1:7" ht="51">
      <c r="A381" s="15"/>
      <c r="B381" s="16">
        <v>380</v>
      </c>
      <c r="C381" s="16" t="s">
        <v>5335</v>
      </c>
      <c r="D381" s="16" t="s">
        <v>6871</v>
      </c>
      <c r="E381" s="16" t="str">
        <f ca="1">IFERROR(__xludf.DUMMYFUNCTION("AI(""c컬럼의 단어를 활용해서 적절한 예문을 만들어줘. 한글 해석은 줄띄움 후에 작성해줘"")"),"The sudden volcanic eruption spewed a thick toxic blanket of ash and gas over the nearby villages, forcing residents to evacuate immediately.
갑작스러운 화산 폭발은 인근 마을 위로 유독성 재와 가스 막을 내뿜어 주민들이 즉시 대피하게 만들었습니다.")</f>
        <v>The sudden volcanic eruption spewed a thick toxic blanket of ash and gas over the nearby villages, forcing residents to evacuate immediately.
갑작스러운 화산 폭발은 인근 마을 위로 유독성 재와 가스 막을 내뿜어 주민들이 즉시 대피하게 만들었습니다.</v>
      </c>
      <c r="F381" s="16" t="s">
        <v>5336</v>
      </c>
      <c r="G381" s="16">
        <v>1</v>
      </c>
    </row>
    <row r="382" spans="1:7" ht="25.5">
      <c r="A382" s="15"/>
      <c r="B382" s="16">
        <v>381</v>
      </c>
      <c r="C382" s="16" t="s">
        <v>5337</v>
      </c>
      <c r="D382" s="16" t="s">
        <v>6872</v>
      </c>
      <c r="E382" s="16" t="str">
        <f ca="1">IFERROR(__xludf.DUMMYFUNCTION("AI(""c컬럼의 단어를 활용해서 적절한 예문을 만들어줘. 한글 해석은 줄띄움 후에 작성해줘"")"),"The researchers found trace amounts of pesticides in the soil samples collected from the farmland.
연구원들은 농경지에서 수집한 토양 샘플에서 미량의 살충제를 발견했습니다.")</f>
        <v>The researchers found trace amounts of pesticides in the soil samples collected from the farmland.
연구원들은 농경지에서 수집한 토양 샘플에서 미량의 살충제를 발견했습니다.</v>
      </c>
      <c r="F382" s="16" t="s">
        <v>5338</v>
      </c>
      <c r="G382" s="16">
        <v>1</v>
      </c>
    </row>
    <row r="383" spans="1:7" ht="51">
      <c r="A383" s="15"/>
      <c r="B383" s="16">
        <v>382</v>
      </c>
      <c r="C383" s="16" t="s">
        <v>5339</v>
      </c>
      <c r="D383" s="16" t="s">
        <v>6873</v>
      </c>
      <c r="E383" s="16" t="str">
        <f ca="1">IFERROR(__xludf.DUMMYFUNCTION("AI(""c컬럼의 단어를 활용해서 적절한 예문을 만들어줘. 한글 해석은 줄띄움 후에 작성해줘"")"),"Throughout history, the reckless unpicking of military alliances and the treachery toward allies have often led to the collapse of the established international order.
역사적으로 군사 동맹의 무분별한 해체와 동맹국에 대한 배신은 종종 기존 국제 질서의 붕괴로 이어졌습니다.")</f>
        <v>Throughout history, the reckless unpicking of military alliances and the treachery toward allies have often led to the collapse of the established international order.
역사적으로 군사 동맹의 무분별한 해체와 동맹국에 대한 배신은 종종 기존 국제 질서의 붕괴로 이어졌습니다.</v>
      </c>
      <c r="F383" s="16" t="s">
        <v>5340</v>
      </c>
      <c r="G383" s="16">
        <v>1</v>
      </c>
    </row>
    <row r="384" spans="1:7" ht="25.5">
      <c r="A384" s="15"/>
      <c r="B384" s="16">
        <v>383</v>
      </c>
      <c r="C384" s="16" t="s">
        <v>5341</v>
      </c>
      <c r="D384" s="16" t="s">
        <v>6874</v>
      </c>
      <c r="E384" s="16" t="str">
        <f ca="1">IFERROR(__xludf.DUMMYFUNCTION("AI(""c컬럼의 단어를 활용해서 적절한 예문을 만들어줘. 한글 해석은 줄띄움 후에 작성해줘"")"),"Eligible students can apply for a tuition waiver to reduce or eliminate their education costs.
자격이 있는 학생들은 교육비를 줄이거나 면제받기 위해 등록금 면제를 신청할 수 있습니다.")</f>
        <v>Eligible students can apply for a tuition waiver to reduce or eliminate their education costs.
자격이 있는 학생들은 교육비를 줄이거나 면제받기 위해 등록금 면제를 신청할 수 있습니다.</v>
      </c>
      <c r="F384" s="16" t="s">
        <v>5342</v>
      </c>
      <c r="G384" s="16">
        <v>1</v>
      </c>
    </row>
    <row r="385" spans="1:7" ht="25.5">
      <c r="A385" s="15"/>
      <c r="B385" s="16">
        <v>384</v>
      </c>
      <c r="C385" s="16" t="s">
        <v>5343</v>
      </c>
      <c r="D385" s="16" t="s">
        <v>6875</v>
      </c>
      <c r="E385" s="16" t="str">
        <f ca="1">IFERROR(__xludf.DUMMYFUNCTION("AI(""c컬럼의 단어를 활용해서 적절한 예문을 만들어줘. 한글 해석은 줄띄움 후에 작성해줘"")"),"The board of directors approved a new turnaround plan to address the company's financial decline.
이사회는 회사의 재무적 쇠퇴를 해결하기 위한 새로운 회생 계획을 승인했습니다.")</f>
        <v>The board of directors approved a new turnaround plan to address the company's financial decline.
이사회는 회사의 재무적 쇠퇴를 해결하기 위한 새로운 회생 계획을 승인했습니다.</v>
      </c>
      <c r="F385" s="16" t="s">
        <v>5344</v>
      </c>
      <c r="G385" s="16">
        <v>1</v>
      </c>
    </row>
    <row r="386" spans="1:7" ht="51">
      <c r="A386" s="15"/>
      <c r="B386" s="16">
        <v>385</v>
      </c>
      <c r="C386" s="16" t="s">
        <v>5345</v>
      </c>
      <c r="D386" s="16" t="s">
        <v>6876</v>
      </c>
      <c r="E386" s="16" t="str">
        <f ca="1">IFERROR(__xludf.DUMMYFUNCTION("AI(""c컬럼의 단어를 활용해서 적절한 예문을 만들어줘. 한글 해석은 줄띄움 후에 작성해줘"")"),"Now that smartphones are ubiquitous and are a primary method of communication, some researchers have become interested in how they affect our lives.
이제 스마트폰은 어디에나 있고 주요한 통신 수단이 되었기 때문에, 일부 연구자들은 스마트폰이 우리 삶에 어떤 영향을 미치는지 관심을 갖게 되었습니다.")</f>
        <v>Now that smartphones are ubiquitous and are a primary method of communication, some researchers have become interested in how they affect our lives.
이제 스마트폰은 어디에나 있고 주요한 통신 수단이 되었기 때문에, 일부 연구자들은 스마트폰이 우리 삶에 어떤 영향을 미치는지 관심을 갖게 되었습니다.</v>
      </c>
      <c r="F386" s="16" t="s">
        <v>5346</v>
      </c>
      <c r="G386" s="16">
        <v>1</v>
      </c>
    </row>
    <row r="387" spans="1:7" ht="51">
      <c r="A387" s="15"/>
      <c r="B387" s="16">
        <v>386</v>
      </c>
      <c r="C387" s="16" t="s">
        <v>5347</v>
      </c>
      <c r="D387" s="16" t="s">
        <v>6877</v>
      </c>
      <c r="E387" s="16" t="str">
        <f ca="1">IFERROR(__xludf.DUMMYFUNCTION("AI(""c컬럼의 단어를 활용해서 적절한 예문을 만들어줘. 한글 해석은 줄띄움 후에 작성해줘"")"),"An Oxfam audit found that between $24 billion and $41 billion in climate finance went unaccounted for between the time projects were approved and when they closed.
옥스팜의 감사 결과, 프로젝트 승인 시점부터 종료 시점 사이에 240억 달러에서 410억 달러에 달하는 기후 금융의 행방이 설명되지 않는 것으로 나타났습니다.")</f>
        <v>An Oxfam audit found that between $24 billion and $41 billion in climate finance went unaccounted for between the time projects were approved and when they closed.
옥스팜의 감사 결과, 프로젝트 승인 시점부터 종료 시점 사이에 240억 달러에서 410억 달러에 달하는 기후 금융의 행방이 설명되지 않는 것으로 나타났습니다.</v>
      </c>
      <c r="F387" s="16" t="s">
        <v>5348</v>
      </c>
      <c r="G387" s="16">
        <v>1</v>
      </c>
    </row>
    <row r="388" spans="1:7" ht="51">
      <c r="A388" s="15"/>
      <c r="B388" s="16">
        <v>387</v>
      </c>
      <c r="C388" s="16" t="s">
        <v>5349</v>
      </c>
      <c r="D388" s="16" t="s">
        <v>6878</v>
      </c>
      <c r="E388" s="16" t="str">
        <f ca="1">IFERROR(__xludf.DUMMYFUNCTION("AI(""c컬럼의 단어를 활용해서 적절한 예문을 만들어줘. 한글 해석은 줄띄움 후에 작성해줘"")"),"The chef insisted that using fresh, locally sourced ingredients is the only way to experience the unadulterated flavor of the traditional dish.
그 요리사는 신선하고 현지에서 조달한 재료를 사용하는 것이 전통 요리의 순수한 맛을 경험할 수 있는 유일한 방법이라고 주장했습니다.")</f>
        <v>The chef insisted that using fresh, locally sourced ingredients is the only way to experience the unadulterated flavor of the traditional dish.
그 요리사는 신선하고 현지에서 조달한 재료를 사용하는 것이 전통 요리의 순수한 맛을 경험할 수 있는 유일한 방법이라고 주장했습니다.</v>
      </c>
      <c r="F388" s="16" t="s">
        <v>5350</v>
      </c>
      <c r="G388" s="16">
        <v>1</v>
      </c>
    </row>
    <row r="389" spans="1:7" ht="51">
      <c r="A389" s="15"/>
      <c r="B389" s="16">
        <v>388</v>
      </c>
      <c r="C389" s="16" t="s">
        <v>5351</v>
      </c>
      <c r="D389" s="16" t="s">
        <v>6879</v>
      </c>
      <c r="E389" s="16" t="str">
        <f ca="1">IFERROR(__xludf.DUMMYFUNCTION("AI(""c컬럼의 단어를 활용해서 적절한 예문을 만들어줘. 한글 해석은 줄띄움 후에 작성해줘"")"),"MIT's new AI model can predict future human actions with uncanny accuracy by accounting for computational constraints.
MIT의 새로운 AI 모델은 계산적 제약을 고려함으로써 인간의 미래 행동을 묘하게 정확하게 예측할 수 있습니다.")</f>
        <v>MIT's new AI model can predict future human actions with uncanny accuracy by accounting for computational constraints.
MIT의 새로운 AI 모델은 계산적 제약을 고려함으로써 인간의 미래 행동을 묘하게 정확하게 예측할 수 있습니다.</v>
      </c>
      <c r="F389" s="16" t="s">
        <v>5352</v>
      </c>
      <c r="G389" s="16">
        <v>1</v>
      </c>
    </row>
    <row r="390" spans="1:7" ht="51">
      <c r="A390" s="15"/>
      <c r="B390" s="16">
        <v>389</v>
      </c>
      <c r="C390" s="16" t="s">
        <v>5353</v>
      </c>
      <c r="D390" s="16" t="s">
        <v>6880</v>
      </c>
      <c r="E390" s="16" t="str">
        <f ca="1">IFERROR(__xludf.DUMMYFUNCTION("AI(""c컬럼의 단어를 활용해서 적절한 예문을 만들어줘. 한글 해석은 줄띄움 후에 작성해줘"")"),"The candidate utilized an underdog image to connect with working-class voters and gain a surprise lead in the polls.
그 후보자는 노동자 계층 유권자들과 유대감을 형성하고 여론조사에서 의외의 리드를 점하기 위해 약자 이미지를 활용했습니다.")</f>
        <v>The candidate utilized an underdog image to connect with working-class voters and gain a surprise lead in the polls.
그 후보자는 노동자 계층 유권자들과 유대감을 형성하고 여론조사에서 의외의 리드를 점하기 위해 약자 이미지를 활용했습니다.</v>
      </c>
      <c r="F390" s="16" t="s">
        <v>5354</v>
      </c>
      <c r="G390" s="16">
        <v>1</v>
      </c>
    </row>
    <row r="391" spans="1:7" ht="51">
      <c r="A391" s="15"/>
      <c r="B391" s="16">
        <v>390</v>
      </c>
      <c r="C391" s="16" t="s">
        <v>5355</v>
      </c>
      <c r="D391" s="16" t="s">
        <v>6881</v>
      </c>
      <c r="E391" s="16" t="str">
        <f ca="1">IFERROR(__xludf.DUMMYFUNCTION("AI(""c컬럼의 단어를 활용해서 적절한 예문을 만들어줘. 한글 해석은 줄띄움 후에 작성해줘"")"),"Retailers who are supposed to have their taxes deducted may simply underreport their purchases to minimize their tax liability.
세금을 공제받아야 하는 소매업체들이 세금 부담을 최소화하기 위해 구매 내역을 축소 신고할 수 있습니다.")</f>
        <v>Retailers who are supposed to have their taxes deducted may simply underreport their purchases to minimize their tax liability.
세금을 공제받아야 하는 소매업체들이 세금 부담을 최소화하기 위해 구매 내역을 축소 신고할 수 있습니다.</v>
      </c>
      <c r="F391" s="16" t="s">
        <v>5356</v>
      </c>
      <c r="G391" s="16">
        <v>1</v>
      </c>
    </row>
    <row r="392" spans="1:7" ht="51">
      <c r="A392" s="15"/>
      <c r="B392" s="16">
        <v>391</v>
      </c>
      <c r="C392" s="16" t="s">
        <v>5357</v>
      </c>
      <c r="D392" s="16" t="s">
        <v>6882</v>
      </c>
      <c r="E392" s="16" t="str">
        <f ca="1">IFERROR(__xludf.DUMMYFUNCTION("AI(""c컬럼의 단어를 활용해서 적절한 예문을 만들어줘. 한글 해석은 줄띄움 후에 작성해줘"")"),"The project was eventually cancelled because the initial cost estimates proved that the proposal was unfeasible within the current budget constraints.
그 프로젝트는 초기 비용 추정치에서 현재의 예산 제약 내에서는 제안서가 실현 불가능하다는 것이 입증되어 결국 취소되었습니다.")</f>
        <v>The project was eventually cancelled because the initial cost estimates proved that the proposal was unfeasible within the current budget constraints.
그 프로젝트는 초기 비용 추정치에서 현재의 예산 제약 내에서는 제안서가 실현 불가능하다는 것이 입증되어 결국 취소되었습니다.</v>
      </c>
      <c r="F392" s="16" t="s">
        <v>5358</v>
      </c>
      <c r="G392" s="16">
        <v>1</v>
      </c>
    </row>
    <row r="393" spans="1:7" ht="51">
      <c r="A393" s="15"/>
      <c r="B393" s="16">
        <v>392</v>
      </c>
      <c r="C393" s="16" t="s">
        <v>5359</v>
      </c>
      <c r="D393" s="16" t="s">
        <v>6883</v>
      </c>
      <c r="E393" s="16" t="str">
        <f ca="1">IFERROR(__xludf.DUMMYFUNCTION("AI(""c컬럼의 단어를 활용해서 적절한 예문을 만들어줘. 한글 해석은 줄띄움 후에 작성해줘"")"),"The ongoing climate crisis and environmental degradation could make many coastal regions uninhabitable within the next few decades.
지속되는 기후 위기와 환경 파괴는 향후 수십 년 내에 많은 해안 지역을 거주 불가능하게 만들 수 있습니다.")</f>
        <v>The ongoing climate crisis and environmental degradation could make many coastal regions uninhabitable within the next few decades.
지속되는 기후 위기와 환경 파괴는 향후 수십 년 내에 많은 해안 지역을 거주 불가능하게 만들 수 있습니다.</v>
      </c>
      <c r="F393" s="16" t="s">
        <v>5360</v>
      </c>
      <c r="G393" s="16">
        <v>1</v>
      </c>
    </row>
    <row r="394" spans="1:7" ht="25.5">
      <c r="A394" s="15"/>
      <c r="B394" s="16">
        <v>393</v>
      </c>
      <c r="C394" s="16" t="s">
        <v>5361</v>
      </c>
      <c r="D394" s="16" t="s">
        <v>6884</v>
      </c>
      <c r="E394" s="16" t="str">
        <f ca="1">IFERROR(__xludf.DUMMYFUNCTION("AI(""c컬럼의 단어를 활용해서 적절한 예문을 만들어줘. 한글 해석은 줄띄움 후에 작성해줘"")"),"The automated system is designed to operate uninterruptedly to maximize production efficiency.
자동화 시스템은 생산 효율을 극대화하기 위해 중단 없이 작동하도록 설계되었습니다.")</f>
        <v>The automated system is designed to operate uninterruptedly to maximize production efficiency.
자동화 시스템은 생산 효율을 극대화하기 위해 중단 없이 작동하도록 설계되었습니다.</v>
      </c>
      <c r="F394" s="16" t="s">
        <v>5362</v>
      </c>
      <c r="G394" s="16">
        <v>1</v>
      </c>
    </row>
    <row r="395" spans="1:7" ht="25.5">
      <c r="A395" s="15"/>
      <c r="B395" s="16">
        <v>394</v>
      </c>
      <c r="C395" s="16" t="s">
        <v>5363</v>
      </c>
      <c r="D395" s="16" t="s">
        <v>6885</v>
      </c>
      <c r="E395" s="16" t="str">
        <f ca="1">IFERROR(__xludf.DUMMYFUNCTION("AI(""c컬럼의 단어를 활용해서 적절한 예문을 만들어줘. 한글 해석은 줄띄움 후에 작성해줘"")"),"The leader showed unshakable faith in his team even during the most difficult challenges.
그 지도자는 가장 어려운 도전 속에서도 그의 팀에 대해 흔들리지 않는 믿음을 보여주었습니다.")</f>
        <v>The leader showed unshakable faith in his team even during the most difficult challenges.
그 지도자는 가장 어려운 도전 속에서도 그의 팀에 대해 흔들리지 않는 믿음을 보여주었습니다.</v>
      </c>
      <c r="F395" s="16" t="s">
        <v>5364</v>
      </c>
      <c r="G395" s="16">
        <v>1</v>
      </c>
    </row>
    <row r="396" spans="1:7" ht="51">
      <c r="A396" s="15"/>
      <c r="B396" s="16">
        <v>395</v>
      </c>
      <c r="C396" s="16" t="s">
        <v>5365</v>
      </c>
      <c r="D396" s="16" t="s">
        <v>6886</v>
      </c>
      <c r="E396" s="16" t="str">
        <f ca="1">IFERROR(__xludf.DUMMYFUNCTION("AI(""c컬럼의 단어를 활용해서 적절한 예문을 만들어줘. 한글 해석은 줄띄움 후에 작성해줘"")"),"The company was accused of making unsubstantiated claims about the health benefits of its new dietary supplement.
그 회사는 새로운 건강 보조 식품의 건강상 이점에 대해 입증되지 않은 주장을 했다는 비난을 받았습니다.")</f>
        <v>The company was accused of making unsubstantiated claims about the health benefits of its new dietary supplement.
그 회사는 새로운 건강 보조 식품의 건강상 이점에 대해 입증되지 않은 주장을 했다는 비난을 받았습니다.</v>
      </c>
      <c r="F396" s="16" t="s">
        <v>5366</v>
      </c>
      <c r="G396" s="16">
        <v>1</v>
      </c>
    </row>
    <row r="397" spans="1:7" ht="51">
      <c r="A397" s="15"/>
      <c r="B397" s="16">
        <v>396</v>
      </c>
      <c r="C397" s="16" t="s">
        <v>5367</v>
      </c>
      <c r="D397" s="16" t="s">
        <v>6887</v>
      </c>
      <c r="E397" s="16" t="str">
        <f ca="1">IFERROR(__xludf.DUMMYFUNCTION("AI(""c컬럼의 단어를 활용해서 적절한 예문을 만들어줘. 한글 해석은 줄띄움 후에 작성해줘"")"),"The BBC presenter accidentally ruined her niece's surprise party by unwittingly revealing the plans on live TV.
BBC의 한 진행자는 생방송 TV에서 자기도 모르게 계획을 드러내어 조카의 깜짝 파티를 망치고 말았습니다.")</f>
        <v>The BBC presenter accidentally ruined her niece's surprise party by unwittingly revealing the plans on live TV.
BBC의 한 진행자는 생방송 TV에서 자기도 모르게 계획을 드러내어 조카의 깜짝 파티를 망치고 말았습니다.</v>
      </c>
      <c r="F397" s="16" t="s">
        <v>5368</v>
      </c>
      <c r="G397" s="16">
        <v>1</v>
      </c>
    </row>
    <row r="398" spans="1:7" ht="38.25">
      <c r="A398" s="15"/>
      <c r="B398" s="16">
        <v>397</v>
      </c>
      <c r="C398" s="16" t="s">
        <v>5369</v>
      </c>
      <c r="D398" s="16" t="s">
        <v>6888</v>
      </c>
      <c r="E398" s="16" t="str">
        <f ca="1">IFERROR(__xludf.DUMMYFUNCTION("AI(""c컬럼의 단어를 활용해서 적절한 예문을 만들어줘. 한글 해석은 줄띄움 후에 작성해줘"")"),"The year 1968 was a turning point in history, a year of social and political upheavals that forever changed the country.
1968년은 역사의 전환점이었으며, 나라를 영원히 바꾼 사회적, 정치적 격변의 해였습니다.")</f>
        <v>The year 1968 was a turning point in history, a year of social and political upheavals that forever changed the country.
1968년은 역사의 전환점이었으며, 나라를 영원히 바꾼 사회적, 정치적 격변의 해였습니다.</v>
      </c>
      <c r="F398" s="16" t="s">
        <v>5370</v>
      </c>
      <c r="G398" s="16">
        <v>1</v>
      </c>
    </row>
    <row r="399" spans="1:7" ht="51">
      <c r="A399" s="15"/>
      <c r="B399" s="16">
        <v>398</v>
      </c>
      <c r="C399" s="16" t="s">
        <v>5371</v>
      </c>
      <c r="D399" s="16" t="s">
        <v>6889</v>
      </c>
      <c r="E399" s="16" t="str">
        <f ca="1">IFERROR(__xludf.DUMMYFUNCTION("AI(""c컬럼의 단어를 활용해서 적절한 예문을 만들어줘. 한글 해석은 줄띄움 후에 작성해줘"")"),"The 19th-century abolitionist movement sought to upturn social mores by challenging the entire economic and social system that sustained slavery.
19세기 노예 폐지 운동은 노예제를 지탱하던 경제 및 사회 체제 전체에 도전함으로써 사회적 관습을 뒤엎으려 노력했습니다.")</f>
        <v>The 19th-century abolitionist movement sought to upturn social mores by challenging the entire economic and social system that sustained slavery.
19세기 노예 폐지 운동은 노예제를 지탱하던 경제 및 사회 체제 전체에 도전함으로써 사회적 관습을 뒤엎으려 노력했습니다.</v>
      </c>
      <c r="F399" s="16" t="s">
        <v>5372</v>
      </c>
      <c r="G399" s="16">
        <v>1</v>
      </c>
    </row>
    <row r="400" spans="1:7" ht="51">
      <c r="A400" s="15"/>
      <c r="B400" s="16">
        <v>399</v>
      </c>
      <c r="C400" s="16" t="s">
        <v>5373</v>
      </c>
      <c r="D400" s="16" t="s">
        <v>6890</v>
      </c>
      <c r="E400" s="16" t="str">
        <f ca="1">IFERROR(__xludf.DUMMYFUNCTION("AI(""c컬럼의 단어를 활용해서 적절한 예문을 만들어줘. 한글 해석은 줄띄움 후에 작성해줘"")"),"Throughout history, many ambitious nobles have attempted to lead a rebellion to usurp the throne from the rightful monarch.
역사적으로 많은 야심 찬 귀족들이 합법적인 군주로부터 왕좌를 찬탈하기 위해 반란을 이끌려고 시도해 왔습니다.")</f>
        <v>Throughout history, many ambitious nobles have attempted to lead a rebellion to usurp the throne from the rightful monarch.
역사적으로 많은 야심 찬 귀족들이 합법적인 군주로부터 왕좌를 찬탈하기 위해 반란을 이끌려고 시도해 왔습니다.</v>
      </c>
      <c r="F400" s="16" t="s">
        <v>5373</v>
      </c>
      <c r="G400" s="16">
        <v>1</v>
      </c>
    </row>
    <row r="401" spans="1:7" ht="63.75">
      <c r="A401" s="15"/>
      <c r="B401" s="16">
        <v>400</v>
      </c>
      <c r="C401" s="16" t="s">
        <v>4473</v>
      </c>
      <c r="D401" s="16" t="s">
        <v>6891</v>
      </c>
      <c r="E401" s="16" t="str">
        <f ca="1">IFERROR(__xludf.DUMMYFUNCTION("AI(""c컬럼의 단어를 활용해서 적절한 예문을 만들어줘. 한글 해석은 줄띄움 후에 작성해줘"")"),"The Gallic chief Brennus famously shouted ""Vae Victis!"" as he threw his sword onto the scale, signifying that no mercy would be shown to the vanquished.
가울의 지도자 브렌누스는 저울 위에 자신의 칼을 던지며 ""패배한 자들에게 재앙이 있으라!""라고 외쳤는데, 이는 패배한 사람들에게 어떠한 자비도 베풀지 않겠다는 의미였습니다.")</f>
        <v>The Gallic chief Brennus famously shouted "Vae Victis!" as he threw his sword onto the scale, signifying that no mercy would be shown to the vanquished.
가울의 지도자 브렌누스는 저울 위에 자신의 칼을 던지며 "패배한 자들에게 재앙이 있으라!"라고 외쳤는데, 이는 패배한 사람들에게 어떠한 자비도 베풀지 않겠다는 의미였습니다.</v>
      </c>
      <c r="F401" s="16" t="s">
        <v>5374</v>
      </c>
      <c r="G401" s="16">
        <v>1</v>
      </c>
    </row>
    <row r="402" spans="1:7" ht="51">
      <c r="A402" s="15"/>
      <c r="B402" s="16">
        <v>401</v>
      </c>
      <c r="C402" s="16" t="s">
        <v>5375</v>
      </c>
      <c r="D402" s="16" t="s">
        <v>6892</v>
      </c>
      <c r="E402" s="16" t="str">
        <f ca="1">IFERROR(__xludf.DUMMYFUNCTION("AI(""c컬럼의 단어를 활용해서 적절한 예문을 만들어줘. 한글 해석은 줄띄움 후에 작성해줘"")"),"Human ancestors had larger jaws with more teeth, but modern humans have vestigial wisdom teeth that often lack the space to emerge properly.
인류 조상은 더 많은 치아를 가진 더 큰 턱을 가졌으나, 현대 인류는 종종 제대로 나올 공간이 부족한 퇴화한 사랑니를 가지고 있습니다.")</f>
        <v>Human ancestors had larger jaws with more teeth, but modern humans have vestigial wisdom teeth that often lack the space to emerge properly.
인류 조상은 더 많은 치아를 가진 더 큰 턱을 가졌으나, 현대 인류는 종종 제대로 나올 공간이 부족한 퇴화한 사랑니를 가지고 있습니다.</v>
      </c>
      <c r="F402" s="16" t="s">
        <v>5376</v>
      </c>
      <c r="G402" s="16">
        <v>1</v>
      </c>
    </row>
    <row r="403" spans="1:7" ht="51">
      <c r="A403" s="15"/>
      <c r="B403" s="16">
        <v>402</v>
      </c>
      <c r="C403" s="16" t="s">
        <v>5377</v>
      </c>
      <c r="D403" s="16" t="s">
        <v>6893</v>
      </c>
      <c r="E403" s="16" t="str">
        <f ca="1">IFERROR(__xludf.DUMMYFUNCTION("AI(""c컬럼의 단어를 활용해서 적절한 예문을 만들어줘. 한글 해석은 줄띄움 후에 작성해줘"")"),"The startup must demonstrate that it has a viable business model to secure funding from potential investors.
스타트업은 잠재적 투자자들로부터 자금을 확보하기 위해 실행 가능한 비즈니스 모델을 가지고 있음을 입증해야 합니다.")</f>
        <v>The startup must demonstrate that it has a viable business model to secure funding from potential investors.
스타트업은 잠재적 투자자들로부터 자금을 확보하기 위해 실행 가능한 비즈니스 모델을 가지고 있음을 입증해야 합니다.</v>
      </c>
      <c r="F403" s="16" t="s">
        <v>5378</v>
      </c>
      <c r="G403" s="16">
        <v>1</v>
      </c>
    </row>
    <row r="404" spans="1:7" ht="51">
      <c r="A404" s="15"/>
      <c r="B404" s="16">
        <v>403</v>
      </c>
      <c r="C404" s="16" t="s">
        <v>5379</v>
      </c>
      <c r="D404" s="16" t="s">
        <v>6894</v>
      </c>
      <c r="E404" s="16" t="str">
        <f ca="1">IFERROR(__xludf.DUMMYFUNCTION("AI(""c컬럼의 단어를 활용해서 적절한 예문을 만들어줘. 한글 해석은 줄띄움 후에 작성해줘"")"),"Hackers are constantly on the prowl for vulnerabilities in applications and operating systems to exploit them for malicious purposes.
해커들은 악의적인 목적을 위해 애플리케이션과 운영 체제의 취약점을 찾아 끊임없이 살피고 이를 악용합니다.")</f>
        <v>Hackers are constantly on the prowl for vulnerabilities in applications and operating systems to exploit them for malicious purposes.
해커들은 악의적인 목적을 위해 애플리케이션과 운영 체제의 취약점을 찾아 끊임없이 살피고 이를 악용합니다.</v>
      </c>
      <c r="F404" s="16" t="s">
        <v>5380</v>
      </c>
      <c r="G404" s="16">
        <v>1</v>
      </c>
    </row>
    <row r="405" spans="1:7" ht="38.25">
      <c r="A405" s="15"/>
      <c r="B405" s="16">
        <v>404</v>
      </c>
      <c r="C405" s="16" t="s">
        <v>4563</v>
      </c>
      <c r="D405" s="16" t="s">
        <v>6895</v>
      </c>
      <c r="E405" s="16" t="str">
        <f ca="1">IFERROR(__xludf.DUMMYFUNCTION("AI(""c컬럼의 단어를 활용해서 적절한 예문을 만들어줘. 한글 해석은 줄띄움 후에 작성해줘"")"),"The evidence provided by the investigation warranted taking immediate corrective action to ensure safety.
수사에서 제공된 증거는 안전을 보장하기 위해 즉각적인 시정 조치를 취하는 것을 정당화했습니다.")</f>
        <v>The evidence provided by the investigation warranted taking immediate corrective action to ensure safety.
수사에서 제공된 증거는 안전을 보장하기 위해 즉각적인 시정 조치를 취하는 것을 정당화했습니다.</v>
      </c>
      <c r="F405" s="16" t="s">
        <v>5381</v>
      </c>
      <c r="G405" s="16">
        <v>1</v>
      </c>
    </row>
    <row r="406" spans="1:7" ht="38.25">
      <c r="A406" s="15"/>
      <c r="B406" s="16">
        <v>405</v>
      </c>
      <c r="C406" s="16" t="s">
        <v>5382</v>
      </c>
      <c r="D406" s="16" t="s">
        <v>6896</v>
      </c>
      <c r="E406" s="16" t="str">
        <f ca="1">IFERROR(__xludf.DUMMYFUNCTION("AI(""c컬럼의 단어를 활용해서 적절한 예문을 만들어줘. 한글 해석은 줄띄움 후에 작성해줘"")"),"The train arrived at the small station, whereupon the passengers quickly gathered their belongings to disembark.
기차가 작은 역에 도착하자, 그 직후 승객들은 내리기 위해 서둘러 짐을 챙겼습니다.")</f>
        <v>The train arrived at the small station, whereupon the passengers quickly gathered their belongings to disembark.
기차가 작은 역에 도착하자, 그 직후 승객들은 내리기 위해 서둘러 짐을 챙겼습니다.</v>
      </c>
      <c r="F406" s="16" t="s">
        <v>5383</v>
      </c>
      <c r="G406" s="16">
        <v>1</v>
      </c>
    </row>
    <row r="407" spans="1:7" ht="25.5">
      <c r="A407" s="15"/>
      <c r="B407" s="16">
        <v>406</v>
      </c>
      <c r="C407" s="16" t="s">
        <v>5384</v>
      </c>
      <c r="D407" s="16" t="s">
        <v>6897</v>
      </c>
      <c r="E407" s="16" t="str">
        <f ca="1">IFERROR(__xludf.DUMMYFUNCTION("AI(""c컬럼의 단어를 활용해서 적절한 예문을 만들어줘. 한글 해석은 줄띄움 후에 작성해줘"")"),"The company implemented new policies to protect whistleblowers who report unethical behavior.
회사는 비윤리적 행위를 신고하는 내부고발자를 보호하기 위해 새로운 정책을 시행했습니다.")</f>
        <v>The company implemented new policies to protect whistleblowers who report unethical behavior.
회사는 비윤리적 행위를 신고하는 내부고발자를 보호하기 위해 새로운 정책을 시행했습니다.</v>
      </c>
      <c r="F407" s="16" t="s">
        <v>5385</v>
      </c>
      <c r="G407" s="16">
        <v>1</v>
      </c>
    </row>
    <row r="408" spans="1:7" ht="51">
      <c r="A408" s="15"/>
      <c r="B408" s="16">
        <v>407</v>
      </c>
      <c r="C408" s="16" t="s">
        <v>5386</v>
      </c>
      <c r="D408" s="16" t="s">
        <v>6898</v>
      </c>
      <c r="E408" s="16" t="str">
        <f ca="1">IFERROR(__xludf.DUMMYFUNCTION("AI(""c컬럼의 단어를 활용해서 적절한 예문을 만들어줘. 한글 해석은 줄띄움 후에 작성해줘"")"),"Many people dream of escaping the workaday world and traveling to exotic places to find a new perspective on life.
많은 사람들은 평범한 직장 세계를 탈출하여 인생에 대한 새로운 관점을 찾기 위해 이국적인 곳으로 여행하는 것을 꿈꿉니다.")</f>
        <v>Many people dream of escaping the workaday world and traveling to exotic places to find a new perspective on life.
많은 사람들은 평범한 직장 세계를 탈출하여 인생에 대한 새로운 관점을 찾기 위해 이국적인 곳으로 여행하는 것을 꿈꿉니다.</v>
      </c>
      <c r="F408" s="16" t="s">
        <v>5387</v>
      </c>
      <c r="G408" s="16">
        <v>1</v>
      </c>
    </row>
    <row r="409" spans="1:7" ht="38.25">
      <c r="A409" s="15"/>
      <c r="B409" s="16">
        <v>408</v>
      </c>
      <c r="C409" s="16" t="s">
        <v>5388</v>
      </c>
      <c r="D409" s="16" t="s">
        <v>6899</v>
      </c>
      <c r="E409" s="16" t="str">
        <f ca="1">IFERROR(__xludf.DUMMYFUNCTION("AI(""c컬럼의 단어를 활용해서 적절한 예문을 만들어줘. 한글 해석은 줄띄움 후에 작성해줘"")"),"The sudden storm wreaked havoc on the coastal community, destroying several homes and flooding the streets.
갑작스러운 폭풍은 해안 마을에 큰 피해를 입혔으며, 여러 채의 집을 파괴하고 거리를 침수시켰습니다.")</f>
        <v>The sudden storm wreaked havoc on the coastal community, destroying several homes and flooding the streets.
갑작스러운 폭풍은 해안 마을에 큰 피해를 입혔으며, 여러 채의 집을 파괴하고 거리를 침수시켰습니다.</v>
      </c>
      <c r="F409" s="16" t="s">
        <v>5389</v>
      </c>
      <c r="G409" s="16">
        <v>1</v>
      </c>
    </row>
    <row r="410" spans="1:7" ht="51">
      <c r="A410" s="15"/>
      <c r="B410" s="16">
        <v>409</v>
      </c>
      <c r="C410" s="16" t="s">
        <v>5390</v>
      </c>
      <c r="D410" s="16" t="s">
        <v>6900</v>
      </c>
      <c r="E410" s="16" t="str">
        <f ca="1">IFERROR(__xludf.DUMMYFUNCTION("AI(""c컬럼의 단어를 활용해서 적절한 예문을 만들어줘. 한글 해석은 줄띄움 후에 작성해줘"")"),"The Buttrick Gardens include many fine examples of early to mid-twentieth-century wrought-iron gates, balustrades, and railings.
버트릭 정원에는 20세기 초중반의 연철로 된 문, 난간, 그리고 울타리의 훌륭한 예시가 많이 포함되어 있습니다.")</f>
        <v>The Buttrick Gardens include many fine examples of early to mid-twentieth-century wrought-iron gates, balustrades, and railings.
버트릭 정원에는 20세기 초중반의 연철로 된 문, 난간, 그리고 울타리의 훌륭한 예시가 많이 포함되어 있습니다.</v>
      </c>
      <c r="F410" s="16" t="s">
        <v>5391</v>
      </c>
      <c r="G410" s="16">
        <v>1</v>
      </c>
    </row>
    <row r="411" spans="1:7" ht="51">
      <c r="A411" s="15"/>
      <c r="B411" s="16">
        <v>410</v>
      </c>
      <c r="C411" s="16" t="s">
        <v>5392</v>
      </c>
      <c r="D411" s="16" t="s">
        <v>6901</v>
      </c>
      <c r="E411" s="16" t="str">
        <f ca="1">IFERROR(__xludf.DUMMYFUNCTION("AI(""c컬럼의 단어를 활용해서 적절한 예문을 만들어줘. 한글 해석은 줄띄움 후에 작성해줘"")"),"The dedicated employee was willing to go above and beyond his regular duties to ensure the project's success.
그 헌신적인 직원은 프로젝트의 성공을 보장하기 위해 자신의 정규 업무 기대 이상으로 기꺼이 노력했습니다.")</f>
        <v>The dedicated employee was willing to go above and beyond his regular duties to ensure the project's success.
그 헌신적인 직원은 프로젝트의 성공을 보장하기 위해 자신의 정규 업무 기대 이상으로 기꺼이 노력했습니다.</v>
      </c>
      <c r="F411" s="16" t="s">
        <v>5393</v>
      </c>
      <c r="G411" s="16">
        <v>1</v>
      </c>
    </row>
    <row r="412" spans="1:7" ht="25.5">
      <c r="A412" s="15"/>
      <c r="B412" s="16">
        <v>411</v>
      </c>
      <c r="C412" s="16" t="s">
        <v>69</v>
      </c>
      <c r="D412" s="16" t="s">
        <v>6902</v>
      </c>
      <c r="E412" s="16" t="str">
        <f ca="1">IFERROR(__xludf.DUMMYFUNCTION("AI(""c컬럼의 단어를 활용해서 적절한 예문을 만들어줘. 한글 해석은 줄띄움 후에 작성해줘"")"),"The coral reefs are home to an incredible abundance of aquatic life.
산호초는 믿을 수 없을 정도로 풍부한 수중 생물의 서식지입니다.")</f>
        <v>The coral reefs are home to an incredible abundance of aquatic life.
산호초는 믿을 수 없을 정도로 풍부한 수중 생물의 서식지입니다.</v>
      </c>
      <c r="F412" s="16" t="s">
        <v>5394</v>
      </c>
      <c r="G412" s="16">
        <v>1</v>
      </c>
    </row>
    <row r="413" spans="1:7" ht="51">
      <c r="A413" s="15"/>
      <c r="B413" s="16">
        <v>412</v>
      </c>
      <c r="C413" s="16" t="s">
        <v>5395</v>
      </c>
      <c r="D413" s="16" t="s">
        <v>6903</v>
      </c>
      <c r="E413" s="16" t="str">
        <f ca="1">IFERROR(__xludf.DUMMYFUNCTION("AI(""c컬럼의 단어를 활용해서 적절한 예문을 만들어줘. 한글 해석은 줄띄움 후에 작성해줘"")"),"The distribution of these resources across the globe is highly uneven, with some regions possessing abundant reserves of valuable resources.
전 세계적으로 이러한 자원의 분포는 매우 불균형하며, 일부 지역은 가치 있는 자원을 풍부하게 보유하고 있습니다.")</f>
        <v>The distribution of these resources across the globe is highly uneven, with some regions possessing abundant reserves of valuable resources.
전 세계적으로 이러한 자원의 분포는 매우 불균형하며, 일부 지역은 가치 있는 자원을 풍부하게 보유하고 있습니다.</v>
      </c>
      <c r="F413" s="16" t="s">
        <v>5114</v>
      </c>
      <c r="G413" s="16">
        <v>1</v>
      </c>
    </row>
    <row r="414" spans="1:7" ht="51">
      <c r="A414" s="15"/>
      <c r="B414" s="16">
        <v>413</v>
      </c>
      <c r="C414" s="16" t="s">
        <v>5396</v>
      </c>
      <c r="D414" s="16" t="s">
        <v>6904</v>
      </c>
      <c r="E414" s="16" t="str">
        <f ca="1">IFERROR(__xludf.DUMMYFUNCTION("AI(""c컬럼의 단어를 활용해서 적절한 예문을 만들어줘. 한글 해석은 줄띄움 후에 작성해줘"")"),"As technology innovation and adoption accelerate, the window of relevance for new systems is becoming shorter than ever.
기술 혁신과 도입이 가속화됨에 따라, 새로운 시스템의 적정성 유지 기간은 그 어느 때보다 짧아지고 있습니다.")</f>
        <v>As technology innovation and adoption accelerate, the window of relevance for new systems is becoming shorter than ever.
기술 혁신과 도입이 가속화됨에 따라, 새로운 시스템의 적정성 유지 기간은 그 어느 때보다 짧아지고 있습니다.</v>
      </c>
      <c r="F414" s="16" t="s">
        <v>5397</v>
      </c>
      <c r="G414" s="16">
        <v>1</v>
      </c>
    </row>
    <row r="415" spans="1:7" ht="38.25">
      <c r="A415" s="15"/>
      <c r="B415" s="16">
        <v>414</v>
      </c>
      <c r="C415" s="16" t="s">
        <v>5398</v>
      </c>
      <c r="D415" s="16" t="s">
        <v>6905</v>
      </c>
      <c r="E415" s="16" t="str">
        <f ca="1">IFERROR(__xludf.DUMMYFUNCTION("AI(""c컬럼의 단어를 활용해서 적절한 예문을 만들어줘. 한글 해석은 줄띄움 후에 작성해줘"")"),"Booking a hotel in advance is the best way to secure quality accommodation during the peak holiday season.
성수기 휴가철에 질 좋은 숙박 시설을 확보하는 가장 좋은 방법은 호텔을 미리 예약하는 것입니다.")</f>
        <v>Booking a hotel in advance is the best way to secure quality accommodation during the peak holiday season.
성수기 휴가철에 질 좋은 숙박 시설을 확보하는 가장 좋은 방법은 호텔을 미리 예약하는 것입니다.</v>
      </c>
      <c r="F415" s="16" t="s">
        <v>5399</v>
      </c>
      <c r="G415" s="16">
        <v>1</v>
      </c>
    </row>
    <row r="416" spans="1:7" ht="25.5">
      <c r="A416" s="15"/>
      <c r="B416" s="16">
        <v>415</v>
      </c>
      <c r="C416" s="16" t="s">
        <v>5400</v>
      </c>
      <c r="D416" s="16" t="s">
        <v>6906</v>
      </c>
      <c r="E416" s="16" t="str">
        <f ca="1">IFERROR(__xludf.DUMMYFUNCTION("AI(""c컬럼의 단어를 활용해서 적절한 예문을 만들어줘. 한글 해석은 줄띄움 후에 작성해줘"")"),"Blue cheese is often referred to as an acquired taste because of its strong and pungent flavor.
블루 치즈는 강하고 톡 쏘는 맛 때문에 흔히 처음엔 낯설지만 익숙해지는 취향으로 언급됩니다.")</f>
        <v>Blue cheese is often referred to as an acquired taste because of its strong and pungent flavor.
블루 치즈는 강하고 톡 쏘는 맛 때문에 흔히 처음엔 낯설지만 익숙해지는 취향으로 언급됩니다.</v>
      </c>
      <c r="F416" s="16" t="s">
        <v>5401</v>
      </c>
      <c r="G416" s="16">
        <v>1</v>
      </c>
    </row>
    <row r="417" spans="1:7" ht="25.5">
      <c r="A417" s="15"/>
      <c r="B417" s="16">
        <v>416</v>
      </c>
      <c r="C417" s="16" t="s">
        <v>5402</v>
      </c>
      <c r="D417" s="16" t="s">
        <v>6907</v>
      </c>
      <c r="E417" s="16" t="str">
        <f ca="1">IFERROR(__xludf.DUMMYFUNCTION("AI(""c컬럼의 단어를 활용해서 적절한 예문을 만들어줘. 한글 해석은 줄띄움 후에 작성해줘"")"),"Food additives are used to enhance the flavor and extend the shelf life of processed foods.
가공식품의 맛을 좋게 하고 유통기한을 늘리기 위해 식품 첨가물이 사용됩니다.")</f>
        <v>Food additives are used to enhance the flavor and extend the shelf life of processed foods.
가공식품의 맛을 좋게 하고 유통기한을 늘리기 위해 식품 첨가물이 사용됩니다.</v>
      </c>
      <c r="F417" s="16" t="s">
        <v>5403</v>
      </c>
      <c r="G417" s="16">
        <v>1</v>
      </c>
    </row>
    <row r="418" spans="1:7" ht="38.25">
      <c r="A418" s="15"/>
      <c r="B418" s="16">
        <v>417</v>
      </c>
      <c r="C418" s="16" t="s">
        <v>5404</v>
      </c>
      <c r="D418" s="16" t="s">
        <v>6908</v>
      </c>
      <c r="E418" s="16" t="str">
        <f ca="1">IFERROR(__xludf.DUMMYFUNCTION("AI(""c컬럼의 단어를 활용해서 적절한 예문을 만들어줘. 한글 해석은 줄띄움 후에 작성해줘"")"),"Nurses must ensure that all prescribed medications are administered in a timely manner to support patient recovery.
간호사들은 환자의 회복을 돕기 위해 처방된 모든 약물이 제때 투여되도록 보장해야 합니다.")</f>
        <v>Nurses must ensure that all prescribed medications are administered in a timely manner to support patient recovery.
간호사들은 환자의 회복을 돕기 위해 처방된 모든 약물이 제때 투여되도록 보장해야 합니다.</v>
      </c>
      <c r="F418" s="16" t="s">
        <v>5405</v>
      </c>
      <c r="G418" s="16">
        <v>1</v>
      </c>
    </row>
    <row r="419" spans="1:7" ht="51">
      <c r="A419" s="15"/>
      <c r="B419" s="16">
        <v>418</v>
      </c>
      <c r="C419" s="16" t="s">
        <v>5406</v>
      </c>
      <c r="D419" s="16" t="s">
        <v>6909</v>
      </c>
      <c r="E419" s="16" t="str">
        <f ca="1">IFERROR(__xludf.DUMMYFUNCTION("AI(""c컬럼의 단어를 활용해서 적절한 예문을 만들어줘. 한글 해석은 줄띄움 후에 작성해줘"")"),"During adolescence, teens typically seek to gain independence from parents while nevertheless aiming to maintain a positive relationship.
청소년기에 십 대들은 보통 부모로부터 독립을 추구하면서도 긍정적인 관계를 유지하는 것을 목표로 합니다.")</f>
        <v>During adolescence, teens typically seek to gain independence from parents while nevertheless aiming to maintain a positive relationship.
청소년기에 십 대들은 보통 부모로부터 독립을 추구하면서도 긍정적인 관계를 유지하는 것을 목표로 합니다.</v>
      </c>
      <c r="F419" s="16" t="s">
        <v>5407</v>
      </c>
      <c r="G419" s="16">
        <v>2</v>
      </c>
    </row>
    <row r="420" spans="1:7" ht="51">
      <c r="A420" s="15"/>
      <c r="B420" s="16">
        <v>419</v>
      </c>
      <c r="C420" s="16" t="s">
        <v>5408</v>
      </c>
      <c r="D420" s="16" t="s">
        <v>6910</v>
      </c>
      <c r="E420" s="16" t="str">
        <f ca="1">IFERROR(__xludf.DUMMYFUNCTION("AI(""c컬럼의 단어를 활용해서 적절한 예문을 만들어줘. 한글 해석은 줄띄움 후에 작성해줘"")"),"The herd becomes increasingly protective and aggressive when one elephant is agitated by a perceived threat.
누군가 위협을 가해 코끼리 한 마리가 동요하면, 코끼리 무리는 점점 더 보호적이고 공격적으로 변합니다.")</f>
        <v>The herd becomes increasingly protective and aggressive when one elephant is agitated by a perceived threat.
누군가 위협을 가해 코끼리 한 마리가 동요하면, 코끼리 무리는 점점 더 보호적이고 공격적으로 변합니다.</v>
      </c>
      <c r="F420" s="16" t="s">
        <v>5409</v>
      </c>
      <c r="G420" s="16">
        <v>1</v>
      </c>
    </row>
    <row r="421" spans="1:7" ht="38.25">
      <c r="A421" s="15"/>
      <c r="B421" s="16">
        <v>420</v>
      </c>
      <c r="C421" s="16" t="s">
        <v>5410</v>
      </c>
      <c r="D421" s="16" t="s">
        <v>6911</v>
      </c>
      <c r="E421" s="16" t="str">
        <f ca="1">IFERROR(__xludf.DUMMYFUNCTION("AI(""c컬럼의 단어를 활용해서 적절한 예문을 만들어줘. 한글 해석은 줄띄움 후에 작성해줘"")"),"The prosecutor's office has launched an investigation into the latest corruption allegations against the former official.
검찰은 전직 관리에 대한 최근의 부패 혐의에 대한 수사에 착수했습니다.")</f>
        <v>The prosecutor's office has launched an investigation into the latest corruption allegations against the former official.
검찰은 전직 관리에 대한 최근의 부패 혐의에 대한 수사에 착수했습니다.</v>
      </c>
      <c r="F421" s="16" t="s">
        <v>5411</v>
      </c>
      <c r="G421" s="16">
        <v>1</v>
      </c>
    </row>
    <row r="422" spans="1:7" ht="25.5">
      <c r="A422" s="15"/>
      <c r="B422" s="16">
        <v>421</v>
      </c>
      <c r="C422" s="16" t="s">
        <v>5412</v>
      </c>
      <c r="D422" s="16" t="s">
        <v>6912</v>
      </c>
      <c r="E422" s="16" t="str">
        <f ca="1">IFERROR(__xludf.DUMMYFUNCTION("AI(""c컬럼의 단어를 활용해서 적절한 예문을 만들어줘. 한글 해석은 줄띄움 후에 작성해줘"")"),"The government plans to allocate more funds to improve public transportation infrastructure.
정부는 대중교통 기반 시설을 개선하기 위해 더 많은 예산을 배분할 계획입니다.")</f>
        <v>The government plans to allocate more funds to improve public transportation infrastructure.
정부는 대중교통 기반 시설을 개선하기 위해 더 많은 예산을 배분할 계획입니다.</v>
      </c>
      <c r="F422" s="16" t="s">
        <v>5413</v>
      </c>
      <c r="G422" s="16">
        <v>1</v>
      </c>
    </row>
    <row r="423" spans="1:7" ht="38.25">
      <c r="A423" s="15"/>
      <c r="B423" s="16">
        <v>422</v>
      </c>
      <c r="C423" s="16" t="s">
        <v>5414</v>
      </c>
      <c r="D423" s="16" t="s">
        <v>6913</v>
      </c>
      <c r="E423" s="16" t="str">
        <f ca="1">IFERROR(__xludf.DUMMYFUNCTION("AI(""c컬럼의 단어를 활용해서 적절한 예문을 만들어줘. 한글 해석은 줄띄움 후에 작성해줘"")"),"Through hard work and strategic investments, the entrepreneurs were able to amass wealth over several decades.
열심히 일하고 전략적으로 투자함으로써, 그 기업가들은 수십 년에 걸쳐 부를 축적할 수 있었습니다.")</f>
        <v>Through hard work and strategic investments, the entrepreneurs were able to amass wealth over several decades.
열심히 일하고 전략적으로 투자함으로써, 그 기업가들은 수십 년에 걸쳐 부를 축적할 수 있었습니다.</v>
      </c>
      <c r="F423" s="16" t="s">
        <v>5415</v>
      </c>
      <c r="G423" s="16">
        <v>1</v>
      </c>
    </row>
    <row r="424" spans="1:7" ht="25.5">
      <c r="A424" s="15"/>
      <c r="B424" s="16">
        <v>423</v>
      </c>
      <c r="C424" s="16" t="s">
        <v>5416</v>
      </c>
      <c r="D424" s="16" t="s">
        <v>6914</v>
      </c>
      <c r="E424" s="16" t="str">
        <f ca="1">IFERROR(__xludf.DUMMYFUNCTION("AI(""c컬럼의 단어를 활용해서 적절한 예문을 만들어줘. 한글 해석은 줄띄움 후에 작성해줘"")"),"The soldiers managed to survive the unexpected ambush by quickly finding cover and returning fire.
군인들은 신속하게 엄폐물을 찾고 반격함으로써 예기치 못한 매복 공격에서 살아남을 수 있었습니다.")</f>
        <v>The soldiers managed to survive the unexpected ambush by quickly finding cover and returning fire.
군인들은 신속하게 엄폐물을 찾고 반격함으로써 예기치 못한 매복 공격에서 살아남을 수 있었습니다.</v>
      </c>
      <c r="F424" s="16" t="s">
        <v>5417</v>
      </c>
      <c r="G424" s="16">
        <v>1</v>
      </c>
    </row>
    <row r="425" spans="1:7" ht="38.25">
      <c r="A425" s="15"/>
      <c r="B425" s="16">
        <v>424</v>
      </c>
      <c r="C425" s="16" t="s">
        <v>5418</v>
      </c>
      <c r="D425" s="16" t="s">
        <v>6915</v>
      </c>
      <c r="E425" s="16" t="str">
        <f ca="1">IFERROR(__xludf.DUMMYFUNCTION("AI(""c컬럼의 단어를 활용해서 적절한 예문을 만들어줘. 한글 해석은 줄띄움 후에 작성해줘"")"),"The government has launched a top-down anti-corruption campaign to promote integrity and strengthen public trust.
정부는 청렴성을 증진하고 대중의 신뢰를 강화하기 위해 상향식 반부패 캠페인을 시작했습니다.")</f>
        <v>The government has launched a top-down anti-corruption campaign to promote integrity and strengthen public trust.
정부는 청렴성을 증진하고 대중의 신뢰를 강화하기 위해 상향식 반부패 캠페인을 시작했습니다.</v>
      </c>
      <c r="F425" s="16" t="s">
        <v>5419</v>
      </c>
      <c r="G425" s="16">
        <v>1</v>
      </c>
    </row>
    <row r="426" spans="1:7" ht="25.5">
      <c r="A426" s="15"/>
      <c r="B426" s="16">
        <v>425</v>
      </c>
      <c r="C426" s="16" t="s">
        <v>5420</v>
      </c>
      <c r="D426" s="16" t="s">
        <v>6916</v>
      </c>
      <c r="E426" s="16" t="str">
        <f ca="1">IFERROR(__xludf.DUMMYFUNCTION("AI(""c컬럼의 단어를 활용해서 적절한 예문을 만들어줘. 한글 해석은 줄띄움 후에 작성해줘"")"),"The new menu was much more appealing to customers, leading to a significant increase in sales.
그 새로운 메뉴는 고객들에게 훨씬 더 매력적이어서 매출의 상당한 증가로 이어졌습니다.")</f>
        <v>The new menu was much more appealing to customers, leading to a significant increase in sales.
그 새로운 메뉴는 고객들에게 훨씬 더 매력적이어서 매출의 상당한 증가로 이어졌습니다.</v>
      </c>
      <c r="F426" s="16" t="s">
        <v>5421</v>
      </c>
      <c r="G426" s="16">
        <v>1</v>
      </c>
    </row>
    <row r="427" spans="1:7" ht="25.5">
      <c r="A427" s="15"/>
      <c r="B427" s="16">
        <v>426</v>
      </c>
      <c r="C427" s="16" t="s">
        <v>5422</v>
      </c>
      <c r="D427" s="16" t="s">
        <v>6917</v>
      </c>
      <c r="E427" s="16" t="str">
        <f ca="1">IFERROR(__xludf.DUMMYFUNCTION("AI(""c컬럼의 단어를 활용해서 적절한 예문을 만들어줘. 한글 해석은 줄띄움 후에 작성해줘"")"),"The suspect was apprehended by the police shortly after the robbery.
그 용의자는 강도 사건 직후 경찰에 의해 체포되었습니다.")</f>
        <v>The suspect was apprehended by the police shortly after the robbery.
그 용의자는 강도 사건 직후 경찰에 의해 체포되었습니다.</v>
      </c>
      <c r="F427" s="16" t="s">
        <v>5423</v>
      </c>
      <c r="G427" s="16">
        <v>1</v>
      </c>
    </row>
    <row r="428" spans="1:7" ht="51">
      <c r="A428" s="15"/>
      <c r="B428" s="16">
        <v>427</v>
      </c>
      <c r="C428" s="16" t="s">
        <v>5424</v>
      </c>
      <c r="D428" s="16" t="s">
        <v>6918</v>
      </c>
      <c r="E428" s="16" t="str">
        <f ca="1">IFERROR(__xludf.DUMMYFUNCTION("AI(""c컬럼의 단어를 활용해서 적절한 예문을 만들어줘. 한글 해석은 줄띄움 후에 작성해줘"")"),"Before Ben started to work with me, I had advised him to buy a quality set of tools to use as a carpenter's apprentice.
벤이 나와 함께 일하기 시작하기 전에, 나는 그에게 목수 견습생으로서 사용할 양질의 도구 세트를 구입하라고 조언했다.")</f>
        <v>Before Ben started to work with me, I had advised him to buy a quality set of tools to use as a carpenter's apprentice.
벤이 나와 함께 일하기 시작하기 전에, 나는 그에게 목수 견습생으로서 사용할 양질의 도구 세트를 구입하라고 조언했다.</v>
      </c>
      <c r="F428" s="16" t="s">
        <v>5425</v>
      </c>
      <c r="G428" s="16">
        <v>1</v>
      </c>
    </row>
    <row r="429" spans="1:7" ht="51">
      <c r="A429" s="15"/>
      <c r="B429" s="16">
        <v>428</v>
      </c>
      <c r="C429" s="16" t="s">
        <v>5426</v>
      </c>
      <c r="D429" s="16" t="s">
        <v>6919</v>
      </c>
      <c r="E429" s="16" t="str">
        <f ca="1">IFERROR(__xludf.DUMMYFUNCTION("AI(""c컬럼의 단어를 활용해서 적절한 예문을 만들어줘. 한글 해석은 줄띄움 후에 작성해줘"")"),"Early archaeologists focused on uncovering spectacular artifacts, but modern experts emphasize recording the precise context of every discovery.
초기 고고학자들은 화려한 유물을 발굴하는 데 집중했지만, 현대 전문가들은 모든 발견물의 정확한 맥락을 기록하는 것을 강조합니다.")</f>
        <v>Early archaeologists focused on uncovering spectacular artifacts, but modern experts emphasize recording the precise context of every discovery.
초기 고고학자들은 화려한 유물을 발굴하는 데 집중했지만, 현대 전문가들은 모든 발견물의 정확한 맥락을 기록하는 것을 강조합니다.</v>
      </c>
      <c r="F429" s="16" t="s">
        <v>5427</v>
      </c>
      <c r="G429" s="16">
        <v>1</v>
      </c>
    </row>
    <row r="430" spans="1:7" ht="25.5">
      <c r="A430" s="15"/>
      <c r="B430" s="16">
        <v>429</v>
      </c>
      <c r="C430" s="16" t="s">
        <v>5428</v>
      </c>
      <c r="D430" s="16" t="s">
        <v>6920</v>
      </c>
      <c r="E430" s="16" t="str">
        <f ca="1">IFERROR(__xludf.DUMMYFUNCTION("AI(""c컬럼의 단어를 활용해서 적절한 예문을 만들어줘. 한글 해석은 줄띄움 후에 작성해줘"")"),"The young artist has a strong aspiration to have her work displayed in a major gallery one day.
그 젊은 예술가는 언젠가 자신의 작품이 주요 미술관에 전시되기를 바라는 강한 열망이 있습니다.")</f>
        <v>The young artist has a strong aspiration to have her work displayed in a major gallery one day.
그 젊은 예술가는 언젠가 자신의 작품이 주요 미술관에 전시되기를 바라는 강한 열망이 있습니다.</v>
      </c>
      <c r="F430" s="16" t="s">
        <v>5429</v>
      </c>
      <c r="G430" s="16">
        <v>1</v>
      </c>
    </row>
    <row r="431" spans="1:7" ht="38.25">
      <c r="A431" s="15"/>
      <c r="B431" s="16">
        <v>430</v>
      </c>
      <c r="C431" s="16" t="s">
        <v>5430</v>
      </c>
      <c r="D431" s="16" t="s">
        <v>6921</v>
      </c>
      <c r="E431" s="16" t="str">
        <f ca="1">IFERROR(__xludf.DUMMYFUNCTION("AI(""c컬럼의 단어를 활용해서 적절한 예문을 만들어줘. 한글 해석은 줄띄움 후에 작성해줘"")"),"Many young people aspire to join prestigious companies to build successful careers and gain professional experience.
많은 젊은이들이 성공적인 경력을 쌓고 전문적인 경험을 얻기 위해 일류 기업에 입사하기를 열망합니다.")</f>
        <v>Many young people aspire to join prestigious companies to build successful careers and gain professional experience.
많은 젊은이들이 성공적인 경력을 쌓고 전문적인 경험을 얻기 위해 일류 기업에 입사하기를 열망합니다.</v>
      </c>
      <c r="F431" s="16" t="s">
        <v>5431</v>
      </c>
      <c r="G431" s="16">
        <v>1</v>
      </c>
    </row>
    <row r="432" spans="1:7" ht="25.5">
      <c r="A432" s="15"/>
      <c r="B432" s="16">
        <v>431</v>
      </c>
      <c r="C432" s="16" t="s">
        <v>5432</v>
      </c>
      <c r="D432" s="16" t="s">
        <v>6922</v>
      </c>
      <c r="E432" s="16" t="str">
        <f ca="1">IFERROR(__xludf.DUMMYFUNCTION("AI(""c컬럼의 단어를 활용해서 적절한 예문을 만들어줘. 한글 해석은 줄띄움 후에 작성해줘"")"),"He decided to focus on his personal life at the expense of his professional success.
그는 전문적인 성공을 희생하여 개인적인 삶에 집중하기로 결정했습니다.")</f>
        <v>He decided to focus on his personal life at the expense of his professional success.
그는 전문적인 성공을 희생하여 개인적인 삶에 집중하기로 결정했습니다.</v>
      </c>
      <c r="F432" s="16" t="s">
        <v>5433</v>
      </c>
      <c r="G432" s="16">
        <v>1</v>
      </c>
    </row>
    <row r="433" spans="1:7" ht="51">
      <c r="A433" s="15"/>
      <c r="B433" s="16">
        <v>432</v>
      </c>
      <c r="C433" s="16" t="s">
        <v>5434</v>
      </c>
      <c r="D433" s="16" t="s">
        <v>6923</v>
      </c>
      <c r="E433" s="16" t="str">
        <f ca="1">IFERROR(__xludf.DUMMYFUNCTION("AI(""c컬럼의 단어를 활용해서 적절한 예문을 만들어줘. 한글 해석은 줄띄움 후에 작성해줘"")"),"Through consistent effort and strategic planning, she was finally able to attain her goal of starting her own business.
지속적인 노력과 전략적인 계획을 통해, 그녀는 마침내 자신의 사업을 시작하겠다는 목표를 달성할 수 있었습니다.")</f>
        <v>Through consistent effort and strategic planning, she was finally able to attain her goal of starting her own business.
지속적인 노력과 전략적인 계획을 통해, 그녀는 마침내 자신의 사업을 시작하겠다는 목표를 달성할 수 있었습니다.</v>
      </c>
      <c r="F433" s="16" t="s">
        <v>5435</v>
      </c>
      <c r="G433" s="16">
        <v>1</v>
      </c>
    </row>
    <row r="434" spans="1:7" ht="51">
      <c r="A434" s="15"/>
      <c r="B434" s="16">
        <v>433</v>
      </c>
      <c r="C434" s="16" t="s">
        <v>5436</v>
      </c>
      <c r="D434" s="16" t="s">
        <v>6924</v>
      </c>
      <c r="E434" s="16" t="str">
        <f ca="1">IFERROR(__xludf.DUMMYFUNCTION("AI(""c컬럼의 단어를 활용해서 적절한 예문을 만들어줘. 한글 해석은 줄띄움 후에 작성해줘"")"),"She later attributed her success with habituating gorillas to her experience working as an occupational therapist with children with autism.
그녀는 나중에 고릴라를 길들이는 데 성공한 것을 자폐아동을 위한 작업 치료사로 일했던 경험 덕분으로 돌렸습니다.")</f>
        <v>She later attributed her success with habituating gorillas to her experience working as an occupational therapist with children with autism.
그녀는 나중에 고릴라를 길들이는 데 성공한 것을 자폐아동을 위한 작업 치료사로 일했던 경험 덕분으로 돌렸습니다.</v>
      </c>
      <c r="F434" s="16" t="s">
        <v>5437</v>
      </c>
      <c r="G434" s="16">
        <v>1</v>
      </c>
    </row>
    <row r="435" spans="1:7" ht="25.5">
      <c r="A435" s="15"/>
      <c r="B435" s="16">
        <v>434</v>
      </c>
      <c r="C435" s="16" t="s">
        <v>5438</v>
      </c>
      <c r="D435" s="16" t="s">
        <v>6925</v>
      </c>
      <c r="E435" s="16" t="str">
        <f ca="1">IFERROR(__xludf.DUMMYFUNCTION("AI(""c컬럼의 단어를 활용해서 적절한 예문을 만들어줘. 한글 해석은 줄띄움 후에 작성해줘"")"),"Professor Kim is recognized as a world-renowned authority in the field of quantum computing.
김 교수는 양자 컴퓨팅 분야의 세계적인 권위자로 인정받고 있습니다.")</f>
        <v>Professor Kim is recognized as a world-renowned authority in the field of quantum computing.
김 교수는 양자 컴퓨팅 분야의 세계적인 권위자로 인정받고 있습니다.</v>
      </c>
      <c r="F435" s="16" t="s">
        <v>5439</v>
      </c>
      <c r="G435" s="16">
        <v>1</v>
      </c>
    </row>
    <row r="436" spans="1:7" ht="25.5">
      <c r="A436" s="15"/>
      <c r="B436" s="16">
        <v>435</v>
      </c>
      <c r="C436" s="16" t="s">
        <v>5440</v>
      </c>
      <c r="D436" s="16" t="s">
        <v>6926</v>
      </c>
      <c r="E436" s="16" t="str">
        <f ca="1">IFERROR(__xludf.DUMMYFUNCTION("AI(""c컬럼의 단어를 활용해서 적절한 예문을 만들어줘. 한글 해석은 줄띄움 후에 작성해줘"")"),"The government's decision to increase taxes drew an angry backlash from the public.
정부의 증세 결정은 대중들로부터 거센 반발을 불러일으켰습니다.")</f>
        <v>The government's decision to increase taxes drew an angry backlash from the public.
정부의 증세 결정은 대중들로부터 거센 반발을 불러일으켰습니다.</v>
      </c>
      <c r="F436" s="16" t="s">
        <v>5441</v>
      </c>
      <c r="G436" s="16">
        <v>1</v>
      </c>
    </row>
    <row r="437" spans="1:7" ht="25.5">
      <c r="A437" s="15"/>
      <c r="B437" s="16">
        <v>436</v>
      </c>
      <c r="C437" s="16" t="s">
        <v>168</v>
      </c>
      <c r="D437" s="16" t="s">
        <v>6927</v>
      </c>
      <c r="E437" s="16" t="str">
        <f ca="1">IFERROR(__xludf.DUMMYFUNCTION("AI(""c컬럼의 단어를 활용해서 적절한 예문을 만들어줘. 한글 해석은 줄띄움 후에 작성해줘"")"),"The landscape was so dry and barren that no plants could grow in the soil.
그 땅은 너무 건조하고 척박해서 어떤 식물도 자랄 수 없었습니다.")</f>
        <v>The landscape was so dry and barren that no plants could grow in the soil.
그 땅은 너무 건조하고 척박해서 어떤 식물도 자랄 수 없었습니다.</v>
      </c>
      <c r="F437" s="16" t="s">
        <v>5442</v>
      </c>
      <c r="G437" s="16">
        <v>1</v>
      </c>
    </row>
    <row r="438" spans="1:7" ht="38.25">
      <c r="A438" s="15"/>
      <c r="B438" s="16">
        <v>437</v>
      </c>
      <c r="C438" s="16" t="s">
        <v>5443</v>
      </c>
      <c r="D438" s="16" t="s">
        <v>6928</v>
      </c>
      <c r="E438" s="16" t="str">
        <f ca="1">IFERROR(__xludf.DUMMYFUNCTION("AI(""c컬럼의 단어를 활용해서 적절한 예문을 만들어줘. 한글 해석은 줄띄움 후에 작성해줘"")"),"The project manager is often the person who is entrusted with the responsibility to lead the team and ensure deadlines are met.
프로젝트 매니저는 종종 팀을 이끌고 마감 기한을 준수하도록 보장하는 책임을 맡은 사람입니다.")</f>
        <v>The project manager is often the person who is entrusted with the responsibility to lead the team and ensure deadlines are met.
프로젝트 매니저는 종종 팀을 이끌고 마감 기한을 준수하도록 보장하는 책임을 맡은 사람입니다.</v>
      </c>
      <c r="F438" s="16" t="s">
        <v>5444</v>
      </c>
      <c r="G438" s="16">
        <v>1</v>
      </c>
    </row>
    <row r="439" spans="1:7" ht="25.5">
      <c r="A439" s="15"/>
      <c r="B439" s="16">
        <v>438</v>
      </c>
      <c r="C439" s="16" t="s">
        <v>5445</v>
      </c>
      <c r="D439" s="16" t="s">
        <v>6929</v>
      </c>
      <c r="E439" s="16" t="str">
        <f ca="1">IFERROR(__xludf.DUMMYFUNCTION("AI(""c컬럼의 단어를 활용해서 적절한 예문을 만들어줘. 한글 해석은 줄띄움 후에 작성해줘"")"),"I am so fed up with the heavy traffic during my daily commute.
나는 매일 출퇴근길의 심한 교통 체증에 정말 진절머리가 난다.")</f>
        <v>I am so fed up with the heavy traffic during my daily commute.
나는 매일 출퇴근길의 심한 교통 체증에 정말 진절머리가 난다.</v>
      </c>
      <c r="F439" s="16" t="s">
        <v>5446</v>
      </c>
      <c r="G439" s="16">
        <v>1</v>
      </c>
    </row>
    <row r="440" spans="1:7" ht="25.5">
      <c r="A440" s="15"/>
      <c r="B440" s="16">
        <v>439</v>
      </c>
      <c r="C440" s="16" t="s">
        <v>5447</v>
      </c>
      <c r="D440" s="16" t="s">
        <v>6930</v>
      </c>
      <c r="E440" s="16" t="str">
        <f ca="1">IFERROR(__xludf.DUMMYFUNCTION("AI(""c컬럼의 단어를 활용해서 적절한 예문을 만들어줘. 한글 해석은 줄띄움 후에 작성해줘"")"),"The project was held back by a lack of resources, leading to significant delays in the final delivery.
그 프로젝트는 자원 부족 때문에 지체되어 최종 인도에 상당한 지연을 초래했습니다.")</f>
        <v>The project was held back by a lack of resources, leading to significant delays in the final delivery.
그 프로젝트는 자원 부족 때문에 지체되어 최종 인도에 상당한 지연을 초래했습니다.</v>
      </c>
      <c r="F440" s="16" t="s">
        <v>5448</v>
      </c>
      <c r="G440" s="16">
        <v>1</v>
      </c>
    </row>
    <row r="441" spans="1:7" ht="51">
      <c r="A441" s="15"/>
      <c r="B441" s="16">
        <v>440</v>
      </c>
      <c r="C441" s="16" t="s">
        <v>5449</v>
      </c>
      <c r="D441" s="16" t="s">
        <v>6931</v>
      </c>
      <c r="E441" s="16" t="str">
        <f ca="1">IFERROR(__xludf.DUMMYFUNCTION("AI(""c컬럼의 단어를 활용해서 적절한 예문을 만들어줘. 한글 해석은 줄띄움 후에 작성해줘"")"),"Advanced materials such as quantum dots can be incorporated into solar panels to enhance their energy conversion efficiency in low-light conditions.
양자점과 같은 첨단 소재는 저조도 환경에서 에너지 전환 효율을 높이기 위해 태양광 패널에 포함될 수 있습니다.")</f>
        <v>Advanced materials such as quantum dots can be incorporated into solar panels to enhance their energy conversion efficiency in low-light conditions.
양자점과 같은 첨단 소재는 저조도 환경에서 에너지 전환 효율을 높이기 위해 태양광 패널에 포함될 수 있습니다.</v>
      </c>
      <c r="F441" s="16" t="s">
        <v>5450</v>
      </c>
      <c r="G441" s="16">
        <v>1</v>
      </c>
    </row>
    <row r="442" spans="1:7" ht="25.5">
      <c r="A442" s="15"/>
      <c r="B442" s="16">
        <v>441</v>
      </c>
      <c r="C442" s="16" t="s">
        <v>5451</v>
      </c>
      <c r="D442" s="16" t="s">
        <v>6932</v>
      </c>
      <c r="E442" s="16" t="str">
        <f ca="1">IFERROR(__xludf.DUMMYFUNCTION("AI(""c컬럼의 단어를 활용해서 적절한 예문을 만들어줘. 한글 해석은 줄띄움 후에 작성해줘"")"),"The company announced that some employees would be let go as part of a broader restructuring plan.
회사는 광범위한 구조조정 계획의 일환으로 일부 직원들이 해고될 것이라고 발표했습니다.")</f>
        <v>The company announced that some employees would be let go as part of a broader restructuring plan.
회사는 광범위한 구조조정 계획의 일환으로 일부 직원들이 해고될 것이라고 발표했습니다.</v>
      </c>
      <c r="F442" s="16" t="s">
        <v>5452</v>
      </c>
      <c r="G442" s="16">
        <v>1</v>
      </c>
    </row>
    <row r="443" spans="1:7" ht="51">
      <c r="A443" s="15"/>
      <c r="B443" s="16">
        <v>442</v>
      </c>
      <c r="C443" s="16" t="s">
        <v>5453</v>
      </c>
      <c r="D443" s="16" t="s">
        <v>6933</v>
      </c>
      <c r="E443" s="16" t="str">
        <f ca="1">IFERROR(__xludf.DUMMYFUNCTION("AI(""c컬럼의 단어를 활용해서 적절한 예문을 만들어줘. 한글 해석은 줄띄움 후에 작성해줘"")"),"After years of working as an extra, the actor finally got his big break with a lead role in a blockbuster movie.
수년간 보조 출연자로 일한 끝에, 그 배우는 마침내 블록버스터 영화의 주연을 맡으며 큰 기회를 얻었습니다.")</f>
        <v>After years of working as an extra, the actor finally got his big break with a lead role in a blockbuster movie.
수년간 보조 출연자로 일한 끝에, 그 배우는 마침내 블록버스터 영화의 주연을 맡으며 큰 기회를 얻었습니다.</v>
      </c>
      <c r="F443" s="16" t="s">
        <v>5454</v>
      </c>
      <c r="G443" s="16">
        <v>1</v>
      </c>
    </row>
    <row r="444" spans="1:7" ht="38.25">
      <c r="A444" s="15"/>
      <c r="B444" s="16">
        <v>443</v>
      </c>
      <c r="C444" s="16" t="s">
        <v>5455</v>
      </c>
      <c r="D444" s="16" t="s">
        <v>6934</v>
      </c>
      <c r="E444" s="16" t="str">
        <f ca="1">IFERROR(__xludf.DUMMYFUNCTION("AI(""c컬럼의 단어를 활용해서 적절한 예문을 만들어줘. 한글 해석은 줄띄움 후에 작성해줘"")"),"The company implemented a series of cost-cutting measures to improve its bottom line after a difficult fiscal year.
그 회사는 힘든 회계 연도 이후에 수익성을 개선하기 위해 일련의 비용 절감 조치를 시행했습니다.")</f>
        <v>The company implemented a series of cost-cutting measures to improve its bottom line after a difficult fiscal year.
그 회사는 힘든 회계 연도 이후에 수익성을 개선하기 위해 일련의 비용 절감 조치를 시행했습니다.</v>
      </c>
      <c r="F444" s="16" t="s">
        <v>5456</v>
      </c>
      <c r="G444" s="16">
        <v>1</v>
      </c>
    </row>
    <row r="445" spans="1:7" ht="25.5">
      <c r="A445" s="15"/>
      <c r="B445" s="16">
        <v>444</v>
      </c>
      <c r="C445" s="16" t="s">
        <v>5457</v>
      </c>
      <c r="D445" s="16" t="s">
        <v>6935</v>
      </c>
      <c r="E445" s="16" t="str">
        <f ca="1">IFERROR(__xludf.DUMMYFUNCTION("AI(""c컬럼의 단어를 활용해서 적절한 예문을 만들어줘. 한글 해석은 줄띄움 후에 작성해줘"")"),"The government offered a bounty for information leading to the capture of the notorious criminal.
정부는 그 악명 높은 범죄자의 체포로 이어지는 정보에 대해 현상금을 제안했습니다.")</f>
        <v>The government offered a bounty for information leading to the capture of the notorious criminal.
정부는 그 악명 높은 범죄자의 체포로 이어지는 정보에 대해 현상금을 제안했습니다.</v>
      </c>
      <c r="F445" s="16" t="s">
        <v>5458</v>
      </c>
      <c r="G445" s="16">
        <v>1</v>
      </c>
    </row>
    <row r="446" spans="1:7" ht="25.5">
      <c r="A446" s="15"/>
      <c r="B446" s="16">
        <v>445</v>
      </c>
      <c r="C446" s="16" t="s">
        <v>5459</v>
      </c>
      <c r="D446" s="16" t="s">
        <v>6936</v>
      </c>
      <c r="E446" s="16" t="str">
        <f ca="1">IFERROR(__xludf.DUMMYFUNCTION("AI(""c컬럼의 단어를 활용해서 적절한 예문을 만들어줘. 한글 해석은 줄띄움 후에 작성해줘"")"),"The owner of the boutique curated a unique collection of handmade jewelry and vintage clothing.
그 소규모 전문점의 주인은 수공예 보석과 빈티지 의류로 구성된 독특한 컬렉션을 엄선했습니다.")</f>
        <v>The owner of the boutique curated a unique collection of handmade jewelry and vintage clothing.
그 소규모 전문점의 주인은 수공예 보석과 빈티지 의류로 구성된 독특한 컬렉션을 엄선했습니다.</v>
      </c>
      <c r="F446" s="16" t="s">
        <v>5460</v>
      </c>
      <c r="G446" s="16">
        <v>1</v>
      </c>
    </row>
    <row r="447" spans="1:7" ht="51">
      <c r="A447" s="15"/>
      <c r="B447" s="16">
        <v>446</v>
      </c>
      <c r="C447" s="16" t="s">
        <v>5461</v>
      </c>
      <c r="D447" s="16" t="s">
        <v>6937</v>
      </c>
      <c r="E447" s="16" t="str">
        <f ca="1">IFERROR(__xludf.DUMMYFUNCTION("AI(""c컬럼의 단어를 활용해서 적절한 예문을 만들어줘. 한글 해석은 줄띄움 후에 작성해줘"")"),"Scientists believe that a major breakthrough in battery technology will be essential to reduce our reliance on fossil fuels.
과학자들은 화석 연료에 대한 의존도를 줄이기 위해 배터리 기술의 획기적 발전이 필수적이라고 믿습니다.")</f>
        <v>Scientists believe that a major breakthrough in battery technology will be essential to reduce our reliance on fossil fuels.
과학자들은 화석 연료에 대한 의존도를 줄이기 위해 배터리 기술의 획기적 발전이 필수적이라고 믿습니다.</v>
      </c>
      <c r="F447" s="16" t="s">
        <v>5462</v>
      </c>
      <c r="G447" s="16">
        <v>1</v>
      </c>
    </row>
    <row r="448" spans="1:7" ht="25.5">
      <c r="A448" s="15"/>
      <c r="B448" s="16">
        <v>447</v>
      </c>
      <c r="C448" s="16" t="s">
        <v>5463</v>
      </c>
      <c r="D448" s="16" t="s">
        <v>6938</v>
      </c>
      <c r="E448" s="16" t="str">
        <f ca="1">IFERROR(__xludf.DUMMYFUNCTION("AI(""c컬럼의 단어를 활용해서 적절한 예문을 만들어줘. 한글 해석은 줄띄움 후에 작성해줘"")"),"The new marketing campaign is expected to bring about a significant increase in sales.
새로운 마케팅 캠페인이 매출의 상당한 증가를 초래할 것으로 기대됩니다.")</f>
        <v>The new marketing campaign is expected to bring about a significant increase in sales.
새로운 마케팅 캠페인이 매출의 상당한 증가를 초래할 것으로 기대됩니다.</v>
      </c>
      <c r="F448" s="16" t="s">
        <v>5464</v>
      </c>
      <c r="G448" s="16">
        <v>1</v>
      </c>
    </row>
    <row r="449" spans="1:7" ht="25.5">
      <c r="A449" s="15"/>
      <c r="B449" s="16">
        <v>448</v>
      </c>
      <c r="C449" s="16" t="s">
        <v>5465</v>
      </c>
      <c r="D449" s="16" t="s">
        <v>6939</v>
      </c>
      <c r="E449" s="16" t="str">
        <f ca="1">IFERROR(__xludf.DUMMYFUNCTION("AI(""c컬럼의 단어를 활용해서 적절한 예문을 만들어줘. 한글 해석은 줄띄움 후에 작성해줘"")"),"Regular exercise and a balanced diet are key to building up a healthy immune system.
규칙적인 운동과 균형 잡힌 식단은 건강한 면역 체계를 강화하는 핵심 요소입니다.")</f>
        <v>Regular exercise and a balanced diet are key to building up a healthy immune system.
규칙적인 운동과 균형 잡힌 식단은 건강한 면역 체계를 강화하는 핵심 요소입니다.</v>
      </c>
      <c r="F449" s="16" t="s">
        <v>5466</v>
      </c>
      <c r="G449" s="16">
        <v>1</v>
      </c>
    </row>
    <row r="450" spans="1:7" ht="51">
      <c r="A450" s="15"/>
      <c r="B450" s="16">
        <v>449</v>
      </c>
      <c r="C450" s="16" t="s">
        <v>5467</v>
      </c>
      <c r="D450" s="16" t="s">
        <v>6940</v>
      </c>
      <c r="E450" s="16" t="str">
        <f ca="1">IFERROR(__xludf.DUMMYFUNCTION("AI(""c컬럼의 단어를 활용해서 적절한 예문을 만들어줘. 한글 해석은 줄띄움 후에 작성해줘"")"),"Amino acids are often referred to as the building blocks of life because they combine to form the proteins that make up our bodies.
아미노산은 우리 몸을 구성하는 단백질을 형성하기 위해 결합하기 때문에 종종 생명의 기본 구성 요소로 불립니다.")</f>
        <v>Amino acids are often referred to as the building blocks of life because they combine to form the proteins that make up our bodies.
아미노산은 우리 몸을 구성하는 단백질을 형성하기 위해 결합하기 때문에 종종 생명의 기본 구성 요소로 불립니다.</v>
      </c>
      <c r="F450" s="16" t="s">
        <v>5468</v>
      </c>
      <c r="G450" s="16">
        <v>1</v>
      </c>
    </row>
    <row r="451" spans="1:7" ht="51">
      <c r="A451" s="15"/>
      <c r="B451" s="16">
        <v>450</v>
      </c>
      <c r="C451" s="16" t="s">
        <v>5469</v>
      </c>
      <c r="D451" s="16" t="s">
        <v>6941</v>
      </c>
      <c r="E451" s="16" t="str">
        <f ca="1">IFERROR(__xludf.DUMMYFUNCTION("AI(""c컬럼의 단어를 활용해서 적절한 예문을 만들어줘. 한글 해석은 줄띄움 후에 작성해줘"")"),"The combination of high interest rates and rising home prices has made monthly mortgage payments incredibly burdensome for many families.
높은 금리와 상승하는 주택 가격의 결합은 많은 가계에 월간 주택 담보 대출 상환액을 매우 부담스럽게 만들었습니다.")</f>
        <v>The combination of high interest rates and rising home prices has made monthly mortgage payments incredibly burdensome for many families.
높은 금리와 상승하는 주택 가격의 결합은 많은 가계에 월간 주택 담보 대출 상환액을 매우 부담스럽게 만들었습니다.</v>
      </c>
      <c r="F451" s="16" t="s">
        <v>5470</v>
      </c>
      <c r="G451" s="16">
        <v>1</v>
      </c>
    </row>
    <row r="452" spans="1:7" ht="51">
      <c r="A452" s="15"/>
      <c r="B452" s="16">
        <v>451</v>
      </c>
      <c r="C452" s="16" t="s">
        <v>5471</v>
      </c>
      <c r="D452" s="16" t="s">
        <v>6942</v>
      </c>
      <c r="E452" s="16" t="str">
        <f ca="1">IFERROR(__xludf.DUMMYFUNCTION("AI(""c컬럼의 단어를 활용해서 적절한 예문을 만들어줘. 한글 해석은 줄띄움 후에 작성해줘"")"),"Cynicism about the federal bureaucracy is widespread, as many people view government employees as aloof and uncaring bureaucrats.
연방 관료주의에 대한 냉소주의가 널리 퍼져 있는데, 많은 이들이 정부 직원들을 냉담하고 무심한 관료로 여기기 때문입니다.")</f>
        <v>Cynicism about the federal bureaucracy is widespread, as many people view government employees as aloof and uncaring bureaucrats.
연방 관료주의에 대한 냉소주의가 널리 퍼져 있는데, 많은 이들이 정부 직원들을 냉담하고 무심한 관료로 여기기 때문입니다.</v>
      </c>
      <c r="F452" s="16" t="s">
        <v>5472</v>
      </c>
      <c r="G452" s="16">
        <v>1</v>
      </c>
    </row>
    <row r="453" spans="1:7" ht="25.5">
      <c r="A453" s="15"/>
      <c r="B453" s="16">
        <v>452</v>
      </c>
      <c r="C453" s="16" t="s">
        <v>5473</v>
      </c>
      <c r="D453" s="16" t="s">
        <v>6943</v>
      </c>
      <c r="E453" s="16" t="str">
        <f ca="1">IFERROR(__xludf.DUMMYFUNCTION("AI(""c컬럼의 단어를 활용해서 적절한 예문을 만들어줘. 한글 해석은 줄띄움 후에 작성해줘"")"),"Moles live in underground burrows to avoid the hot sun and extreme temperatures above ground.
두더지는 땅 위의 뜨거운 태양과 극심한 기온을 피하기 위해 지하 굴에서 삽니다.")</f>
        <v>Moles live in underground burrows to avoid the hot sun and extreme temperatures above ground.
두더지는 땅 위의 뜨거운 태양과 극심한 기온을 피하기 위해 지하 굴에서 삽니다.</v>
      </c>
      <c r="F453" s="16" t="s">
        <v>5474</v>
      </c>
      <c r="G453" s="16">
        <v>1</v>
      </c>
    </row>
    <row r="454" spans="1:7" ht="38.25">
      <c r="A454" s="15"/>
      <c r="B454" s="16">
        <v>453</v>
      </c>
      <c r="C454" s="16" t="s">
        <v>5475</v>
      </c>
      <c r="D454" s="16" t="s">
        <v>6944</v>
      </c>
      <c r="E454" s="16" t="str">
        <f ca="1">IFERROR(__xludf.DUMMYFUNCTION("AI(""c컬럼의 단어를 활용해서 적절한 예문을 만들어줘. 한글 해석은 줄띄움 후에 작성해줘"")"),"The company launched an aggressive marketing campaign to facilitate a buyout of its primary competitor.
그 회사는 주요 경쟁사를 인수하기 위해 공격적인 마케팅 캠페인을 시작했습니다.")</f>
        <v>The company launched an aggressive marketing campaign to facilitate a buyout of its primary competitor.
그 회사는 주요 경쟁사를 인수하기 위해 공격적인 마케팅 캠페인을 시작했습니다.</v>
      </c>
      <c r="F454" s="16" t="s">
        <v>5476</v>
      </c>
      <c r="G454" s="16">
        <v>1</v>
      </c>
    </row>
    <row r="455" spans="1:7" ht="51">
      <c r="A455" s="15"/>
      <c r="B455" s="16">
        <v>454</v>
      </c>
      <c r="C455" s="16" t="s">
        <v>5477</v>
      </c>
      <c r="D455" s="16" t="s">
        <v>6945</v>
      </c>
      <c r="E455" s="16" t="str">
        <f ca="1">IFERROR(__xludf.DUMMYFUNCTION("AI(""c컬럼의 단어를 활용해서 적절한 예문을 만들어줘. 한글 해석은 줄띄움 후에 작성해줘"")"),"Diets high in calorie-dense foods contribute to overconsumption of calories, leading to weight gain and metabolic disorders.
칼로리 밀도가 높은 음식이 많이 포함된 식단은 칼로리 과잉 섭취의 원인이 되어 체중 증가와 대사 장애로 이어집니다.")</f>
        <v>Diets high in calorie-dense foods contribute to overconsumption of calories, leading to weight gain and metabolic disorders.
칼로리 밀도가 높은 음식이 많이 포함된 식단은 칼로리 과잉 섭취의 원인이 되어 체중 증가와 대사 장애로 이어집니다.</v>
      </c>
      <c r="F455" s="16" t="s">
        <v>5478</v>
      </c>
      <c r="G455" s="16">
        <v>1</v>
      </c>
    </row>
    <row r="456" spans="1:7" ht="25.5">
      <c r="A456" s="15"/>
      <c r="B456" s="16">
        <v>455</v>
      </c>
      <c r="C456" s="16" t="s">
        <v>5479</v>
      </c>
      <c r="D456" s="16" t="s">
        <v>6946</v>
      </c>
      <c r="E456" s="16" t="str">
        <f ca="1">IFERROR(__xludf.DUMMYFUNCTION("AI(""c컬럼의 단어를 활용해서 적절한 예문을 만들어줘. 한글 해석은 줄띄움 후에 작성해줘"")"),"His charismatic performance in the lead role is bound to catapult him to fame.
주연을 맡은 그의 카리스마 넘치는 연기는 그를 단숨에 유명하게 만들 것입니다.")</f>
        <v>His charismatic performance in the lead role is bound to catapult him to fame.
주연을 맡은 그의 카리스마 넘치는 연기는 그를 단숨에 유명하게 만들 것입니다.</v>
      </c>
      <c r="F456" s="16" t="s">
        <v>5480</v>
      </c>
      <c r="G456" s="16">
        <v>1</v>
      </c>
    </row>
    <row r="457" spans="1:7" ht="25.5">
      <c r="A457" s="15"/>
      <c r="B457" s="16">
        <v>456</v>
      </c>
      <c r="C457" s="16" t="s">
        <v>5481</v>
      </c>
      <c r="D457" s="16" t="s">
        <v>6947</v>
      </c>
      <c r="E457" s="16" t="str">
        <f ca="1">IFERROR(__xludf.DUMMYFUNCTION("AI(""c컬럼의 단어를 활용해서 적절한 예문을 만들어줘. 한글 해석은 줄띄움 후에 작성해줘"")"),"The move caught investors off-guard and the Dow Jones Industrial Average plunged 2.4% that day.
그 조치는 투자자들의 허를 찔렀고 그날 다우 존스 산업평균지수는 2.4% 폭락했습니다.")</f>
        <v>The move caught investors off-guard and the Dow Jones Industrial Average plunged 2.4% that day.
그 조치는 투자자들의 허를 찔렀고 그날 다우 존스 산업평균지수는 2.4% 폭락했습니다.</v>
      </c>
      <c r="F457" s="16" t="s">
        <v>5482</v>
      </c>
      <c r="G457" s="16">
        <v>1</v>
      </c>
    </row>
    <row r="458" spans="1:7" ht="38.25">
      <c r="A458" s="15"/>
      <c r="B458" s="16">
        <v>457</v>
      </c>
      <c r="C458" s="16" t="s">
        <v>5483</v>
      </c>
      <c r="D458" s="16" t="s">
        <v>6948</v>
      </c>
      <c r="E458" s="16" t="str">
        <f ca="1">IFERROR(__xludf.DUMMYFUNCTION("AI(""c컬럼의 단어를 활용해서 적절한 예문을 만들어줘. 한글 해석은 줄띄움 후에 작성해줘"")"),"The government's power to censor the press was abolished so that the press would remain forever free to censure the government.
정부의 언론 검열 권한은 언론이 정부를 비판할 자유를 영원히 유지할 수 있도록 폐지되었습니다.")</f>
        <v>The government's power to censor the press was abolished so that the press would remain forever free to censure the government.
정부의 언론 검열 권한은 언론이 정부를 비판할 자유를 영원히 유지할 수 있도록 폐지되었습니다.</v>
      </c>
      <c r="F458" s="16" t="s">
        <v>5484</v>
      </c>
      <c r="G458" s="16">
        <v>1</v>
      </c>
    </row>
    <row r="459" spans="1:7" ht="51">
      <c r="A459" s="15"/>
      <c r="B459" s="16">
        <v>458</v>
      </c>
      <c r="C459" s="16" t="s">
        <v>5485</v>
      </c>
      <c r="D459" s="16" t="s">
        <v>6949</v>
      </c>
      <c r="E459" s="16" t="str">
        <f ca="1">IFERROR(__xludf.DUMMYFUNCTION("AI(""c컬럼의 단어를 활용해서 적절한 예문을 만들어줘. 한글 해석은 줄띄움 후에 작성해줘"")"),"They arrived in Vancouver on a free flight chartered by the Emir of Qatar and are staying at a five-star downtown hotel.
그들은 카타르 국왕이 대절한 무료 전세기를 타고 밴쿠버에 도착했으며 시내의 5성급 호텔에 머물고 있습니다.")</f>
        <v>They arrived in Vancouver on a free flight chartered by the Emir of Qatar and are staying at a five-star downtown hotel.
그들은 카타르 국왕이 대절한 무료 전세기를 타고 밴쿠버에 도착했으며 시내의 5성급 호텔에 머물고 있습니다.</v>
      </c>
      <c r="F459" s="16" t="s">
        <v>5486</v>
      </c>
      <c r="G459" s="16">
        <v>1</v>
      </c>
    </row>
    <row r="460" spans="1:7" ht="38.25">
      <c r="A460" s="15"/>
      <c r="B460" s="16">
        <v>459</v>
      </c>
      <c r="C460" s="16" t="s">
        <v>5487</v>
      </c>
      <c r="D460" s="16" t="s">
        <v>6950</v>
      </c>
      <c r="E460" s="16" t="str">
        <f ca="1">IFERROR(__xludf.DUMMYFUNCTION("AI(""c컬럼의 단어를 활용해서 적절한 예문을 만들어줘. 한글 해석은 줄띄움 후에 작성해줘"")"),"Applicants must possess a childcare qualification to work as a lead teacher in a licensed daycare center.
지원자는 허가된 보육 시설에서 주임 교사로 근무하기 위해 보육 자격을 갖추어야 합니다.")</f>
        <v>Applicants must possess a childcare qualification to work as a lead teacher in a licensed daycare center.
지원자는 허가된 보육 시설에서 주임 교사로 근무하기 위해 보육 자격을 갖추어야 합니다.</v>
      </c>
      <c r="F460" s="16" t="s">
        <v>5488</v>
      </c>
      <c r="G460" s="16">
        <v>1</v>
      </c>
    </row>
    <row r="461" spans="1:7" ht="38.25">
      <c r="A461" s="15"/>
      <c r="B461" s="16">
        <v>460</v>
      </c>
      <c r="C461" s="16" t="s">
        <v>5489</v>
      </c>
      <c r="D461" s="16" t="s">
        <v>6951</v>
      </c>
      <c r="E461" s="16" t="str">
        <f ca="1">IFERROR(__xludf.DUMMYFUNCTION("AI(""c컬럼의 단어를 활용해서 적절한 예문을 만들어줘. 한글 해석은 줄띄움 후에 작성해줘"")"),"Effective management of a chronic condition often requires a combination of medical treatment and significant lifestyle changes.
만성 질환의 효과적인 관리는 종종 의학적 치료와 상당한 생활 습관 변화의 병행을 필요로 합니다.")</f>
        <v>Effective management of a chronic condition often requires a combination of medical treatment and significant lifestyle changes.
만성 질환의 효과적인 관리는 종종 의학적 치료와 상당한 생활 습관 변화의 병행을 필요로 합니다.</v>
      </c>
      <c r="F461" s="16" t="s">
        <v>5490</v>
      </c>
      <c r="G461" s="16">
        <v>1</v>
      </c>
    </row>
    <row r="462" spans="1:7" ht="25.5">
      <c r="A462" s="15"/>
      <c r="B462" s="16">
        <v>461</v>
      </c>
      <c r="C462" s="16" t="s">
        <v>5491</v>
      </c>
      <c r="D462" s="16" t="s">
        <v>6952</v>
      </c>
      <c r="E462" s="16" t="str">
        <f ca="1">IFERROR(__xludf.DUMMYFUNCTION("AI(""c컬럼의 단어를 활용해서 적절한 예문을 만들어줘. 한글 해석은 줄띄움 후에 작성해줘"")"),"The director received praise for his cinematic adaptation of the complex novel.
감독은 그 복잡한 소설을 영화화한 작품으로 찬사를 받았습니다.")</f>
        <v>The director received praise for his cinematic adaptation of the complex novel.
감독은 그 복잡한 소설을 영화화한 작품으로 찬사를 받았습니다.</v>
      </c>
      <c r="F462" s="16" t="s">
        <v>5492</v>
      </c>
      <c r="G462" s="16">
        <v>1</v>
      </c>
    </row>
    <row r="463" spans="1:7" ht="38.25">
      <c r="A463" s="15"/>
      <c r="B463" s="16">
        <v>462</v>
      </c>
      <c r="C463" s="16" t="s">
        <v>5493</v>
      </c>
      <c r="D463" s="16" t="s">
        <v>6953</v>
      </c>
      <c r="E463" s="16" t="str">
        <f ca="1">IFERROR(__xludf.DUMMYFUNCTION("AI(""c컬럼의 단어를 활용해서 적절한 예문을 만들어줘. 한글 해석은 줄띄움 후에 작성해줘"")"),"Effective collaboration between team members leads to more innovative solutions and better decision-making.
팀원들 간의 효과적인 협업은 더 혁신적인 해결책과 더 나은 의사 결정으로 이어집니다.")</f>
        <v>Effective collaboration between team members leads to more innovative solutions and better decision-making.
팀원들 간의 효과적인 협업은 더 혁신적인 해결책과 더 나은 의사 결정으로 이어집니다.</v>
      </c>
      <c r="F463" s="16" t="s">
        <v>5494</v>
      </c>
      <c r="G463" s="16">
        <v>1</v>
      </c>
    </row>
    <row r="464" spans="1:7" ht="51">
      <c r="A464" s="15"/>
      <c r="B464" s="16">
        <v>463</v>
      </c>
      <c r="C464" s="16" t="s">
        <v>5495</v>
      </c>
      <c r="D464" s="16" t="s">
        <v>6954</v>
      </c>
      <c r="E464" s="16" t="str">
        <f ca="1">IFERROR(__xludf.DUMMYFUNCTION("AI(""c컬럼의 단어를 활용해서 적절한 예문을 만들어줘. 한글 해석은 줄띄움 후에 작성해줘"")"),"The Town of Cicero held its annual Memorial Day Ceremony to commemorate the fallen heroes who served in the United States Armed Forces.
마을 당국은 미국 무역군에서 복무하다 전사한 영웅들을 기념하기 위해 연례 현충일 기념식을 개최했습니다.")</f>
        <v>The Town of Cicero held its annual Memorial Day Ceremony to commemorate the fallen heroes who served in the United States Armed Forces.
마을 당국은 미국 무역군에서 복무하다 전사한 영웅들을 기념하기 위해 연례 현충일 기념식을 개최했습니다.</v>
      </c>
      <c r="F464" s="16" t="s">
        <v>5496</v>
      </c>
      <c r="G464" s="16">
        <v>1</v>
      </c>
    </row>
    <row r="465" spans="1:7" ht="51">
      <c r="A465" s="15"/>
      <c r="B465" s="16">
        <v>464</v>
      </c>
      <c r="C465" s="16" t="s">
        <v>5497</v>
      </c>
      <c r="D465" s="16" t="s">
        <v>6955</v>
      </c>
      <c r="E465" s="16" t="str">
        <f ca="1">IFERROR(__xludf.DUMMYFUNCTION("AI(""c컬럼의 단어를 활용해서 적절한 예문을 만들어줘. 한글 해석은 줄띄움 후에 작성해줘"")"),"The company had to discontinue its futuristic product after it proved to be too buggy and failed to be commercially successful.
그 회사는 미래형 제품이 너무 결함이 많고 상업적으로 성공하지 못한 것으로 판명되자 출시를 중단해야 했습니다.")</f>
        <v>The company had to discontinue its futuristic product after it proved to be too buggy and failed to be commercially successful.
그 회사는 미래형 제품이 너무 결함이 많고 상업적으로 성공하지 못한 것으로 판명되자 출시를 중단해야 했습니다.</v>
      </c>
      <c r="F465" s="16" t="s">
        <v>5498</v>
      </c>
      <c r="G465" s="16">
        <v>1</v>
      </c>
    </row>
    <row r="466" spans="1:7" ht="51">
      <c r="A466" s="15"/>
      <c r="B466" s="16">
        <v>465</v>
      </c>
      <c r="C466" s="16" t="s">
        <v>5498</v>
      </c>
      <c r="D466" s="16" t="s">
        <v>6956</v>
      </c>
      <c r="E466" s="16" t="str">
        <f ca="1">IFERROR(__xludf.DUMMYFUNCTION("AI(""c컬럼의 단어를 활용해서 적절한 예문을 만들어줘. 한글 해석은 줄띄움 후에 작성해줘"")"),"The marketing team is working hard to create a commercially successful app that appeals to a wide audience.
마케팅 팀은 광범위한 청중에게 어필할 수 있는 상업적으로 성공한 앱을 만들기 위해 열심히 노력하고 있습니다.")</f>
        <v>The marketing team is working hard to create a commercially successful app that appeals to a wide audience.
마케팅 팀은 광범위한 청중에게 어필할 수 있는 상업적으로 성공한 앱을 만들기 위해 열심히 노력하고 있습니다.</v>
      </c>
      <c r="F466" s="16" t="s">
        <v>5499</v>
      </c>
      <c r="G466" s="16">
        <v>1</v>
      </c>
    </row>
    <row r="467" spans="1:7" ht="25.5">
      <c r="A467" s="15"/>
      <c r="B467" s="16">
        <v>466</v>
      </c>
      <c r="C467" s="16" t="s">
        <v>5500</v>
      </c>
      <c r="D467" s="16" t="s">
        <v>6957</v>
      </c>
      <c r="E467" s="16" t="str">
        <f ca="1">IFERROR(__xludf.DUMMYFUNCTION("AI(""c컬럼의 단어를 활용해서 적절한 예문을 만들어줘. 한글 해석은 줄띄움 후에 작성해줘"")"),"The company implemented a new policy to reflect our commitment to equality in the workplace.
회사는 직장에서의 평등에 대한 우리의 헌신을 반영하기 위해 새로운 정책을 시행했습니다.")</f>
        <v>The company implemented a new policy to reflect our commitment to equality in the workplace.
회사는 직장에서의 평등에 대한 우리의 헌신을 반영하기 위해 새로운 정책을 시행했습니다.</v>
      </c>
      <c r="F467" s="16" t="s">
        <v>5501</v>
      </c>
      <c r="G467" s="16">
        <v>1</v>
      </c>
    </row>
    <row r="468" spans="1:7" ht="51">
      <c r="A468" s="15"/>
      <c r="B468" s="16">
        <v>467</v>
      </c>
      <c r="C468" s="16" t="s">
        <v>5502</v>
      </c>
      <c r="D468" s="16" t="s">
        <v>6958</v>
      </c>
      <c r="E468" s="16" t="str">
        <f ca="1">IFERROR(__xludf.DUMMYFUNCTION("AI(""c컬럼의 단어를 활용해서 적절한 예문을 만들어줘. 한글 해석은 줄띄움 후에 작성해줘"")"),"Lithium is a strategically important global commodity because of its use in batteries that power electric vehicles.
리튬은 전기 자동차에 전력을 공급하는 배터리에 사용되기 때문에 전략적으로 중요한 글로벌 상품입니다.")</f>
        <v>Lithium is a strategically important global commodity because of its use in batteries that power electric vehicles.
리튬은 전기 자동차에 전력을 공급하는 배터리에 사용되기 때문에 전략적으로 중요한 글로벌 상품입니다.</v>
      </c>
      <c r="F468" s="16" t="s">
        <v>5503</v>
      </c>
      <c r="G468" s="16">
        <v>1</v>
      </c>
    </row>
    <row r="469" spans="1:7" ht="38.25">
      <c r="A469" s="15"/>
      <c r="B469" s="16">
        <v>468</v>
      </c>
      <c r="C469" s="16" t="s">
        <v>5504</v>
      </c>
      <c r="D469" s="16" t="s">
        <v>6959</v>
      </c>
      <c r="E469" s="16" t="str">
        <f ca="1">IFERROR(__xludf.DUMMYFUNCTION("AI(""c컬럼의 단어를 활용해서 적절한 예문을 만들어줘. 한글 해석은 줄띄움 후에 작성해줘"")"),"Electric vehicles have become commonplace in many modern cities as people seek more sustainable transportation options.
전기 자동차는 사람들이 더 지속 가능한 교통 수단을 찾음에 따라 많은 현대 도시에서 흔해졌습니다.")</f>
        <v>Electric vehicles have become commonplace in many modern cities as people seek more sustainable transportation options.
전기 자동차는 사람들이 더 지속 가능한 교통 수단을 찾음에 따라 많은 현대 도시에서 흔해졌습니다.</v>
      </c>
      <c r="F469" s="16" t="s">
        <v>5505</v>
      </c>
      <c r="G469" s="16">
        <v>1</v>
      </c>
    </row>
    <row r="470" spans="1:7" ht="38.25">
      <c r="A470" s="15"/>
      <c r="B470" s="16">
        <v>469</v>
      </c>
      <c r="C470" s="16" t="s">
        <v>5506</v>
      </c>
      <c r="D470" s="16" t="s">
        <v>6960</v>
      </c>
      <c r="E470" s="16" t="str">
        <f ca="1">IFERROR(__xludf.DUMMYFUNCTION("AI(""c컬럼의 단어를 활용해서 적절한 예문을 만들어줘. 한글 해석은 줄띄움 후에 작성해줘"")"),"Conflict management is one of the most important leadership competencies needed to guide teams effectively.
갈등 관리는 팀을 효과적으로 이끌기 위해 필요한 가장 중요한 리더십 역량 중 하나입니다.")</f>
        <v>Conflict management is one of the most important leadership competencies needed to guide teams effectively.
갈등 관리는 팀을 효과적으로 이끌기 위해 필요한 가장 중요한 리더십 역량 중 하나입니다.</v>
      </c>
      <c r="F470" s="16" t="s">
        <v>5507</v>
      </c>
      <c r="G470" s="16">
        <v>1</v>
      </c>
    </row>
    <row r="471" spans="1:7" ht="38.25">
      <c r="A471" s="15"/>
      <c r="B471" s="16">
        <v>470</v>
      </c>
      <c r="C471" s="16" t="s">
        <v>1534</v>
      </c>
      <c r="D471" s="16" t="s">
        <v>6961</v>
      </c>
      <c r="E471" s="16" t="str">
        <f ca="1">IFERROR(__xludf.DUMMYFUNCTION("AI(""c컬럼의 단어를 활용해서 적절한 예문을 만들어줘. 한글 해석은 줄띄움 후에 작성해줘"")"),"Companies must implement rigorous security measures to ensure compliance with global data privacy regulations.
기업은 글로벌 데이터 개인정보 보호 규정을 준수하기 위해 엄격한 보안 조치를 시행해야 합니다.")</f>
        <v>Companies must implement rigorous security measures to ensure compliance with global data privacy regulations.
기업은 글로벌 데이터 개인정보 보호 규정을 준수하기 위해 엄격한 보안 조치를 시행해야 합니다.</v>
      </c>
      <c r="F471" s="16" t="s">
        <v>5508</v>
      </c>
      <c r="G471" s="16">
        <v>1</v>
      </c>
    </row>
    <row r="472" spans="1:7" ht="51">
      <c r="A472" s="15"/>
      <c r="B472" s="16">
        <v>471</v>
      </c>
      <c r="C472" s="16" t="s">
        <v>5509</v>
      </c>
      <c r="D472" s="16" t="s">
        <v>6962</v>
      </c>
      <c r="E472" s="16" t="str">
        <f ca="1">IFERROR(__xludf.DUMMYFUNCTION("AI(""c컬럼의 단어를 활용해서 적절한 예문을 만들어줘. 한글 해석은 줄띄움 후에 작성해줘"")"),"Composting is a simple and effective way to transform your kitchen scraps into nutrient-rich soil by using a composter at home.
퇴비화 용기를 사용하여 집에서 주방 쓰레기를 영양이 풍부한 토양으로 바꾸는 것은 간단하고 효과적인 방법입니다.")</f>
        <v>Composting is a simple and effective way to transform your kitchen scraps into nutrient-rich soil by using a composter at home.
퇴비화 용기를 사용하여 집에서 주방 쓰레기를 영양이 풍부한 토양으로 바꾸는 것은 간단하고 효과적인 방법입니다.</v>
      </c>
      <c r="F472" s="16" t="s">
        <v>5510</v>
      </c>
      <c r="G472" s="16">
        <v>1</v>
      </c>
    </row>
    <row r="473" spans="1:7" ht="51">
      <c r="A473" s="15"/>
      <c r="B473" s="16">
        <v>472</v>
      </c>
      <c r="C473" s="16" t="s">
        <v>5511</v>
      </c>
      <c r="D473" s="16" t="s">
        <v>6963</v>
      </c>
      <c r="E473" s="16" t="str">
        <f ca="1">IFERROR(__xludf.DUMMYFUNCTION("AI(""c컬럼의 단어를 활용해서 적절한 예문을 만들어줘. 한글 해석은 줄띄움 후에 작성해줘"")"),"The Nazi regime imprisoned millions of people in concentration camps for various reasons between 1933 and 1945.
나치 정권은 1933년에서 1945년 사이에 다양한 이유로 수백만 명의 사람들을 강제 수용소에 감금했습니다.")</f>
        <v>The Nazi regime imprisoned millions of people in concentration camps for various reasons between 1933 and 1945.
나치 정권은 1933년에서 1945년 사이에 다양한 이유로 수백만 명의 사람들을 강제 수용소에 감금했습니다.</v>
      </c>
      <c r="F473" s="16" t="s">
        <v>5512</v>
      </c>
      <c r="G473" s="16">
        <v>1</v>
      </c>
    </row>
    <row r="474" spans="1:7" ht="25.5">
      <c r="A474" s="15"/>
      <c r="B474" s="16">
        <v>473</v>
      </c>
      <c r="C474" s="16" t="s">
        <v>5513</v>
      </c>
      <c r="D474" s="16" t="s">
        <v>6964</v>
      </c>
      <c r="E474" s="16" t="str">
        <f ca="1">IFERROR(__xludf.DUMMYFUNCTION("AI(""c컬럼의 단어를 활용해서 적절한 예문을 만들어줘. 한글 해석은 줄띄움 후에 작성해줘"")"),"The research results were not entirely conclusive, so the team decided to conduct further investigations.
그 연구 결과는 완전히 결정적이지 않아서, 팀은 추가 조사를 수행하기로 결정했습니다.")</f>
        <v>The research results were not entirely conclusive, so the team decided to conduct further investigations.
그 연구 결과는 완전히 결정적이지 않아서, 팀은 추가 조사를 수행하기로 결정했습니다.</v>
      </c>
      <c r="F474" s="16" t="s">
        <v>5514</v>
      </c>
      <c r="G474" s="16">
        <v>1</v>
      </c>
    </row>
    <row r="475" spans="1:7" ht="38.25">
      <c r="A475" s="15"/>
      <c r="B475" s="16">
        <v>474</v>
      </c>
      <c r="C475" s="16" t="s">
        <v>5515</v>
      </c>
      <c r="D475" s="16" t="s">
        <v>6965</v>
      </c>
      <c r="E475" s="16" t="str">
        <f ca="1">IFERROR(__xludf.DUMMYFUNCTION("AI(""c컬럼의 단어를 활용해서 적절한 예문을 만들어줘. 한글 해석은 줄띄움 후에 작성해줘"")"),"Copper is the most common electrical conductor in many categories of electrical wiring and electronic power.
구리는 많은 범주의 전기 배선 및 전자 전력에서 가장 일반적인 전기 전도체입니다.")</f>
        <v>Copper is the most common electrical conductor in many categories of electrical wiring and electronic power.
구리는 많은 범주의 전기 배선 및 전자 전력에서 가장 일반적인 전기 전도체입니다.</v>
      </c>
      <c r="F475" s="16" t="s">
        <v>5516</v>
      </c>
      <c r="G475" s="16">
        <v>1</v>
      </c>
    </row>
    <row r="476" spans="1:7" ht="25.5">
      <c r="A476" s="15"/>
      <c r="B476" s="16">
        <v>475</v>
      </c>
      <c r="C476" s="16" t="s">
        <v>5517</v>
      </c>
      <c r="D476" s="16" t="s">
        <v>6966</v>
      </c>
      <c r="E476" s="16" t="str">
        <f ca="1">IFERROR(__xludf.DUMMYFUNCTION("AI(""c컬럼의 단어를 활용해서 적절한 예문을 만들어줘. 한글 해석은 줄띄움 후에 작성해줘"")"),"Many cities have introduced a congestion charge to reduce traffic and air pollution in downtown areas.
많은 도시들이 도심 지역의 교통량과 대기 오염을 줄이기 위해 혼잡 통행료를 도입했습니다.")</f>
        <v>Many cities have introduced a congestion charge to reduce traffic and air pollution in downtown areas.
많은 도시들이 도심 지역의 교통량과 대기 오염을 줄이기 위해 혼잡 통행료를 도입했습니다.</v>
      </c>
      <c r="F476" s="16" t="s">
        <v>5518</v>
      </c>
      <c r="G476" s="16">
        <v>1</v>
      </c>
    </row>
    <row r="477" spans="1:7" ht="38.25">
      <c r="A477" s="15"/>
      <c r="B477" s="16">
        <v>476</v>
      </c>
      <c r="C477" s="16" t="s">
        <v>5519</v>
      </c>
      <c r="D477" s="16" t="s">
        <v>6967</v>
      </c>
      <c r="E477" s="16" t="str">
        <f ca="1">IFERROR(__xludf.DUMMYFUNCTION("AI(""c컬럼의 단어를 활용해서 적절한 예문을 만들어줘. 한글 해석은 줄띄움 후에 작성해줘"")"),"The Senate Budget Committee held a congressional hearing to discuss ways to improve the federal budget process.
상원 예산위원회는 연방 예산 절차를 개선하기 위한 방안을 논의하기 위해 의회 청문회를 개최했습니다.")</f>
        <v>The Senate Budget Committee held a congressional hearing to discuss ways to improve the federal budget process.
상원 예산위원회는 연방 예산 절차를 개선하기 위한 방안을 논의하기 위해 의회 청문회를 개최했습니다.</v>
      </c>
      <c r="F477" s="16" t="s">
        <v>5520</v>
      </c>
      <c r="G477" s="16">
        <v>1</v>
      </c>
    </row>
    <row r="478" spans="1:7" ht="25.5">
      <c r="A478" s="15"/>
      <c r="B478" s="16">
        <v>477</v>
      </c>
      <c r="C478" s="16" t="s">
        <v>5521</v>
      </c>
      <c r="D478" s="16" t="s">
        <v>6968</v>
      </c>
      <c r="E478" s="16" t="str">
        <f ca="1">IFERROR(__xludf.DUMMYFUNCTION("AI(""c컬럼의 단어를 활용해서 적절한 예문을 만들어줘. 한글 해석은 줄띄움 후에 작성해줘"")"),"It is still unclear how exactly the brain regains consciousness after general anesthesia.
뇌가 전신 마취 후 정확히 어떻게 의식을 회복하는지는 여전히 불분명합니다.")</f>
        <v>It is still unclear how exactly the brain regains consciousness after general anesthesia.
뇌가 전신 마취 후 정확히 어떻게 의식을 회복하는지는 여전히 불분명합니다.</v>
      </c>
      <c r="F478" s="16" t="s">
        <v>5522</v>
      </c>
      <c r="G478" s="16">
        <v>1</v>
      </c>
    </row>
    <row r="479" spans="1:7" ht="25.5">
      <c r="A479" s="15"/>
      <c r="B479" s="16">
        <v>478</v>
      </c>
      <c r="C479" s="16" t="s">
        <v>5523</v>
      </c>
      <c r="D479" s="16" t="s">
        <v>6969</v>
      </c>
      <c r="E479" s="16" t="str">
        <f ca="1">IFERROR(__xludf.DUMMYFUNCTION("AI(""c컬럼의 단어를 활용해서 적절한 예문을 만들어줘. 한글 해석은 줄띄움 후에 작성해줘"")"),"Elected officials often hold town hall meetings to hear the concerns of their constituents.
선출직 공직자들은 지역구민들의 우려 사항을 듣기 위해 종종 타운홀 미팅을 개최합니다.")</f>
        <v>Elected officials often hold town hall meetings to hear the concerns of their constituents.
선출직 공직자들은 지역구민들의 우려 사항을 듣기 위해 종종 타운홀 미팅을 개최합니다.</v>
      </c>
      <c r="F479" s="16" t="s">
        <v>5524</v>
      </c>
      <c r="G479" s="16">
        <v>1</v>
      </c>
    </row>
    <row r="480" spans="1:7" ht="51">
      <c r="A480" s="15"/>
      <c r="B480" s="16">
        <v>479</v>
      </c>
      <c r="C480" s="16" t="s">
        <v>5525</v>
      </c>
      <c r="D480" s="16" t="s">
        <v>6970</v>
      </c>
      <c r="E480" s="16" t="str">
        <f ca="1">IFERROR(__xludf.DUMMYFUNCTION("AI(""c컬럼의 단어를 활용해서 적절한 예문을 만들어줘. 한글 해석은 줄띄움 후에 작성해줘"")"),"Laughter is truly contagious, so when one person starts laughing, everyone else in the room often joins in.
웃음은 정말 전염성이 강해서 한 사람이 웃기 시작하면 방 안의 다른 모든 사람도 종종 따라 웃게 됩니다.")</f>
        <v>Laughter is truly contagious, so when one person starts laughing, everyone else in the room often joins in.
웃음은 정말 전염성이 강해서 한 사람이 웃기 시작하면 방 안의 다른 모든 사람도 종종 따라 웃게 됩니다.</v>
      </c>
      <c r="F480" s="16" t="s">
        <v>5526</v>
      </c>
      <c r="G480" s="16">
        <v>1</v>
      </c>
    </row>
    <row r="481" spans="1:7" ht="51">
      <c r="A481" s="15"/>
      <c r="B481" s="16">
        <v>480</v>
      </c>
      <c r="C481" s="16" t="s">
        <v>5527</v>
      </c>
      <c r="D481" s="16" t="s">
        <v>6971</v>
      </c>
      <c r="E481" s="16" t="str">
        <f ca="1">IFERROR(__xludf.DUMMYFUNCTION("AI(""c컬럼의 단어를 활용해서 적절한 예문을 만들어줘. 한글 해석은 줄띄움 후에 작성해줘"")"),"Governments worldwide implemented strict lockdown measures to contain the disease and prevent healthcare systems from becoming overwhelmed.
전 세계 정부들은 질병 확산을 막고 의료 체계가 마비되는 것을 방지하기 위해 엄격한 봉쇄 조치를 시행했습니다.")</f>
        <v>Governments worldwide implemented strict lockdown measures to contain the disease and prevent healthcare systems from becoming overwhelmed.
전 세계 정부들은 질병 확산을 막고 의료 체계가 마비되는 것을 방지하기 위해 엄격한 봉쇄 조치를 시행했습니다.</v>
      </c>
      <c r="F481" s="16" t="s">
        <v>5528</v>
      </c>
      <c r="G481" s="16">
        <v>1</v>
      </c>
    </row>
    <row r="482" spans="1:7" ht="51">
      <c r="A482" s="15"/>
      <c r="B482" s="16">
        <v>481</v>
      </c>
      <c r="C482" s="16" t="s">
        <v>5529</v>
      </c>
      <c r="D482" s="16" t="s">
        <v>6972</v>
      </c>
      <c r="E482" s="16" t="str">
        <f ca="1">IFERROR(__xludf.DUMMYFUNCTION("AI(""c컬럼의 단어를 활용해서 적절한 예문을 만들어줘. 한글 해석은 줄띄움 후에 작성해줘"")"),"Spending more time contemplating the big choices will help ensure that your unintentional starting points don't control your destiny.
중요한 선택들에 대해 숙고하는 데 더 많은 시간을 할애하는 것은 의도치 않은 출발점이 당신의 운명을 결정짓지 않도록 보장하는 데 도움이 될 것입니다.")</f>
        <v>Spending more time contemplating the big choices will help ensure that your unintentional starting points don't control your destiny.
중요한 선택들에 대해 숙고하는 데 더 많은 시간을 할애하는 것은 의도치 않은 출발점이 당신의 운명을 결정짓지 않도록 보장하는 데 도움이 될 것입니다.</v>
      </c>
      <c r="F482" s="16" t="s">
        <v>5530</v>
      </c>
      <c r="G482" s="16">
        <v>1</v>
      </c>
    </row>
    <row r="483" spans="1:7" ht="25.5">
      <c r="A483" s="15"/>
      <c r="B483" s="16">
        <v>482</v>
      </c>
      <c r="C483" s="16" t="s">
        <v>5531</v>
      </c>
      <c r="D483" s="16" t="s">
        <v>6973</v>
      </c>
      <c r="E483" s="16" t="str">
        <f ca="1">IFERROR(__xludf.DUMMYFUNCTION("AI(""c컬럼의 단어를 활용해서 적절한 예문을 만들어줘. 한글 해석은 줄띄움 후에 작성해줘"")"),"Sha'Carri Richardson was touted as the strongest contender for the women's 100-meter sprint title.
샤카리 리처드슨은 여자 100미터 달리기 타이틀의 가장 강력한 우승 후보로 거론되었습니다.")</f>
        <v>Sha'Carri Richardson was touted as the strongest contender for the women's 100-meter sprint title.
샤카리 리처드슨은 여자 100미터 달리기 타이틀의 가장 강력한 우승 후보로 거론되었습니다.</v>
      </c>
      <c r="F483" s="16" t="s">
        <v>5532</v>
      </c>
      <c r="G483" s="16">
        <v>1</v>
      </c>
    </row>
    <row r="484" spans="1:7" ht="51">
      <c r="A484" s="15"/>
      <c r="B484" s="16">
        <v>483</v>
      </c>
      <c r="C484" s="16" t="s">
        <v>5533</v>
      </c>
      <c r="D484" s="16" t="s">
        <v>6974</v>
      </c>
      <c r="E484" s="16" t="str">
        <f ca="1">IFERROR(__xludf.DUMMYFUNCTION("AI(""c컬럼의 단어를 활용해서 적절한 예문을 만들어줘. 한글 해석은 줄띄움 후에 작성해줘"")"),"Parish and town councils saw a dramatic increase in contested elections this May, with 21% of councils holding competitive ballots.
이 May에 교구 및 읍 의회에서 논쟁 중인 선거가 급격히 증가했으며, 21%의 의회가 경쟁적인 투표를 실시했습니다.")</f>
        <v>Parish and town councils saw a dramatic increase in contested elections this May, with 21% of councils holding competitive ballots.
이 May에 교구 및 읍 의회에서 논쟁 중인 선거가 급격히 증가했으며, 21%의 의회가 경쟁적인 투표를 실시했습니다.</v>
      </c>
      <c r="F484" s="16" t="s">
        <v>5534</v>
      </c>
      <c r="G484" s="16">
        <v>1</v>
      </c>
    </row>
    <row r="485" spans="1:7" ht="38.25">
      <c r="A485" s="15"/>
      <c r="B485" s="16">
        <v>484</v>
      </c>
      <c r="C485" s="16" t="s">
        <v>5535</v>
      </c>
      <c r="D485" s="16" t="s">
        <v>6975</v>
      </c>
      <c r="E485" s="16" t="str">
        <f ca="1">IFERROR(__xludf.DUMMYFUNCTION("AI(""c컬럼의 단어를 활용해서 적절한 예문을 만들어줘. 한글 해석은 줄띄움 후에 작성해줘"")"),"The club offered the star player a generous contract extension to ensure he stays with the team for another three seasons.
그 구단은 스타 플레이어가 향후 세 시즌 동안 팀에 머무를 수 있도록 후한 계약 연장을 제안했습니다.")</f>
        <v>The club offered the star player a generous contract extension to ensure he stays with the team for another three seasons.
그 구단은 스타 플레이어가 향후 세 시즌 동안 팀에 머무를 수 있도록 후한 계약 연장을 제안했습니다.</v>
      </c>
      <c r="F485" s="16" t="s">
        <v>5536</v>
      </c>
      <c r="G485" s="16">
        <v>1</v>
      </c>
    </row>
    <row r="486" spans="1:7" ht="51">
      <c r="A486" s="15"/>
      <c r="B486" s="16">
        <v>485</v>
      </c>
      <c r="C486" s="16" t="s">
        <v>5537</v>
      </c>
      <c r="D486" s="16" t="s">
        <v>6976</v>
      </c>
      <c r="E486" s="16" t="str">
        <f ca="1">IFERROR(__xludf.DUMMYFUNCTION("AI(""c컬럼의 단어를 활용해서 적절한 예문을 만들어줘. 한글 해석은 줄띄움 후에 작성해줘"")"),"Many companies are increasing their use of contract-based workers to enhance organizational flexibility and reduce long-term labor costs.
많은 기업들이 조직의 유연성을 높이고 장기적인 인건비를 절감하기 위해 계약 기반의 근로자 채용을 늘리고 있습니다.")</f>
        <v>Many companies are increasing their use of contract-based workers to enhance organizational flexibility and reduce long-term labor costs.
많은 기업들이 조직의 유연성을 높이고 장기적인 인건비를 절감하기 위해 계약 기반의 근로자 채용을 늘리고 있습니다.</v>
      </c>
      <c r="F486" s="16" t="s">
        <v>5538</v>
      </c>
      <c r="G486" s="16">
        <v>1</v>
      </c>
    </row>
    <row r="487" spans="1:7" ht="51">
      <c r="A487" s="15"/>
      <c r="B487" s="16">
        <v>486</v>
      </c>
      <c r="C487" s="16" t="s">
        <v>5539</v>
      </c>
      <c r="D487" s="16" t="s">
        <v>6977</v>
      </c>
      <c r="E487" s="16" t="str">
        <f ca="1">IFERROR(__xludf.DUMMYFUNCTION("AI(""c컬럼의 단어를 활용해서 적절한 예문을 만들어줘. 한글 해석은 줄띄움 후에 작성해줘"")"),"Copper remains the preferred choice for electrical wiring because it can convey electricity more efficiently than many other common conductor materials.
구리는 다른 많은 일반적인 도체 물질보다 전기를 더 효율적으로 전달할 수 있기 때문에 전기 배선에서 선호되는 선택으로 남아 있습니다.")</f>
        <v>Copper remains the preferred choice for electrical wiring because it can convey electricity more efficiently than many other common conductor materials.
구리는 다른 많은 일반적인 도체 물질보다 전기를 더 효율적으로 전달할 수 있기 때문에 전기 배선에서 선호되는 선택으로 남아 있습니다.</v>
      </c>
      <c r="F487" s="16" t="s">
        <v>5540</v>
      </c>
      <c r="G487" s="16">
        <v>1</v>
      </c>
    </row>
    <row r="488" spans="1:7" ht="38.25">
      <c r="A488" s="15"/>
      <c r="B488" s="16">
        <v>487</v>
      </c>
      <c r="C488" s="16" t="s">
        <v>5541</v>
      </c>
      <c r="D488" s="16" t="s">
        <v>6978</v>
      </c>
      <c r="E488" s="16" t="str">
        <f ca="1">IFERROR(__xludf.DUMMYFUNCTION("AI(""c컬럼의 단어를 활용해서 적절한 예문을 만들어줘. 한글 해석은 줄띄움 후에 작성해줘"")"),"A large construction project to deliver a new correctional treatment facility in Washington, D.C., will soon be launched.
워싱턴 D.C.에 새로운 교정 치료 시설을 건설하기 위한 대규모 건설 프로젝트가 곧 시작될 예정입니다.")</f>
        <v>A large construction project to deliver a new correctional treatment facility in Washington, D.C., will soon be launched.
워싱턴 D.C.에 새로운 교정 치료 시설을 건설하기 위한 대규모 건설 프로젝트가 곧 시작될 예정입니다.</v>
      </c>
      <c r="F488" s="16" t="s">
        <v>5542</v>
      </c>
      <c r="G488" s="16">
        <v>1</v>
      </c>
    </row>
    <row r="489" spans="1:7" ht="38.25">
      <c r="A489" s="15"/>
      <c r="B489" s="16">
        <v>488</v>
      </c>
      <c r="C489" s="16" t="s">
        <v>5543</v>
      </c>
      <c r="D489" s="16" t="s">
        <v>6979</v>
      </c>
      <c r="E489" s="16" t="str">
        <f ca="1">IFERROR(__xludf.DUMMYFUNCTION("AI(""c컬럼의 단어를 활용해서 적절한 예문을 만들어줘. 한글 해석은 줄띄움 후에 작성해줘"")"),"The manager held a series of bilateral meetings with his counterparts to advance shared priorities.
그 매니저는 공유된 우선순위를 진전시키기 위해 그의 대응 관계에 있는 사람들과 일련의 양자 회의를 가졌습니다.")</f>
        <v>The manager held a series of bilateral meetings with his counterparts to advance shared priorities.
그 매니저는 공유된 우선순위를 진전시키기 위해 그의 대응 관계에 있는 사람들과 일련의 양자 회의를 가졌습니다.</v>
      </c>
      <c r="F489" s="16" t="s">
        <v>5544</v>
      </c>
      <c r="G489" s="16">
        <v>1</v>
      </c>
    </row>
    <row r="490" spans="1:7" ht="25.5">
      <c r="A490" s="15"/>
      <c r="B490" s="16">
        <v>489</v>
      </c>
      <c r="C490" s="16" t="s">
        <v>5545</v>
      </c>
      <c r="D490" s="16" t="s">
        <v>6980</v>
      </c>
      <c r="E490" s="16" t="str">
        <f ca="1">IFERROR(__xludf.DUMMYFUNCTION("AI(""c컬럼의 단어를 활용해서 적절한 예문을 만들어줘. 한글 해석은 줄띄움 후에 작성해줘"")"),"The small boat sought shelter from the storm in a hidden cove.
그 작은 배는 폭풍을 피해 숨겨진 작은 만으로 피신했습니다.")</f>
        <v>The small boat sought shelter from the storm in a hidden cove.
그 작은 배는 폭풍을 피해 숨겨진 작은 만으로 피신했습니다.</v>
      </c>
      <c r="F490" s="16" t="s">
        <v>5546</v>
      </c>
      <c r="G490" s="16">
        <v>1</v>
      </c>
    </row>
    <row r="491" spans="1:7" ht="51">
      <c r="A491" s="15"/>
      <c r="B491" s="16">
        <v>490</v>
      </c>
      <c r="C491" s="16" t="s">
        <v>5547</v>
      </c>
      <c r="D491" s="16" t="s">
        <v>6981</v>
      </c>
      <c r="E491" s="16" t="str">
        <f ca="1">IFERROR(__xludf.DUMMYFUNCTION("AI(""c컬럼의 단어를 활용해서 적절한 예문을 만들어줘. 한글 해석은 줄띄움 후에 작성해줘"")"),"The new product's unique design and viral marketing campaign managed to create a buzz among tech enthusiasts.
그 신제품의 독특한 디자인과 바이럴 마케팅 캠페인은 기술 애호가들 사이에서 화제를 만드는 데 성공했습니다.")</f>
        <v>The new product's unique design and viral marketing campaign managed to create a buzz among tech enthusiasts.
그 신제품의 독특한 디자인과 바이럴 마케팅 캠페인은 기술 애호가들 사이에서 화제를 만드는 데 성공했습니다.</v>
      </c>
      <c r="F491" s="16" t="s">
        <v>5548</v>
      </c>
      <c r="G491" s="16">
        <v>1</v>
      </c>
    </row>
    <row r="492" spans="1:7" ht="25.5">
      <c r="A492" s="15"/>
      <c r="B492" s="16">
        <v>491</v>
      </c>
      <c r="C492" s="16" t="s">
        <v>5549</v>
      </c>
      <c r="D492" s="16" t="s">
        <v>6982</v>
      </c>
      <c r="E492" s="16" t="str">
        <f ca="1">IFERROR(__xludf.DUMMYFUNCTION("AI(""c컬럼의 단어를 활용해서 적절한 예문을 만들어줘. 한글 해석은 줄띄움 후에 작성해줘"")"),"The government has implemented a range of measures to curb the spread of the virus.
정부는 바이러스의 확산을 억제하기 위해 다양한 조치를 시행했습니다.")</f>
        <v>The government has implemented a range of measures to curb the spread of the virus.
정부는 바이러스의 확산을 억제하기 위해 다양한 조치를 시행했습니다.</v>
      </c>
      <c r="F492" s="16" t="s">
        <v>5550</v>
      </c>
      <c r="G492" s="16">
        <v>2</v>
      </c>
    </row>
    <row r="493" spans="1:7" ht="38.25">
      <c r="A493" s="15"/>
      <c r="B493" s="16">
        <v>492</v>
      </c>
      <c r="C493" s="16" t="s">
        <v>5551</v>
      </c>
      <c r="D493" s="16" t="s">
        <v>6983</v>
      </c>
      <c r="E493" s="16" t="str">
        <f ca="1">IFERROR(__xludf.DUMMYFUNCTION("AI(""c컬럼의 단어를 활용해서 적절한 예문을 만들어줘. 한글 해석은 줄띄움 후에 작성해줘"")"),"The boutique provides custom-tailored suits that are designed to fit each client's unique measurements perfectly.
그 부티크는 각 고객의 고유한 치수에 완벽하게 맞도록 디자인된 맞춤 제작된 정장을 제공합니다.")</f>
        <v>The boutique provides custom-tailored suits that are designed to fit each client's unique measurements perfectly.
그 부티크는 각 고객의 고유한 치수에 완벽하게 맞도록 디자인된 맞춤 제작된 정장을 제공합니다.</v>
      </c>
      <c r="F493" s="16" t="s">
        <v>5552</v>
      </c>
      <c r="G493" s="16">
        <v>1</v>
      </c>
    </row>
    <row r="494" spans="1:7" ht="25.5">
      <c r="A494" s="15"/>
      <c r="B494" s="16">
        <v>493</v>
      </c>
      <c r="C494" s="16" t="s">
        <v>5553</v>
      </c>
      <c r="D494" s="16" t="s">
        <v>6984</v>
      </c>
      <c r="E494" s="16" t="str">
        <f ca="1">IFERROR(__xludf.DUMMYFUNCTION("AI(""c컬럼의 단어를 활용해서 적절한 예문을 만들어줘. 한글 해석은 줄띄움 후에 작성해줘"")"),"The company offers a customized solution to meet the unique needs and challenges of each client.
그 회사는 각 고객의 고유한 요구와 과제를 해결하기 위해 맞춤화된 솔루션을 제공합니다.")</f>
        <v>The company offers a customized solution to meet the unique needs and challenges of each client.
그 회사는 각 고객의 고유한 요구와 과제를 해결하기 위해 맞춤화된 솔루션을 제공합니다.</v>
      </c>
      <c r="F494" s="16" t="s">
        <v>5554</v>
      </c>
      <c r="G494" s="16">
        <v>1</v>
      </c>
    </row>
    <row r="495" spans="1:7" ht="25.5">
      <c r="A495" s="15"/>
      <c r="B495" s="16">
        <v>494</v>
      </c>
      <c r="C495" s="16" t="s">
        <v>5555</v>
      </c>
      <c r="D495" s="16" t="s">
        <v>6985</v>
      </c>
      <c r="E495" s="16" t="str">
        <f ca="1">IFERROR(__xludf.DUMMYFUNCTION("AI(""c컬럼의 단어를 활용해서 적절한 예문을 만들어줘. 한글 해석은 줄띄움 후에 작성해줘"")"),"The meeting was cut short due to the unexpected power outage.
예기치 못한 정전으로 인해 회의가 일찍 끝났습니다.")</f>
        <v>The meeting was cut short due to the unexpected power outage.
예기치 못한 정전으로 인해 회의가 일찍 끝났습니다.</v>
      </c>
      <c r="F495" s="16" t="s">
        <v>5556</v>
      </c>
      <c r="G495" s="16">
        <v>1</v>
      </c>
    </row>
    <row r="496" spans="1:7" ht="38.25">
      <c r="A496" s="15"/>
      <c r="B496" s="16">
        <v>495</v>
      </c>
      <c r="C496" s="16" t="s">
        <v>5557</v>
      </c>
      <c r="D496" s="16" t="s">
        <v>6986</v>
      </c>
      <c r="E496" s="16" t="str">
        <f ca="1">IFERROR(__xludf.DUMMYFUNCTION("AI(""c컬럼의 단어를 활용해서 적절한 예문을 만들어줘. 한글 해석은 줄띄움 후에 작성해줘"")"),"The company is known for integrating cutting-edge technologies into its products to enhance user experience.
그 회사는 사용자 경험을 향상시키기 위해 제품에 최첨단 기술을 통합하는 것으로 알려져 있습니다.")</f>
        <v>The company is known for integrating cutting-edge technologies into its products to enhance user experience.
그 회사는 사용자 경험을 향상시키기 위해 제품에 최첨단 기술을 통합하는 것으로 알려져 있습니다.</v>
      </c>
      <c r="F496" s="16" t="s">
        <v>5558</v>
      </c>
      <c r="G496" s="16">
        <v>2</v>
      </c>
    </row>
    <row r="497" spans="1:7" ht="25.5">
      <c r="A497" s="15"/>
      <c r="B497" s="16">
        <v>496</v>
      </c>
      <c r="C497" s="16" t="s">
        <v>5559</v>
      </c>
      <c r="D497" s="16" t="s">
        <v>6987</v>
      </c>
      <c r="E497" s="16" t="str">
        <f ca="1">IFERROR(__xludf.DUMMYFUNCTION("AI(""c컬럼의 단어를 활용해서 적절한 예문을 만들어줘. 한글 해석은 줄띄움 후에 작성해줘"")"),"The home team secured their victory in decisive fashion by scoring three goals in the final ten minutes.
홈 팀은 마지막 10분 동안 세 골을 터뜨리며 결정적인 방식으로 승리를 확정 지었습니다.")</f>
        <v>The home team secured their victory in decisive fashion by scoring three goals in the final ten minutes.
홈 팀은 마지막 10분 동안 세 골을 터뜨리며 결정적인 방식으로 승리를 확정 지었습니다.</v>
      </c>
      <c r="F497" s="16" t="s">
        <v>5560</v>
      </c>
      <c r="G497" s="16">
        <v>1</v>
      </c>
    </row>
    <row r="498" spans="1:7" ht="25.5">
      <c r="A498" s="15"/>
      <c r="B498" s="16">
        <v>497</v>
      </c>
      <c r="C498" s="16" t="s">
        <v>5561</v>
      </c>
      <c r="D498" s="16" t="s">
        <v>6988</v>
      </c>
      <c r="E498" s="16" t="str">
        <f ca="1">IFERROR(__xludf.DUMMYFUNCTION("AI(""c컬럼의 단어를 활용해서 적절한 예문을 만들어줘. 한글 해석은 줄띄움 후에 작성해줘"")"),"Every Magnet kitchen is brought to life by a dedicated team working tirelessly behind the scenes.
모든 Magnet 주방은 보이지 않는 곳에서 끊임없이 노력하는 전담 팀에 의해 탄생합니다.")</f>
        <v>Every Magnet kitchen is brought to life by a dedicated team working tirelessly behind the scenes.
모든 Magnet 주방은 보이지 않는 곳에서 끊임없이 노력하는 전담 팀에 의해 탄생합니다.</v>
      </c>
      <c r="F498" s="16" t="s">
        <v>5562</v>
      </c>
      <c r="G498" s="16">
        <v>1</v>
      </c>
    </row>
    <row r="499" spans="1:7" ht="25.5">
      <c r="A499" s="15"/>
      <c r="B499" s="16">
        <v>498</v>
      </c>
      <c r="C499" s="16" t="s">
        <v>5563</v>
      </c>
      <c r="D499" s="16" t="s">
        <v>6989</v>
      </c>
      <c r="E499" s="16" t="str">
        <f ca="1">IFERROR(__xludf.DUMMYFUNCTION("AI(""c컬럼의 단어를 활용해서 적절한 예문을 만들어줘. 한글 해석은 줄띄움 후에 작성해줘"")"),"When needed, I defer to someone who knows more than me.
필요할 때, 나는 나보다 더 많이 아는 사람에게 판단을 맡깁니다.")</f>
        <v>When needed, I defer to someone who knows more than me.
필요할 때, 나는 나보다 더 많이 아는 사람에게 판단을 맡깁니다.</v>
      </c>
      <c r="F499" s="16" t="s">
        <v>5564</v>
      </c>
      <c r="G499" s="16">
        <v>1</v>
      </c>
    </row>
    <row r="500" spans="1:7" ht="51">
      <c r="A500" s="15"/>
      <c r="B500" s="16">
        <v>499</v>
      </c>
      <c r="C500" s="16" t="s">
        <v>5565</v>
      </c>
      <c r="D500" s="16" t="s">
        <v>6990</v>
      </c>
      <c r="E500" s="16" t="str">
        <f ca="1">IFERROR(__xludf.DUMMYFUNCTION("AI(""c컬럼의 단어를 활용해서 적절한 예문을 만들어줘. 한글 해석은 줄띄움 후에 작성해줘"")"),"Early detection of dementia is critical because it can improve patient outcomes by allowing for timely intervention and management.
치매의 조기 발견은 시기적절한 개입과 관리를 가능하게 하여 환자의 치료 결과를 개선할 수 있기 때문에 매우 중요합니다.")</f>
        <v>Early detection of dementia is critical because it can improve patient outcomes by allowing for timely intervention and management.
치매의 조기 발견은 시기적절한 개입과 관리를 가능하게 하여 환자의 치료 결과를 개선할 수 있기 때문에 매우 중요합니다.</v>
      </c>
      <c r="F500" s="16" t="s">
        <v>5566</v>
      </c>
      <c r="G500" s="16">
        <v>1</v>
      </c>
    </row>
    <row r="501" spans="1:7" ht="25.5">
      <c r="A501" s="15"/>
      <c r="B501" s="16">
        <v>500</v>
      </c>
      <c r="C501" s="16" t="s">
        <v>5567</v>
      </c>
      <c r="D501" s="16" t="s">
        <v>6991</v>
      </c>
      <c r="E501" s="16" t="str">
        <f ca="1">IFERROR(__xludf.DUMMYFUNCTION("AI(""c컬럼의 단어를 활용해서 적절한 예문을 만들어줘. 한글 해석은 줄띄움 후에 작성해줘"")"),"The bear retreated to its den to hibernate for the winter.
곰은 겨울잠을 자러 자신의 굴로 돌아갔습니다.")</f>
        <v>The bear retreated to its den to hibernate for the winter.
곰은 겨울잠을 자러 자신의 굴로 돌아갔습니다.</v>
      </c>
      <c r="F501" s="16" t="s">
        <v>5568</v>
      </c>
      <c r="G501" s="16">
        <v>1</v>
      </c>
    </row>
    <row r="502" spans="1:7" ht="38.25">
      <c r="A502" s="15"/>
      <c r="B502" s="16">
        <v>501</v>
      </c>
      <c r="C502" s="16" t="s">
        <v>5569</v>
      </c>
      <c r="D502" s="16" t="s">
        <v>6992</v>
      </c>
      <c r="E502" s="16" t="str">
        <f ca="1">IFERROR(__xludf.DUMMYFUNCTION("AI(""c컬럼의 단어를 활용해서 적절한 예문을 만들어줘. 한글 해석은 줄띄움 후에 작성해줘"")"),"Prolonged use of opioids after surgery can significantly increase the chances of dependency on painkillers.
수술 후 마약성 진통제의 장기 사용은 진통제 의존 가능성을 크게 높일 수 있습니다.")</f>
        <v>Prolonged use of opioids after surgery can significantly increase the chances of dependency on painkillers.
수술 후 마약성 진통제의 장기 사용은 진통제 의존 가능성을 크게 높일 수 있습니다.</v>
      </c>
      <c r="F502" s="16" t="s">
        <v>5570</v>
      </c>
      <c r="G502" s="16">
        <v>1</v>
      </c>
    </row>
    <row r="503" spans="1:7" ht="51">
      <c r="A503" s="15"/>
      <c r="B503" s="16">
        <v>502</v>
      </c>
      <c r="C503" s="16" t="s">
        <v>5571</v>
      </c>
      <c r="D503" s="16" t="s">
        <v>6993</v>
      </c>
      <c r="E503" s="16" t="str">
        <f ca="1">IFERROR(__xludf.DUMMYFUNCTION("AI(""c컬럼의 단어를 활용해서 적절한 예문을 만들어줘. 한글 해석은 줄띄움 후에 작성해줘"")"),"Many people enjoy spending their holidays hiking in the mountains to derive enjoyment from the fresh air and exercise.
많은 사람들은 신선한 공기와 운동에서 즐거움을 얻기 위해 산에서 하이킹을 하며 휴가를 보내는 것을 즐깁니다.")</f>
        <v>Many people enjoy spending their holidays hiking in the mountains to derive enjoyment from the fresh air and exercise.
많은 사람들은 신선한 공기와 운동에서 즐거움을 얻기 위해 산에서 하이킹을 하며 휴가를 보내는 것을 즐깁니다.</v>
      </c>
      <c r="F503" s="16" t="s">
        <v>5572</v>
      </c>
      <c r="G503" s="16">
        <v>1</v>
      </c>
    </row>
    <row r="504" spans="1:7" ht="51">
      <c r="A504" s="15"/>
      <c r="B504" s="16">
        <v>503</v>
      </c>
      <c r="C504" s="16" t="s">
        <v>5573</v>
      </c>
      <c r="D504" s="16" t="s">
        <v>6994</v>
      </c>
      <c r="E504" s="16" t="str">
        <f ca="1">IFERROR(__xludf.DUMMYFUNCTION("AI(""c컬럼의 단어를 활용해서 적절한 예문을 만들어줘. 한글 해석은 줄띄움 후에 작성해줘"")"),"Passengers should ensure they wait in designated pickup and drop-off points to ensure safety and maintain order at the airport.
승객들은 공항에서의 안전을 보장하고 질서를 유지하기 위해 반드시 지정 승하차 지점에서 대기해야 합니다.")</f>
        <v>Passengers should ensure they wait in designated pickup and drop-off points to ensure safety and maintain order at the airport.
승객들은 공항에서의 안전을 보장하고 질서를 유지하기 위해 반드시 지정 승하차 지점에서 대기해야 합니다.</v>
      </c>
      <c r="F504" s="16" t="s">
        <v>5574</v>
      </c>
      <c r="G504" s="16">
        <v>1</v>
      </c>
    </row>
    <row r="505" spans="1:7" ht="25.5">
      <c r="A505" s="15"/>
      <c r="B505" s="16">
        <v>504</v>
      </c>
      <c r="C505" s="16" t="s">
        <v>5575</v>
      </c>
      <c r="D505" s="16" t="s">
        <v>6995</v>
      </c>
      <c r="E505" s="16" t="str">
        <f ca="1">IFERROR(__xludf.DUMMYFUNCTION("AI(""c컬럼의 단어를 활용해서 적절한 예문을 만들어줘. 한글 해석은 줄띄움 후에 작성해줘"")"),"He flung himself down in low despair, as grieved as man could be.
그는 사람이 느낄 수 있는 만큼의 큰 슬픔에 잠겨 깊은 절망 속에 몸을 던졌습니다.")</f>
        <v>He flung himself down in low despair, as grieved as man could be.
그는 사람이 느낄 수 있는 만큼의 큰 슬픔에 잠겨 깊은 절망 속에 몸을 던졌습니다.</v>
      </c>
      <c r="F505" s="16" t="s">
        <v>5576</v>
      </c>
      <c r="G505" s="16">
        <v>1</v>
      </c>
    </row>
    <row r="506" spans="1:7" ht="38.25">
      <c r="A506" s="15"/>
      <c r="B506" s="16">
        <v>505</v>
      </c>
      <c r="C506" s="16" t="s">
        <v>5577</v>
      </c>
      <c r="D506" s="16" t="s">
        <v>6996</v>
      </c>
      <c r="E506" s="16" t="str">
        <f ca="1">IFERROR(__xludf.DUMMYFUNCTION("AI(""c컬럼의 단어를 활용해서 적절한 예문을 만들어줘. 한글 해석은 줄띄움 후에 작성해줘"")"),"The rapid deterioration of city infrastructure can have a negative impact on the well-being of local residents.
도시 기반 시설의 급격한 악화는 지역 주민들의 복지에 부정적인 영향을 미칠 수 있습니다.")</f>
        <v>The rapid deterioration of city infrastructure can have a negative impact on the well-being of local residents.
도시 기반 시설의 급격한 악화는 지역 주민들의 복지에 부정적인 영향을 미칠 수 있습니다.</v>
      </c>
      <c r="F506" s="16" t="s">
        <v>5578</v>
      </c>
      <c r="G506" s="16">
        <v>1</v>
      </c>
    </row>
    <row r="507" spans="1:7" ht="51">
      <c r="A507" s="15"/>
      <c r="B507" s="16">
        <v>506</v>
      </c>
      <c r="C507" s="16" t="s">
        <v>5579</v>
      </c>
      <c r="D507" s="16" t="s">
        <v>6997</v>
      </c>
      <c r="E507" s="16" t="str">
        <f ca="1">IFERROR(__xludf.DUMMYFUNCTION("AI(""c컬럼의 단어를 활용해서 적절한 예문을 만들어줘. 한글 해석은 줄띄움 후에 작성해줘"")"),"Many children tend to start out detesting these foods, such as broccoli and carrots, due to their natural sensitivity to bitter flavors.
많은 아이들은 쓴맛에 대한 자연스러운 민감함 때문에 브로콜리나 당근 같은 음식들을 몹시 싫어하며 시작하는 경향이 있습니다.")</f>
        <v>Many children tend to start out detesting these foods, such as broccoli and carrots, due to their natural sensitivity to bitter flavors.
많은 아이들은 쓴맛에 대한 자연스러운 민감함 때문에 브로콜리나 당근 같은 음식들을 몹시 싫어하며 시작하는 경향이 있습니다.</v>
      </c>
      <c r="F507" s="16" t="s">
        <v>5580</v>
      </c>
      <c r="G507" s="16">
        <v>1</v>
      </c>
    </row>
    <row r="508" spans="1:7" ht="51">
      <c r="A508" s="15"/>
      <c r="B508" s="16">
        <v>507</v>
      </c>
      <c r="C508" s="16" t="s">
        <v>5581</v>
      </c>
      <c r="D508" s="16" t="s">
        <v>6998</v>
      </c>
      <c r="E508" s="16" t="str">
        <f ca="1">IFERROR(__xludf.DUMMYFUNCTION("AI(""c컬럼의 단어를 활용해서 적절한 예문을 만들어줘. 한글 해석은 줄띄움 후에 작성해줘"")"),"Our bodies have a natural ability to detoxify through organs like the liver and kidneys, which filter out waste and harmful substances.
우리 몸은 간이나 신장과 같은 장기를 통해 노폐물과 유해 물질을 걸러내어 스스로 해독하는 자연적인 능력을 갖추고 있습니다.")</f>
        <v>Our bodies have a natural ability to detoxify through organs like the liver and kidneys, which filter out waste and harmful substances.
우리 몸은 간이나 신장과 같은 장기를 통해 노폐물과 유해 물질을 걸러내어 스스로 해독하는 자연적인 능력을 갖추고 있습니다.</v>
      </c>
      <c r="F508" s="16" t="s">
        <v>5582</v>
      </c>
      <c r="G508" s="16">
        <v>1</v>
      </c>
    </row>
    <row r="509" spans="1:7" ht="38.25">
      <c r="A509" s="15"/>
      <c r="B509" s="16">
        <v>508</v>
      </c>
      <c r="C509" s="16" t="s">
        <v>5583</v>
      </c>
      <c r="D509" s="16" t="s">
        <v>6999</v>
      </c>
      <c r="E509" s="16" t="str">
        <f ca="1">IFERROR(__xludf.DUMMYFUNCTION("AI(""c컬럼의 단어를 활용해서 적절한 예문을 만들어줘. 한글 해석은 줄띄움 후에 작성해줘"")"),"The company plans to devote resources to developing renewable energy technologies to achieve its sustainability goals.
그 회사는 지속 가능성 목표를 달성하기 위해 재생 에너지 기술 개발에 자원을 투입할 계획입니다.")</f>
        <v>The company plans to devote resources to developing renewable energy technologies to achieve its sustainability goals.
그 회사는 지속 가능성 목표를 달성하기 위해 재생 에너지 기술 개발에 자원을 투입할 계획입니다.</v>
      </c>
      <c r="F509" s="16" t="s">
        <v>5584</v>
      </c>
      <c r="G509" s="16">
        <v>1</v>
      </c>
    </row>
    <row r="510" spans="1:7" ht="25.5">
      <c r="A510" s="15"/>
      <c r="B510" s="16">
        <v>509</v>
      </c>
      <c r="C510" s="16" t="s">
        <v>5585</v>
      </c>
      <c r="D510" s="16" t="s">
        <v>7000</v>
      </c>
      <c r="E510" s="16" t="str">
        <f ca="1">IFERROR(__xludf.DUMMYFUNCTION("AI(""c컬럼의 단어를 활용해서 적절한 예문을 만들어줘. 한글 해석은 줄띄움 후에 작성해줘"")"),"The sudden change in market trends caused an immediate dip in sales for many local retailers.
시장 트렌드의 갑작스러운 변화는 많은 현지 소매업체들의 즉각적인 판매량 하락을 초래했습니다.")</f>
        <v>The sudden change in market trends caused an immediate dip in sales for many local retailers.
시장 트렌드의 갑작스러운 변화는 많은 현지 소매업체들의 즉각적인 판매량 하락을 초래했습니다.</v>
      </c>
      <c r="F510" s="16" t="s">
        <v>5586</v>
      </c>
      <c r="G510" s="16">
        <v>1</v>
      </c>
    </row>
    <row r="511" spans="1:7" ht="51">
      <c r="A511" s="15"/>
      <c r="B511" s="16">
        <v>510</v>
      </c>
      <c r="C511" s="16" t="s">
        <v>5587</v>
      </c>
      <c r="D511" s="16" t="s">
        <v>7001</v>
      </c>
      <c r="E511" s="16" t="str">
        <f ca="1">IFERROR(__xludf.DUMMYFUNCTION("AI(""c컬럼의 단어를 활용해서 적절한 예문을 만들어줘. 한글 해석은 줄띄움 후에 작성해줘"")"),"The government provides various support programs and services to help disadvantaged children and families reach their full potential.
정부는 불리한 처지의 아동과 가족들이 그들의 온전한 잠재력에 도달할 수 있도록 돕기 위해 다양한 지원 프로그램과 서비스를 제공합니다.")</f>
        <v>The government provides various support programs and services to help disadvantaged children and families reach their full potential.
정부는 불리한 처지의 아동과 가족들이 그들의 온전한 잠재력에 도달할 수 있도록 돕기 위해 다양한 지원 프로그램과 서비스를 제공합니다.</v>
      </c>
      <c r="F511" s="16" t="s">
        <v>5588</v>
      </c>
      <c r="G511" s="16">
        <v>1</v>
      </c>
    </row>
    <row r="512" spans="1:7" ht="51">
      <c r="A512" s="15"/>
      <c r="B512" s="16">
        <v>511</v>
      </c>
      <c r="C512" s="16" t="s">
        <v>5589</v>
      </c>
      <c r="D512" s="16" t="s">
        <v>7002</v>
      </c>
      <c r="E512" s="16" t="str">
        <f ca="1">IFERROR(__xludf.DUMMYFUNCTION("AI(""c컬럼의 단어를 활용해서 적절한 예문을 만들어줘. 한글 해석은 줄띄움 후에 작성해줘"")"),"All of the candidates boasted of their disdain for President Donald Trump and vowed to protect California from his wrath.
모든 후보들은 도널드 트럼프 대통령에 대한 경멸을 뽐냈으며 그의 분노로부터 캘리포니아를 보호하겠다고 맹세했습니다.")</f>
        <v>All of the candidates boasted of their disdain for President Donald Trump and vowed to protect California from his wrath.
모든 후보들은 도널드 트럼프 대통령에 대한 경멸을 뽐냈으며 그의 분노로부터 캘리포니아를 보호하겠다고 맹세했습니다.</v>
      </c>
      <c r="F512" s="16" t="s">
        <v>5590</v>
      </c>
      <c r="G512" s="16">
        <v>1</v>
      </c>
    </row>
    <row r="513" spans="1:7" ht="51">
      <c r="A513" s="15"/>
      <c r="B513" s="16">
        <v>512</v>
      </c>
      <c r="C513" s="16" t="s">
        <v>5591</v>
      </c>
      <c r="D513" s="16" t="s">
        <v>7003</v>
      </c>
      <c r="E513" s="16" t="str">
        <f ca="1">IFERROR(__xludf.DUMMYFUNCTION("AI(""c컬럼의 단어를 활용해서 적절한 예문을 만들어줘. 한글 해석은 줄띄움 후에 작성해줘"")"),"Practicing proper sanitation helps prevent the spread of harmful disease-causing bacteria that can cause foodborne illness.
적절한 위생 실습은 식중독을 일으킬 수 있는 해로운 질병 유발 박테리아의 확산을 막는 데 도움이 됩니다.")</f>
        <v>Practicing proper sanitation helps prevent the spread of harmful disease-causing bacteria that can cause foodborne illness.
적절한 위생 실습은 식중독을 일으킬 수 있는 해로운 질병 유발 박테리아의 확산을 막는 데 도움이 됩니다.</v>
      </c>
      <c r="F513" s="16" t="s">
        <v>5592</v>
      </c>
      <c r="G513" s="16">
        <v>1</v>
      </c>
    </row>
    <row r="514" spans="1:7" ht="25.5">
      <c r="A514" s="15"/>
      <c r="B514" s="16">
        <v>513</v>
      </c>
      <c r="C514" s="16" t="s">
        <v>5593</v>
      </c>
      <c r="D514" s="16" t="s">
        <v>7004</v>
      </c>
      <c r="E514" s="16" t="str">
        <f ca="1">IFERROR(__xludf.DUMMYFUNCTION("AI(""c컬럼의 단어를 활용해서 적절한 예문을 만들어줘. 한글 해석은 줄띄움 후에 작성해줘"")"),"A hiker became lost and disoriented in thick fog on top of a steep cliff.
산악인이 가파른 절벽 꼭대기에서 짙은 안개 속에 길을 잃고 방향 감각을 상실했습니다.")</f>
        <v>A hiker became lost and disoriented in thick fog on top of a steep cliff.
산악인이 가파른 절벽 꼭대기에서 짙은 안개 속에 길을 잃고 방향 감각을 상실했습니다.</v>
      </c>
      <c r="F514" s="16" t="s">
        <v>5594</v>
      </c>
      <c r="G514" s="16">
        <v>1</v>
      </c>
    </row>
    <row r="515" spans="1:7" ht="38.25">
      <c r="A515" s="15"/>
      <c r="B515" s="16">
        <v>514</v>
      </c>
      <c r="C515" s="16" t="s">
        <v>5595</v>
      </c>
      <c r="D515" s="16" t="s">
        <v>7005</v>
      </c>
      <c r="E515" s="16" t="str">
        <f ca="1">IFERROR(__xludf.DUMMYFUNCTION("AI(""c컬럼의 단어를 활용해서 적절한 예문을 만들어줘. 한글 해석은 줄띄움 후에 작성해줘"")"),"The teacher had to address the disruptive behavior of several students who were talking loudly during the lesson.
선생님은 수업 중에 크게 떠드는 몇몇 학생들의 방해가 되는 행동을 바로잡아야 했습니다.")</f>
        <v>The teacher had to address the disruptive behavior of several students who were talking loudly during the lesson.
선생님은 수업 중에 크게 떠드는 몇몇 학생들의 방해가 되는 행동을 바로잡아야 했습니다.</v>
      </c>
      <c r="F515" s="16" t="s">
        <v>5596</v>
      </c>
      <c r="G515" s="16">
        <v>1</v>
      </c>
    </row>
    <row r="516" spans="1:7" ht="51">
      <c r="A516" s="15"/>
      <c r="B516" s="16">
        <v>515</v>
      </c>
      <c r="C516" s="16" t="s">
        <v>2017</v>
      </c>
      <c r="D516" s="16" t="s">
        <v>7006</v>
      </c>
      <c r="E516" s="16" t="str">
        <f ca="1">IFERROR(__xludf.DUMMYFUNCTION("AI(""c컬럼의 단어를 활용해서 적절한 예문을 만들어줘. 한글 해석은 줄띄움 후에 작성해줘"")"),"The region's unique culinary traditions consist of three distinct layers of flavors that reflect its rich history and cultural heritage.
이 지역의 독특한 요리 전통은 풍부한 역사와 문화유산을 반영하는 세 가지의 뚜렷이 구별되는 맛의 층으로 구성되어 있습니다.")</f>
        <v>The region's unique culinary traditions consist of three distinct layers of flavors that reflect its rich history and cultural heritage.
이 지역의 독특한 요리 전통은 풍부한 역사와 문화유산을 반영하는 세 가지의 뚜렷이 구별되는 맛의 층으로 구성되어 있습니다.</v>
      </c>
      <c r="F516" s="16" t="s">
        <v>5597</v>
      </c>
      <c r="G516" s="16">
        <v>1</v>
      </c>
    </row>
    <row r="517" spans="1:7" ht="25.5">
      <c r="A517" s="15"/>
      <c r="B517" s="16">
        <v>516</v>
      </c>
      <c r="C517" s="16" t="s">
        <v>5598</v>
      </c>
      <c r="D517" s="16" t="s">
        <v>7007</v>
      </c>
      <c r="E517" s="16" t="str">
        <f ca="1">IFERROR(__xludf.DUMMYFUNCTION("AI(""c컬럼의 단어를 활용해서 적절한 예문을 만들어줘. 한글 해석은 줄띄움 후에 작성해줘"")"),"Government policies aim to ensure a more equitable distribution of wealth across all levels of society.
정부 정책은 사회 모든 계층에 걸쳐 부의 더 공평한 분배를 보장하는 것을 목표로 합니다.")</f>
        <v>Government policies aim to ensure a more equitable distribution of wealth across all levels of society.
정부 정책은 사회 모든 계층에 걸쳐 부의 더 공평한 분배를 보장하는 것을 목표로 합니다.</v>
      </c>
      <c r="F517" s="16" t="s">
        <v>5599</v>
      </c>
      <c r="G517" s="16">
        <v>1</v>
      </c>
    </row>
    <row r="518" spans="1:7" ht="25.5">
      <c r="A518" s="15"/>
      <c r="B518" s="16">
        <v>517</v>
      </c>
      <c r="C518" s="16" t="s">
        <v>5600</v>
      </c>
      <c r="D518" s="16" t="s">
        <v>7008</v>
      </c>
      <c r="E518" s="16" t="str">
        <f ca="1">IFERROR(__xludf.DUMMYFUNCTION("AI(""c컬럼의 단어를 활용해서 적절한 예문을 만들어줘. 한글 해석은 줄띄움 후에 작성해줘"")"),"We all need to do our part to keep the neighborhood clean and safe for everyone.
우리는 모두가 깨끗하고 안전한 동네를 만들기 위해 각자 자기 몫을 다해야 합니다.")</f>
        <v>We all need to do our part to keep the neighborhood clean and safe for everyone.
우리는 모두가 깨끗하고 안전한 동네를 만들기 위해 각자 자기 몫을 다해야 합니다.</v>
      </c>
      <c r="F518" s="16" t="s">
        <v>5601</v>
      </c>
      <c r="G518" s="16">
        <v>1</v>
      </c>
    </row>
    <row r="519" spans="1:7" ht="25.5">
      <c r="A519" s="15"/>
      <c r="B519" s="16">
        <v>518</v>
      </c>
      <c r="C519" s="16" t="s">
        <v>5602</v>
      </c>
      <c r="D519" s="16" t="s">
        <v>7009</v>
      </c>
      <c r="E519" s="16" t="str">
        <f ca="1">IFERROR(__xludf.DUMMYFUNCTION("AI(""c컬럼의 단어를 활용해서 적절한 예문을 만들어줘. 한글 해석은 줄띄움 후에 작성해줘"")"),"The do-it-yourselfer spent the entire weekend remodeling the kitchen to save on labor costs.
그 DIY 애호가는 인건비를 아끼기 위해 주말 내내 주방을 리모델링하는 데 시간을 보냈습니다.")</f>
        <v>The do-it-yourselfer spent the entire weekend remodeling the kitchen to save on labor costs.
그 DIY 애호가는 인건비를 아끼기 위해 주말 내내 주방을 리모델링하는 데 시간을 보냈습니다.</v>
      </c>
      <c r="F519" s="16" t="s">
        <v>5602</v>
      </c>
      <c r="G519" s="16">
        <v>1</v>
      </c>
    </row>
    <row r="520" spans="1:7" ht="25.5">
      <c r="A520" s="15"/>
      <c r="B520" s="16">
        <v>519</v>
      </c>
      <c r="C520" s="16" t="s">
        <v>5603</v>
      </c>
      <c r="D520" s="16" t="s">
        <v>7010</v>
      </c>
      <c r="E520" s="16" t="str">
        <f ca="1">IFERROR(__xludf.DUMMYFUNCTION("AI(""c컬럼의 단어를 활용해서 적절한 예문을 만들어줘. 한글 해석은 줄띄움 후에 작성해줘"")"),"The captain maneuvered the ship carefully to dock at the pier without any damage.
선장은 선박에 손상 없이 부두에 정박시키기 위해 배를 조심스럽게 조종했습니다.")</f>
        <v>The captain maneuvered the ship carefully to dock at the pier without any damage.
선장은 선박에 손상 없이 부두에 정박시키기 위해 배를 조심스럽게 조종했습니다.</v>
      </c>
      <c r="F520" s="16" t="s">
        <v>5604</v>
      </c>
      <c r="G520" s="16">
        <v>1</v>
      </c>
    </row>
    <row r="521" spans="1:7" ht="38.25">
      <c r="A521" s="15"/>
      <c r="B521" s="16">
        <v>520</v>
      </c>
      <c r="C521" s="16" t="s">
        <v>5605</v>
      </c>
      <c r="D521" s="16" t="s">
        <v>7011</v>
      </c>
      <c r="E521" s="16" t="str">
        <f ca="1">IFERROR(__xludf.DUMMYFUNCTION("AI(""c컬럼의 단어를 활용해서 적절한 예문을 만들어줘. 한글 해석은 줄띄움 후에 작성해줘"")"),"To ensure that your application is processed without any delays, you must provide the necessary documentation before the deadline.
귀하의 지원서가 지체 없이 처리되도록 하려면, 마감 기한 전에 필요한 증빙 서류를 제출해야 합니다.")</f>
        <v>To ensure that your application is processed without any delays, you must provide the necessary documentation before the deadline.
귀하의 지원서가 지체 없이 처리되도록 하려면, 마감 기한 전에 필요한 증빙 서류를 제출해야 합니다.</v>
      </c>
      <c r="F521" s="16" t="s">
        <v>5606</v>
      </c>
      <c r="G521" s="16">
        <v>1</v>
      </c>
    </row>
    <row r="522" spans="1:7" ht="25.5">
      <c r="A522" s="15"/>
      <c r="B522" s="16">
        <v>521</v>
      </c>
      <c r="C522" s="16" t="s">
        <v>5607</v>
      </c>
      <c r="D522" s="16" t="s">
        <v>7012</v>
      </c>
      <c r="E522" s="16" t="str">
        <f ca="1">IFERROR(__xludf.DUMMYFUNCTION("AI(""c컬럼의 단어를 활용해서 적절한 예문을 만들어줘. 한글 해석은 줄띄움 후에 작성해줘"")"),"Humans began domesticating animals more than 10,000 years ago beginning with dogs.
인간은 개를 시작으로 1만 년 이전에 동물들을 가축화하기 시작했습니다.")</f>
        <v>Humans began domesticating animals more than 10,000 years ago beginning with dogs.
인간은 개를 시작으로 1만 년 이전에 동물들을 가축화하기 시작했습니다.</v>
      </c>
      <c r="F522" s="16" t="s">
        <v>5608</v>
      </c>
      <c r="G522" s="16">
        <v>1</v>
      </c>
    </row>
    <row r="523" spans="1:7" ht="25.5">
      <c r="A523" s="15"/>
      <c r="B523" s="16">
        <v>522</v>
      </c>
      <c r="C523" s="16" t="s">
        <v>5609</v>
      </c>
      <c r="D523" s="16" t="s">
        <v>7013</v>
      </c>
      <c r="E523" s="16" t="str">
        <f ca="1">IFERROR(__xludf.DUMMYFUNCTION("AI(""c컬럼의 단어를 활용해서 적절한 예문을 만들어줘. 한글 해석은 줄띄움 후에 작성해줘"")"),"The works of the famous English dramatist William Shakespeare have lost none of their appeal.
유명한 영국 극작가 윌리엄 셰익스피어의 작품들은 그 매력을 전혀 잃지 않았습니다.")</f>
        <v>The works of the famous English dramatist William Shakespeare have lost none of their appeal.
유명한 영국 극작가 윌리엄 셰익스피어의 작품들은 그 매력을 전혀 잃지 않았습니다.</v>
      </c>
      <c r="F523" s="16" t="s">
        <v>5610</v>
      </c>
      <c r="G523" s="16">
        <v>1</v>
      </c>
    </row>
    <row r="524" spans="1:7" ht="51">
      <c r="A524" s="15"/>
      <c r="B524" s="16">
        <v>523</v>
      </c>
      <c r="C524" s="16" t="s">
        <v>5611</v>
      </c>
      <c r="D524" s="16" t="s">
        <v>7014</v>
      </c>
      <c r="E524" s="16" t="str">
        <f ca="1">IFERROR(__xludf.DUMMYFUNCTION("AI(""c컬럼의 단어를 활용해서 적절한 예문을 만들어줘. 한글 해석은 줄띄움 후에 작성해줘"")"),"Governments worldwide are implementing stricter regulations to drastically reduce carbon emissions and achieve net-zero targets by 2050.
전 세계 정부들은 탄소 배출량을 급격하게 줄이고 2050년까지 넷제로 목표를 달성하기 위해 더 엄격한 규제를 시행하고 있습니다.")</f>
        <v>Governments worldwide are implementing stricter regulations to drastically reduce carbon emissions and achieve net-zero targets by 2050.
전 세계 정부들은 탄소 배출량을 급격하게 줄이고 2050년까지 넷제로 목표를 달성하기 위해 더 엄격한 규제를 시행하고 있습니다.</v>
      </c>
      <c r="F524" s="16" t="s">
        <v>5612</v>
      </c>
      <c r="G524" s="16">
        <v>1</v>
      </c>
    </row>
    <row r="525" spans="1:7" ht="38.25">
      <c r="A525" s="15"/>
      <c r="B525" s="16">
        <v>524</v>
      </c>
      <c r="C525" s="16" t="s">
        <v>5613</v>
      </c>
      <c r="D525" s="16" t="s">
        <v>7015</v>
      </c>
      <c r="E525" s="16" t="str">
        <f ca="1">IFERROR(__xludf.DUMMYFUNCTION("AI(""c컬럼의 단어를 활용해서 적절한 예문을 만들어줘. 한글 해석은 줄띄움 후에 작성해줘"")"),"The government decided to restrict drilling operations in the national park to protect the local ecosystem.
정부는 지역 생태계를 보호하기 위해 국립공원 내 시추 작업을 제한하기로 결정했습니다.")</f>
        <v>The government decided to restrict drilling operations in the national park to protect the local ecosystem.
정부는 지역 생태계를 보호하기 위해 국립공원 내 시추 작업을 제한하기로 결정했습니다.</v>
      </c>
      <c r="F525" s="16" t="s">
        <v>5614</v>
      </c>
      <c r="G525" s="16">
        <v>1</v>
      </c>
    </row>
    <row r="526" spans="1:7" ht="38.25">
      <c r="A526" s="15"/>
      <c r="B526" s="16">
        <v>525</v>
      </c>
      <c r="C526" s="16" t="s">
        <v>5615</v>
      </c>
      <c r="D526" s="16" t="s">
        <v>7016</v>
      </c>
      <c r="E526" s="16" t="str">
        <f ca="1">IFERROR(__xludf.DUMMYFUNCTION("AI(""c컬럼의 단어를 활용해서 적절한 예문을 만들어줘. 한글 해석은 줄띄움 후에 작성해줘"")"),"Using high-quality construction materials is essential to ensure the long-term durability and safety of a building.
고품질의 건축 자재를 사용하는 것은 건물의 장기적인 내구성과 안전을 보장하기 위해 필수적입니다.")</f>
        <v>Using high-quality construction materials is essential to ensure the long-term durability and safety of a building.
고품질의 건축 자재를 사용하는 것은 건물의 장기적인 내구성과 안전을 보장하기 위해 필수적입니다.</v>
      </c>
      <c r="F526" s="16" t="s">
        <v>5616</v>
      </c>
      <c r="G526" s="16">
        <v>1</v>
      </c>
    </row>
    <row r="527" spans="1:7" ht="38.25">
      <c r="A527" s="15"/>
      <c r="B527" s="16">
        <v>526</v>
      </c>
      <c r="C527" s="16" t="s">
        <v>5617</v>
      </c>
      <c r="D527" s="16" t="s">
        <v>7017</v>
      </c>
      <c r="E527" s="16" t="str">
        <f ca="1">IFERROR(__xludf.DUMMYFUNCTION("AI(""c컬럼의 단어를 활용해서 적절한 예문을 만들어줘. 한글 해석은 줄띄움 후에 작성해줘"")"),"The sun came out from behind the dark clouds, and it was a spectacular sight as the sun rays emerged from the field.
태양은 먹구름 뒤에서 나타났으며, 태양 광선이 들판에서 등장하는 광경은 장관이었습니다.")</f>
        <v>The sun came out from behind the dark clouds, and it was a spectacular sight as the sun rays emerged from the field.
태양은 먹구름 뒤에서 나타났으며, 태양 광선이 들판에서 등장하는 광경은 장관이었습니다.</v>
      </c>
      <c r="F527" s="16" t="s">
        <v>5618</v>
      </c>
      <c r="G527" s="16">
        <v>1</v>
      </c>
    </row>
    <row r="528" spans="1:7" ht="38.25">
      <c r="A528" s="15"/>
      <c r="B528" s="16">
        <v>527</v>
      </c>
      <c r="C528" s="16" t="s">
        <v>5619</v>
      </c>
      <c r="D528" s="16" t="s">
        <v>7018</v>
      </c>
      <c r="E528" s="16" t="str">
        <f ca="1">IFERROR(__xludf.DUMMYFUNCTION("AI(""c컬럼의 단어를 활용해서 적절한 예문을 만들어줘. 한글 해석은 줄띄움 후에 작성해줘"")"),"Many celebrities use their public image to provide a powerful endorsement for various environmental causes.
많은 유명 인사들이 그들의 대중적 이미지를 활용하여 다양한 환경적 명분에 강력한 지지를 보냅니다.")</f>
        <v>Many celebrities use their public image to provide a powerful endorsement for various environmental causes.
많은 유명 인사들이 그들의 대중적 이미지를 활용하여 다양한 환경적 명분에 강력한 지지를 보냅니다.</v>
      </c>
      <c r="F528" s="16" t="s">
        <v>5620</v>
      </c>
      <c r="G528" s="16">
        <v>1</v>
      </c>
    </row>
    <row r="529" spans="1:7" ht="38.25">
      <c r="A529" s="15"/>
      <c r="B529" s="16">
        <v>528</v>
      </c>
      <c r="C529" s="16" t="s">
        <v>5621</v>
      </c>
      <c r="D529" s="16" t="s">
        <v>7019</v>
      </c>
      <c r="E529" s="16" t="str">
        <f ca="1">IFERROR(__xludf.DUMMYFUNCTION("AI(""c컬럼의 단어를 활용해서 적절한 예문을 만들어줘. 한글 해석은 줄띄움 후에 작성해줘"")"),"Even small amounts of energy expenditure, such as standing up instead of sitting down, can help with weight management.
일어서 있는 것과 같은 아주 적은 양의 에너지 소비조차도 체중 관리에 도움이 될 수 있습니다.")</f>
        <v>Even small amounts of energy expenditure, such as standing up instead of sitting down, can help with weight management.
일어서 있는 것과 같은 아주 적은 양의 에너지 소비조차도 체중 관리에 도움이 될 수 있습니다.</v>
      </c>
      <c r="F529" s="16" t="s">
        <v>5622</v>
      </c>
      <c r="G529" s="16">
        <v>1</v>
      </c>
    </row>
    <row r="530" spans="1:7" ht="51">
      <c r="A530" s="15"/>
      <c r="B530" s="16">
        <v>529</v>
      </c>
      <c r="C530" s="16" t="s">
        <v>5623</v>
      </c>
      <c r="D530" s="16" t="s">
        <v>7020</v>
      </c>
      <c r="E530" s="16" t="str">
        <f ca="1">IFERROR(__xludf.DUMMYFUNCTION("AI(""c컬럼의 단어를 활용해서 적절한 예문을 만들어줘. 한글 해석은 줄띄움 후에 작성해줘"")"),"Investing in energy-efficient appliances can significantly cut your monthly utility bills while reducing your environmental impact.
에너지 효율이 높은 가전제품에 투자하면 환경에 미치는 영향을 줄이면서 매달 나가는 공공요금을 크게 절감할 수 있습니다.")</f>
        <v>Investing in energy-efficient appliances can significantly cut your monthly utility bills while reducing your environmental impact.
에너지 효율이 높은 가전제품에 투자하면 환경에 미치는 영향을 줄이면서 매달 나가는 공공요금을 크게 절감할 수 있습니다.</v>
      </c>
      <c r="F530" s="16" t="s">
        <v>5624</v>
      </c>
      <c r="G530" s="16">
        <v>1</v>
      </c>
    </row>
    <row r="531" spans="1:7" ht="38.25">
      <c r="A531" s="15"/>
      <c r="B531" s="16">
        <v>530</v>
      </c>
      <c r="C531" s="16" t="s">
        <v>5625</v>
      </c>
      <c r="D531" s="16" t="s">
        <v>7021</v>
      </c>
      <c r="E531" s="16" t="str">
        <f ca="1">IFERROR(__xludf.DUMMYFUNCTION("AI(""c컬럼의 단어를 활용해서 적절한 예문을 만들어줘. 한글 해석은 줄띄움 후에 작성해줘"")"),"The economic crisis and the ensuing social unrest led to a significant shift in the country's political landscape.
경제 위기와 그로 인해 뒤이은 사회적 불안은 국가의 정치 지형에 중대한 변화를 가져왔습니다.")</f>
        <v>The economic crisis and the ensuing social unrest led to a significant shift in the country's political landscape.
경제 위기와 그로 인해 뒤이은 사회적 불안은 국가의 정치 지형에 중대한 변화를 가져왔습니다.</v>
      </c>
      <c r="F531" s="16" t="s">
        <v>5626</v>
      </c>
      <c r="G531" s="16">
        <v>1</v>
      </c>
    </row>
    <row r="532" spans="1:7" ht="51">
      <c r="A532" s="15"/>
      <c r="B532" s="16">
        <v>531</v>
      </c>
      <c r="C532" s="16" t="s">
        <v>5627</v>
      </c>
      <c r="D532" s="16" t="s">
        <v>7022</v>
      </c>
      <c r="E532" s="16" t="str">
        <f ca="1">IFERROR(__xludf.DUMMYFUNCTION("AI(""c컬럼의 단어를 활용해서 적절한 예문을 만들어줘. 한글 해석은 줄띄움 후에 작성해줘"")"),"The enterprising young entrepreneur launched a tech startup to provide innovative solutions for local businesses.
진취적인 젊은 기업가는 지역 기업들에게 혁신적인 해결책을 제공하기 위해 기술 스타트업을 시작했습니다.")</f>
        <v>The enterprising young entrepreneur launched a tech startup to provide innovative solutions for local businesses.
진취적인 젊은 기업가는 지역 기업들에게 혁신적인 해결책을 제공하기 위해 기술 스타트업을 시작했습니다.</v>
      </c>
      <c r="F532" s="16" t="s">
        <v>5628</v>
      </c>
      <c r="G532" s="16">
        <v>1</v>
      </c>
    </row>
    <row r="533" spans="1:7" ht="38.25">
      <c r="A533" s="15"/>
      <c r="B533" s="16">
        <v>532</v>
      </c>
      <c r="C533" s="16" t="s">
        <v>366</v>
      </c>
      <c r="D533" s="16" t="s">
        <v>7023</v>
      </c>
      <c r="E533" s="16" t="str">
        <f ca="1">IFERROR(__xludf.DUMMYFUNCTION("AI(""c컬럼의 단어를 활용해서 적절한 예문을 만들어줘. 한글 해석은 줄띄움 후에 작성해줘"")"),"Many commuters were exasperated by the frequent train cancellations and long delays during the morning rush hour.
많은 통근자들은 아침 혼잡 시간대의 빈번한 열차 취소와 긴 지연에 몹시 짜증이 났습니다.")</f>
        <v>Many commuters were exasperated by the frequent train cancellations and long delays during the morning rush hour.
많은 통근자들은 아침 혼잡 시간대의 빈번한 열차 취소와 긴 지연에 몹시 짜증이 났습니다.</v>
      </c>
      <c r="F533" s="16" t="s">
        <v>5629</v>
      </c>
      <c r="G533" s="16">
        <v>1</v>
      </c>
    </row>
    <row r="534" spans="1:7" ht="25.5">
      <c r="A534" s="15"/>
      <c r="B534" s="16">
        <v>533</v>
      </c>
      <c r="C534" s="16" t="s">
        <v>2260</v>
      </c>
      <c r="D534" s="16" t="s">
        <v>7024</v>
      </c>
      <c r="E534" s="16" t="str">
        <f ca="1">IFERROR(__xludf.DUMMYFUNCTION("AI(""c컬럼의 단어를 활용해서 적절한 예문을 만들어줘. 한글 해석은 줄띄움 후에 작성해줘"")"),"The aftermath of exile usually limits opposition influence and weakens home-country networks.
추방의 여파는 보통 야권의 영향력을 제한하고 고국 내 조직망을 약화시킵니다.")</f>
        <v>The aftermath of exile usually limits opposition influence and weakens home-country networks.
추방의 여파는 보통 야권의 영향력을 제한하고 고국 내 조직망을 약화시킵니다.</v>
      </c>
      <c r="F534" s="16" t="s">
        <v>5630</v>
      </c>
      <c r="G534" s="16">
        <v>1</v>
      </c>
    </row>
    <row r="535" spans="1:7" ht="38.25">
      <c r="A535" s="15"/>
      <c r="B535" s="16">
        <v>534</v>
      </c>
      <c r="C535" s="16" t="s">
        <v>5631</v>
      </c>
      <c r="D535" s="16" t="s">
        <v>7025</v>
      </c>
      <c r="E535" s="16" t="str">
        <f ca="1">IFERROR(__xludf.DUMMYFUNCTION("AI(""c컬럼의 단어를 활용해서 적절한 예문을 만들어줘. 한글 해석은 줄띄움 후에 작성해줘"")"),"The government was forced to defend the expenditures as part of its plan to stabilize the national economy.
정부는 국가 경제를 안정시키기 위한 계획의 일환으로 그 지출을 방어해야만 했습니다.")</f>
        <v>The government was forced to defend the expenditures as part of its plan to stabilize the national economy.
정부는 국가 경제를 안정시키기 위한 계획의 일환으로 그 지출을 방어해야만 했습니다.</v>
      </c>
      <c r="F535" s="16" t="s">
        <v>5632</v>
      </c>
      <c r="G535" s="16">
        <v>1</v>
      </c>
    </row>
    <row r="536" spans="1:7" ht="25.5">
      <c r="A536" s="15"/>
      <c r="B536" s="16">
        <v>535</v>
      </c>
      <c r="C536" s="16" t="s">
        <v>5633</v>
      </c>
      <c r="D536" s="16" t="s">
        <v>7026</v>
      </c>
      <c r="E536" s="16" t="str">
        <f ca="1">IFERROR(__xludf.DUMMYFUNCTION("AI(""c컬럼의 단어를 활용해서 적절한 예문을 만들어줘. 한글 해석은 줄띄움 후에 작성해줘"")"),"The employee submitted a travel expense report to the supervisor for official expense approval.
직원은 공식적인 비용 승인을 위해 관리자에게 출장 경비 보고서를 제출했습니다.")</f>
        <v>The employee submitted a travel expense report to the supervisor for official expense approval.
직원은 공식적인 비용 승인을 위해 관리자에게 출장 경비 보고서를 제출했습니다.</v>
      </c>
      <c r="F536" s="16" t="s">
        <v>5634</v>
      </c>
      <c r="G536" s="16">
        <v>1</v>
      </c>
    </row>
    <row r="537" spans="1:7" ht="25.5">
      <c r="A537" s="15"/>
      <c r="B537" s="16">
        <v>536</v>
      </c>
      <c r="C537" s="16" t="s">
        <v>5635</v>
      </c>
      <c r="D537" s="16" t="s">
        <v>7027</v>
      </c>
      <c r="E537" s="16" t="str">
        <f ca="1">IFERROR(__xludf.DUMMYFUNCTION("AI(""c컬럼의 단어를 활용해서 적절한 예문을 만들어줘. 한글 해석은 줄띄움 후에 작성해줘"")"),"Investigative journalists often work for years to expose corruption within local government.
탐사 보도 기자들은 종종 지방 정부 내의 부패를 폭로하기 위해 수년 동안 일합니다.")</f>
        <v>Investigative journalists often work for years to expose corruption within local government.
탐사 보도 기자들은 종종 지방 정부 내의 부패를 폭로하기 위해 수년 동안 일합니다.</v>
      </c>
      <c r="F537" s="16" t="s">
        <v>5636</v>
      </c>
      <c r="G537" s="16">
        <v>1</v>
      </c>
    </row>
    <row r="538" spans="1:7" ht="25.5">
      <c r="A538" s="15"/>
      <c r="B538" s="16">
        <v>537</v>
      </c>
      <c r="C538" s="16" t="s">
        <v>5637</v>
      </c>
      <c r="D538" s="16" t="s">
        <v>7028</v>
      </c>
      <c r="E538" s="16" t="str">
        <f ca="1">IFERROR(__xludf.DUMMYFUNCTION("AI(""c컬럼의 단어를 활용해서 적절한 예문을 만들어줘. 한글 해석은 줄띄움 후에 작성해줘"")"),"The family had some emergency savings to fall back on when the father unexpectedly lost his job.
아버지가 예기치 않게 직장을 잃었을 때 그 가족은 의지할 비상금이 좀 있었습니다.")</f>
        <v>The family had some emergency savings to fall back on when the father unexpectedly lost his job.
아버지가 예기치 않게 직장을 잃었을 때 그 가족은 의지할 비상금이 좀 있었습니다.</v>
      </c>
      <c r="F538" s="16" t="s">
        <v>5638</v>
      </c>
      <c r="G538" s="16">
        <v>1</v>
      </c>
    </row>
    <row r="539" spans="1:7" ht="25.5">
      <c r="A539" s="15"/>
      <c r="B539" s="16">
        <v>538</v>
      </c>
      <c r="C539" s="16" t="s">
        <v>5639</v>
      </c>
      <c r="D539" s="16" t="s">
        <v>7029</v>
      </c>
      <c r="E539" s="16" t="str">
        <f ca="1">IFERROR(__xludf.DUMMYFUNCTION("AI(""c컬럼의 단어를 활용해서 적절한 예문을 만들어줘. 한글 해석은 줄띄움 후에 작성해줘"")"),"Many families fell behind on their rent and mortgage payments during the pandemic.
팬데믹 기간 동안 많은 가족들의 임대료와 담보 대출 납부가 밀렸습니다.")</f>
        <v>Many families fell behind on their rent and mortgage payments during the pandemic.
팬데믹 기간 동안 많은 가족들의 임대료와 담보 대출 납부가 밀렸습니다.</v>
      </c>
      <c r="F539" s="16" t="s">
        <v>5640</v>
      </c>
      <c r="G539" s="16">
        <v>1</v>
      </c>
    </row>
    <row r="540" spans="1:7" ht="25.5">
      <c r="A540" s="15"/>
      <c r="B540" s="16">
        <v>539</v>
      </c>
      <c r="C540" s="16" t="s">
        <v>5641</v>
      </c>
      <c r="D540" s="16" t="s">
        <v>7030</v>
      </c>
      <c r="E540" s="16" t="str">
        <f ca="1">IFERROR(__xludf.DUMMYFUNCTION("AI(""c컬럼의 단어를 활용해서 적절한 예문을 만들어줘. 한글 해석은 줄띄움 후에 작성해줘"")"),"The company's stock price dropped as its quarterly revenue fell short of market expectations.
분기 매출이 시장 예상치에 못 미치자 회사의 주가가 하락했습니다.")</f>
        <v>The company's stock price dropped as its quarterly revenue fell short of market expectations.
분기 매출이 시장 예상치에 못 미치자 회사의 주가가 하락했습니다.</v>
      </c>
      <c r="F540" s="16" t="s">
        <v>5642</v>
      </c>
      <c r="G540" s="16">
        <v>1</v>
      </c>
    </row>
    <row r="541" spans="1:7" ht="25.5">
      <c r="A541" s="15"/>
      <c r="B541" s="16">
        <v>540</v>
      </c>
      <c r="C541" s="16" t="s">
        <v>5643</v>
      </c>
      <c r="D541" s="16" t="s">
        <v>7031</v>
      </c>
      <c r="E541" s="16" t="str">
        <f ca="1">IFERROR(__xludf.DUMMYFUNCTION("AI(""c컬럼의 단어를 활용해서 적절한 예문을 만들어줘. 한글 해석은 줄띄움 후에 작성해줘"")"),"The idea that the ancient ruins were built by advanced extraterrestrial civilizations is woefully far-fetched.
그 고대 유적들이 진보된 외계 문명에 의해 건설되었다는 생각은 가련할 정도로 억지스럽습니다.")</f>
        <v>The idea that the ancient ruins were built by advanced extraterrestrial civilizations is woefully far-fetched.
그 고대 유적들이 진보된 외계 문명에 의해 건설되었다는 생각은 가련할 정도로 억지스럽습니다.</v>
      </c>
      <c r="F541" s="16" t="s">
        <v>5644</v>
      </c>
      <c r="G541" s="16">
        <v>1</v>
      </c>
    </row>
    <row r="542" spans="1:7" ht="25.5">
      <c r="A542" s="15"/>
      <c r="B542" s="16">
        <v>541</v>
      </c>
      <c r="C542" s="16" t="s">
        <v>5645</v>
      </c>
      <c r="D542" s="16" t="s">
        <v>7032</v>
      </c>
      <c r="E542" s="16" t="str">
        <f ca="1">IFERROR(__xludf.DUMMYFUNCTION("AI(""c컬럼의 단어를 활용해서 적절한 예문을 만들어줘. 한글 해석은 줄띄움 후에 작성해줘"")"),"Spring provides some of the most favorable growing conditions of the entire year for plants.
봄은 식물에게 일 년 중 가장 유리한 성장 조건을 제공합니다.")</f>
        <v>Spring provides some of the most favorable growing conditions of the entire year for plants.
봄은 식물에게 일 년 중 가장 유리한 성장 조건을 제공합니다.</v>
      </c>
      <c r="F542" s="16" t="s">
        <v>5646</v>
      </c>
      <c r="G542" s="16">
        <v>1</v>
      </c>
    </row>
    <row r="543" spans="1:7" ht="25.5">
      <c r="A543" s="15"/>
      <c r="B543" s="16">
        <v>542</v>
      </c>
      <c r="C543" s="16" t="s">
        <v>5647</v>
      </c>
      <c r="D543" s="16" t="s">
        <v>7033</v>
      </c>
      <c r="E543" s="16" t="str">
        <f ca="1">IFERROR(__xludf.DUMMYFUNCTION("AI(""c컬럼의 단어를 활용해서 적절한 예문을 만들어줘. 한글 해석은 줄띄움 후에 작성해줘"")"),"Many students organized a protest to express their frustration with the recent university fee hikes.
많은 학생들은 최근의 대학교 등록금 인상에 대한 불만을 표하기 위해 시위를 조직했습니다.")</f>
        <v>Many students organized a protest to express their frustration with the recent university fee hikes.
많은 학생들은 최근의 대학교 등록금 인상에 대한 불만을 표하기 위해 시위를 조직했습니다.</v>
      </c>
      <c r="F543" s="16" t="s">
        <v>5648</v>
      </c>
      <c r="G543" s="16">
        <v>1</v>
      </c>
    </row>
    <row r="544" spans="1:7" ht="25.5">
      <c r="A544" s="15"/>
      <c r="B544" s="16">
        <v>543</v>
      </c>
      <c r="C544" s="16" t="s">
        <v>5649</v>
      </c>
      <c r="D544" s="16" t="s">
        <v>7034</v>
      </c>
      <c r="E544" s="16" t="str">
        <f ca="1">IFERROR(__xludf.DUMMYFUNCTION("AI(""c컬럼의 단어를 활용해서 적절한 예문을 만들어줘. 한글 해석은 줄띄움 후에 작성해줘"")"),"Even a minor fender bender can cause hidden structural damage to your vehicle.
가벼운 접촉 사고라도 차량에 숨겨진 구조적 손상을 일으킬 수 있습니다.")</f>
        <v>Even a minor fender bender can cause hidden structural damage to your vehicle.
가벼운 접촉 사고라도 차량에 숨겨진 구조적 손상을 일으킬 수 있습니다.</v>
      </c>
      <c r="F544" s="16" t="s">
        <v>5650</v>
      </c>
      <c r="G544" s="16">
        <v>1</v>
      </c>
    </row>
    <row r="545" spans="1:7" ht="51">
      <c r="A545" s="15"/>
      <c r="B545" s="16">
        <v>544</v>
      </c>
      <c r="C545" s="16" t="s">
        <v>5651</v>
      </c>
      <c r="D545" s="16" t="s">
        <v>7035</v>
      </c>
      <c r="E545" s="16" t="str">
        <f ca="1">IFERROR(__xludf.DUMMYFUNCTION("AI(""c컬럼의 단어를 활용해서 적절한 예문을 만들어줘. 한글 해석은 줄띄움 후에 작성해줘"")"),"Paintings by famous artists like Leonardo da Vinci or Picasso often fetch remarkable sums at international auctions.
레오나르도 다 빈치나 피카소와 같은 유명 화가들의 그림은 국제 경매에서 종종 상당한 금액에 팔립니다.")</f>
        <v>Paintings by famous artists like Leonardo da Vinci or Picasso often fetch remarkable sums at international auctions.
레오나르도 다 빈치나 피카소와 같은 유명 화가들의 그림은 국제 경매에서 종종 상당한 금액에 팔립니다.</v>
      </c>
      <c r="F545" s="16" t="s">
        <v>5652</v>
      </c>
      <c r="G545" s="16">
        <v>1</v>
      </c>
    </row>
    <row r="546" spans="1:7" ht="51">
      <c r="A546" s="15"/>
      <c r="B546" s="16">
        <v>545</v>
      </c>
      <c r="C546" s="16" t="s">
        <v>5653</v>
      </c>
      <c r="D546" s="16" t="s">
        <v>7036</v>
      </c>
      <c r="E546" s="16" t="str">
        <f ca="1">IFERROR(__xludf.DUMMYFUNCTION("AI(""c컬럼의 단어를 활용해서 적절한 예문을 만들어줘. 한글 해석은 줄띄움 후에 작성해줘"")"),"If you believe your rights have been violated at work, you should follow the proper procedure to file a grievance with your employer.
만약 직장에서 당신의 권리가 침해당했다고 믿는다면, 고용주에게 불만을 제기하기 위한 적절한 절차를 따라야 합니다.")</f>
        <v>If you believe your rights have been violated at work, you should follow the proper procedure to file a grievance with your employer.
만약 직장에서 당신의 권리가 침해당했다고 믿는다면, 고용주에게 불만을 제기하기 위한 적절한 절차를 따라야 합니다.</v>
      </c>
      <c r="F546" s="16" t="s">
        <v>5654</v>
      </c>
      <c r="G546" s="16">
        <v>1</v>
      </c>
    </row>
    <row r="547" spans="1:7" ht="51">
      <c r="A547" s="15"/>
      <c r="B547" s="16">
        <v>546</v>
      </c>
      <c r="C547" s="16" t="s">
        <v>5655</v>
      </c>
      <c r="D547" s="16" t="s">
        <v>7037</v>
      </c>
      <c r="E547" s="16" t="str">
        <f ca="1">IFERROR(__xludf.DUMMYFUNCTION("AI(""c컬럼의 단어를 활용해서 적절한 예문을 만들어줘. 한글 해석은 줄띄움 후에 작성해줘"")"),"Collaborating with experts from different fields can help fill in the gap in our knowledge and lead to more innovative solutions.
다른 분야의 전문가들과 협력하는 것은 우리의 지식 공백을 메우고 더 혁신적인 해결책으로 이어지는 데 도움이 될 수 있습니다.")</f>
        <v>Collaborating with experts from different fields can help fill in the gap in our knowledge and lead to more innovative solutions.
다른 분야의 전문가들과 협력하는 것은 우리의 지식 공백을 메우고 더 혁신적인 해결책으로 이어지는 데 도움이 될 수 있습니다.</v>
      </c>
      <c r="F547" s="16" t="s">
        <v>5656</v>
      </c>
      <c r="G547" s="16">
        <v>1</v>
      </c>
    </row>
    <row r="548" spans="1:7" ht="51">
      <c r="A548" s="15"/>
      <c r="B548" s="16">
        <v>547</v>
      </c>
      <c r="C548" s="16" t="s">
        <v>5657</v>
      </c>
      <c r="D548" s="16" t="s">
        <v>7038</v>
      </c>
      <c r="E548" s="16" t="str">
        <f ca="1">IFERROR(__xludf.DUMMYFUNCTION("AI(""c컬럼의 단어를 활용해서 적절한 예문을 만들어줘. 한글 해석은 줄띄움 후에 작성해줘"")"),"Advanced AI systems can use deep learning technologies to selectively filter out unwanted background noise from radio signals.
고급 AI 시스템은 딥러닝 기술을 사용하여 무선 신호에서 원치 않는 배경 소음을 선택적으로 걸러낼 수 있습니다.")</f>
        <v>Advanced AI systems can use deep learning technologies to selectively filter out unwanted background noise from radio signals.
고급 AI 시스템은 딥러닝 기술을 사용하여 무선 신호에서 원치 않는 배경 소음을 선택적으로 걸러낼 수 있습니다.</v>
      </c>
      <c r="F548" s="16" t="s">
        <v>5658</v>
      </c>
      <c r="G548" s="16">
        <v>1</v>
      </c>
    </row>
    <row r="549" spans="1:7" ht="51">
      <c r="A549" s="15"/>
      <c r="B549" s="16">
        <v>548</v>
      </c>
      <c r="C549" s="16" t="s">
        <v>5659</v>
      </c>
      <c r="D549" s="16" t="s">
        <v>7039</v>
      </c>
      <c r="E549" s="16" t="str">
        <f ca="1">IFERROR(__xludf.DUMMYFUNCTION("AI(""c컬럼의 단어를 활용해서 적절한 예문을 만들어줘. 한글 해석은 줄띄움 후에 작성해줘"")"),"The mayor feels that if demand does not support a large community center, the project is no longer financially feasible.
시장은 수요가 대형 커뮤니티 센터를 뒷받침하지 못한다면 그 프로젝트는 더 이상 재정적으로 가능하지 않다고 생각합니다.")</f>
        <v>The mayor feels that if demand does not support a large community center, the project is no longer financially feasible.
시장은 수요가 대형 커뮤니티 센터를 뒷받침하지 못한다면 그 프로젝트는 더 이상 재정적으로 가능하지 않다고 생각합니다.</v>
      </c>
      <c r="F549" s="16" t="s">
        <v>5660</v>
      </c>
      <c r="G549" s="16">
        <v>1</v>
      </c>
    </row>
    <row r="550" spans="1:7" ht="51">
      <c r="A550" s="15"/>
      <c r="B550" s="16">
        <v>549</v>
      </c>
      <c r="C550" s="16" t="s">
        <v>5661</v>
      </c>
      <c r="D550" s="16" t="s">
        <v>7040</v>
      </c>
      <c r="E550" s="16" t="str">
        <f ca="1">IFERROR(__xludf.DUMMYFUNCTION("AI(""c컬럼의 단어를 활용해서 적절한 예문을 만들어줘. 한글 해석은 줄띄움 후에 작성해줘"")"),"For retired people, higher inflation is especially onerous because they may have a fixed income that can't support rising costs.
은퇴한 사람들에게 높은 인플레이션은 특히 부담스러운데, 그들이 치솟는 물가를 감당할 수 없는 고정 수입을 가지고 있을 수 있기 때문입니다.")</f>
        <v>For retired people, higher inflation is especially onerous because they may have a fixed income that can't support rising costs.
은퇴한 사람들에게 높은 인플레이션은 특히 부담스러운데, 그들이 치솟는 물가를 감당할 수 없는 고정 수입을 가지고 있을 수 있기 때문입니다.</v>
      </c>
      <c r="F550" s="16" t="s">
        <v>5662</v>
      </c>
      <c r="G550" s="16">
        <v>1</v>
      </c>
    </row>
    <row r="551" spans="1:7" ht="51">
      <c r="A551" s="15"/>
      <c r="B551" s="16">
        <v>550</v>
      </c>
      <c r="C551" s="16" t="s">
        <v>5663</v>
      </c>
      <c r="D551" s="16" t="s">
        <v>7041</v>
      </c>
      <c r="E551" s="16" t="str">
        <f ca="1">IFERROR(__xludf.DUMMYFUNCTION("AI(""c컬럼의 단어를 활용해서 적절한 예문을 만들어줘. 한글 해석은 줄띄움 후에 작성해줘"")"),"Food manufacturers use chemical preservatives in processed foods to prevent spoilage and maintain freshness.
식품 제조업체들은 부패를 방지하고 신선도를 유지하기 위해 가공식품에 화학적 식품 보존제를 사용합니다.")</f>
        <v>Food manufacturers use chemical preservatives in processed foods to prevent spoilage and maintain freshness.
식품 제조업체들은 부패를 방지하고 신선도를 유지하기 위해 가공식품에 화학적 식품 보존제를 사용합니다.</v>
      </c>
      <c r="F551" s="16" t="s">
        <v>5664</v>
      </c>
      <c r="G551" s="16">
        <v>1</v>
      </c>
    </row>
    <row r="552" spans="1:7" ht="25.5">
      <c r="A552" s="15"/>
      <c r="B552" s="16">
        <v>551</v>
      </c>
      <c r="C552" s="16" t="s">
        <v>5665</v>
      </c>
      <c r="D552" s="16" t="s">
        <v>7042</v>
      </c>
      <c r="E552" s="16" t="str">
        <f ca="1">IFERROR(__xludf.DUMMYFUNCTION("AI(""c컬럼의 단어를 활용해서 적절한 예문을 만들어줘. 한글 해석은 줄띄움 후에 작성해줘"")"),"You can buy high-quality smartphones for a fraction of the price if you choose a mid-range model.
품질 좋은 스마트폰을 중급형 모델로 선택한다면 훨씬 싼 가격에 구매할 수 있습니다.")</f>
        <v>You can buy high-quality smartphones for a fraction of the price if you choose a mid-range model.
품질 좋은 스마트폰을 중급형 모델로 선택한다면 훨씬 싼 가격에 구매할 수 있습니다.</v>
      </c>
      <c r="F552" s="16" t="s">
        <v>5666</v>
      </c>
      <c r="G552" s="16">
        <v>1</v>
      </c>
    </row>
    <row r="553" spans="1:7" ht="51">
      <c r="A553" s="15"/>
      <c r="B553" s="16">
        <v>552</v>
      </c>
      <c r="C553" s="16" t="s">
        <v>5667</v>
      </c>
      <c r="D553" s="16" t="s">
        <v>7043</v>
      </c>
      <c r="E553" s="16" t="str">
        <f ca="1">IFERROR(__xludf.DUMMYFUNCTION("AI(""c컬럼의 단어를 활용해서 적절한 예문을 만들어줘. 한글 해석은 줄띄움 후에 작성해줘"")"),"The theater company decided to forgo ticket sales for the charity event to ensure that the performance was accessible to everyone in the community.
그 극단은 지역 사회의 모든 사람이 공연을 관람할 수 있도록 자선 행사의 티켓 판매를 포기하기로 결정했습니다.")</f>
        <v>The theater company decided to forgo ticket sales for the charity event to ensure that the performance was accessible to everyone in the community.
그 극단은 지역 사회의 모든 사람이 공연을 관람할 수 있도록 자선 행사의 티켓 판매를 포기하기로 결정했습니다.</v>
      </c>
      <c r="F553" s="16" t="s">
        <v>5668</v>
      </c>
      <c r="G553" s="16">
        <v>1</v>
      </c>
    </row>
    <row r="554" spans="1:7" ht="51">
      <c r="A554" s="15"/>
      <c r="B554" s="16">
        <v>553</v>
      </c>
      <c r="C554" s="16" t="s">
        <v>5669</v>
      </c>
      <c r="D554" s="16" t="s">
        <v>7044</v>
      </c>
      <c r="E554" s="16" t="str">
        <f ca="1">IFERROR(__xludf.DUMMYFUNCTION("AI(""c컬럼의 단어를 활용해서 적절한 예문을 만들어줘. 한글 해석은 줄띄움 후에 작성해줘"")"),"Fortified milk is an effective source of complementary nutrition to supplement children in need when consumed in appropriate amounts in addition to a normal diet.
강화 우유는 정상적인 식단과 더불어 적절한 양을 섭취할 때 도움이 필요한 어린이들에게 보완적인 영양을 제공하는 효과적인 원천입니다.")</f>
        <v>Fortified milk is an effective source of complementary nutrition to supplement children in need when consumed in appropriate amounts in addition to a normal diet.
강화 우유는 정상적인 식단과 더불어 적절한 양을 섭취할 때 도움이 필요한 어린이들에게 보완적인 영양을 제공하는 효과적인 원천입니다.</v>
      </c>
      <c r="F554" s="16" t="s">
        <v>5670</v>
      </c>
      <c r="G554" s="16">
        <v>1</v>
      </c>
    </row>
    <row r="555" spans="1:7" ht="51">
      <c r="A555" s="15"/>
      <c r="B555" s="16">
        <v>554</v>
      </c>
      <c r="C555" s="16" t="s">
        <v>5671</v>
      </c>
      <c r="D555" s="16" t="s">
        <v>7045</v>
      </c>
      <c r="E555" s="16" t="str">
        <f ca="1">IFERROR(__xludf.DUMMYFUNCTION("AI(""c컬럼의 단어를 활용해서 적절한 예문을 만들어줘. 한글 해석은 줄띄움 후에 작성해줘"")"),"Training programs are essential for developing future leaders and equipping them with the skills needed to foster a positive workplace culture.
교육 프로그램은 미래의 리더를 양성하고 긍정적인 직장 문화를 조성하는 데 필요한 기술을 갖추게 하는 데 필수적입니다.")</f>
        <v>Training programs are essential for developing future leaders and equipping them with the skills needed to foster a positive workplace culture.
교육 프로그램은 미래의 리더를 양성하고 긍정적인 직장 문화를 조성하는 데 필요한 기술을 갖추게 하는 데 필수적입니다.</v>
      </c>
      <c r="F555" s="16" t="s">
        <v>5672</v>
      </c>
      <c r="G555" s="16">
        <v>1</v>
      </c>
    </row>
    <row r="556" spans="1:7" ht="63.75">
      <c r="A556" s="15"/>
      <c r="B556" s="16">
        <v>555</v>
      </c>
      <c r="C556" s="16" t="s">
        <v>5673</v>
      </c>
      <c r="D556" s="16" t="s">
        <v>7046</v>
      </c>
      <c r="E556" s="16" t="str">
        <f ca="1">IFERROR(__xludf.DUMMYFUNCTION("AI(""c컬럼의 단어를 활용해서 적절한 예문을 만들어줘. 한글 해석은 줄띄움 후에 작성해줘"")"),"The Global Sustainable Development Report is a United Nations publication produced once every four years to inform the quadrennial SDG review deliberations and foster debate among scientists and politicians.
이 세계 지속가능발전 보고서는 4년마다 한 번씩 발간되는 유엔 간행물로, 4년 주기의"&amp;" 지속가능발전목표(SDG) 검토 심의에 정보를 제공하고 과학자들과 정치인들 사이의 논쟁을 촉진하기 위한 것입니다.")</f>
        <v>The Global Sustainable Development Report is a United Nations publication produced once every four years to inform the quadrennial SDG review deliberations and foster debate among scientists and politicians.
이 세계 지속가능발전 보고서는 4년마다 한 번씩 발간되는 유엔 간행물로, 4년 주기의 지속가능발전목표(SDG) 검토 심의에 정보를 제공하고 과학자들과 정치인들 사이의 논쟁을 촉진하기 위한 것입니다.</v>
      </c>
      <c r="F556" s="16" t="s">
        <v>5674</v>
      </c>
      <c r="G556" s="16">
        <v>1</v>
      </c>
    </row>
    <row r="557" spans="1:7" ht="25.5">
      <c r="A557" s="15"/>
      <c r="B557" s="16">
        <v>556</v>
      </c>
      <c r="C557" s="16" t="s">
        <v>5675</v>
      </c>
      <c r="D557" s="16" t="s">
        <v>7047</v>
      </c>
      <c r="E557" s="16" t="str">
        <f ca="1">IFERROR(__xludf.DUMMYFUNCTION("AI(""c컬럼의 단어를 활용해서 적절한 예문을 만들어줘. 한글 해석은 줄띄움 후에 작성해줘"")"),"Marvel Studios president Kevin Feige has produced every film in the franchise.
마블 스튜디오의 사장 케빈 파이기는 그 프랜차이즈의 모든 영화를 제작했습니다.")</f>
        <v>Marvel Studios president Kevin Feige has produced every film in the franchise.
마블 스튜디오의 사장 케빈 파이기는 그 프랜차이즈의 모든 영화를 제작했습니다.</v>
      </c>
      <c r="F557" s="16" t="s">
        <v>5676</v>
      </c>
      <c r="G557" s="16">
        <v>1</v>
      </c>
    </row>
    <row r="558" spans="1:7" ht="51">
      <c r="A558" s="15"/>
      <c r="B558" s="16">
        <v>557</v>
      </c>
      <c r="C558" s="16" t="s">
        <v>5677</v>
      </c>
      <c r="D558" s="16" t="s">
        <v>7048</v>
      </c>
      <c r="E558" s="16" t="str">
        <f ca="1">IFERROR(__xludf.DUMMYFUNCTION("AI(""c컬럼의 단어를 활용해서 적절한 예문을 만들어줘. 한글 해석은 줄띄움 후에 작성해줘"")"),"The researcher conducted interviews with several participants to gain insight into how their daily habits affect their long-term health.
그 연구원은 참가자들의 일상 습관이 장기적인 건강에 어떤 영향을 미치는지에 대한 통찰을 얻기 위해 여러 명과 인터뷰를 진행했습니다.")</f>
        <v>The researcher conducted interviews with several participants to gain insight into how their daily habits affect their long-term health.
그 연구원은 참가자들의 일상 습관이 장기적인 건강에 어떤 영향을 미치는지에 대한 통찰을 얻기 위해 여러 명과 인터뷰를 진행했습니다.</v>
      </c>
      <c r="F558" s="16" t="s">
        <v>5678</v>
      </c>
      <c r="G558" s="16">
        <v>1</v>
      </c>
    </row>
    <row r="559" spans="1:7" ht="25.5">
      <c r="A559" s="15"/>
      <c r="B559" s="16">
        <v>558</v>
      </c>
      <c r="C559" s="16" t="s">
        <v>5679</v>
      </c>
      <c r="D559" s="16" t="s">
        <v>7049</v>
      </c>
      <c r="E559" s="16" t="str">
        <f ca="1">IFERROR(__xludf.DUMMYFUNCTION("AI(""c컬럼의 단어를 활용해서 적절한 예문을 만들어줘. 한글 해석은 줄띄움 후에 작성해줘"")"),"The professor used a special tool to gauge the students' level of understanding before the lecture.
그 교수는 강의 전에 학생들의 이해도를 측정하기 위해 특별한 도구를 사용했습니다.")</f>
        <v>The professor used a special tool to gauge the students' level of understanding before the lecture.
그 교수는 강의 전에 학생들의 이해도를 측정하기 위해 특별한 도구를 사용했습니다.</v>
      </c>
      <c r="F559" s="16" t="s">
        <v>5680</v>
      </c>
      <c r="G559" s="16">
        <v>1</v>
      </c>
    </row>
    <row r="560" spans="1:7" ht="25.5">
      <c r="A560" s="15"/>
      <c r="B560" s="16">
        <v>559</v>
      </c>
      <c r="C560" s="16" t="s">
        <v>5681</v>
      </c>
      <c r="D560" s="16" t="s">
        <v>7050</v>
      </c>
      <c r="E560" s="16" t="str">
        <f ca="1">IFERROR(__xludf.DUMMYFUNCTION("AI(""c컬럼의 단어를 활용해서 적절한 예문을 만들어줘. 한글 해석은 줄띄움 후에 작성해줘"")"),"Most of the major health-related problems facing society today have a genetic component.
오늘날 사회가 직면한 대부분의 주요 건강 관련 문제들은 유전적 요소를 가지고 있습니다.")</f>
        <v>Most of the major health-related problems facing society today have a genetic component.
오늘날 사회가 직면한 대부분의 주요 건강 관련 문제들은 유전적 요소를 가지고 있습니다.</v>
      </c>
      <c r="F560" s="16" t="s">
        <v>5682</v>
      </c>
      <c r="G560" s="16">
        <v>1</v>
      </c>
    </row>
    <row r="561" spans="1:7" ht="51">
      <c r="A561" s="15"/>
      <c r="B561" s="16">
        <v>560</v>
      </c>
      <c r="C561" s="16" t="s">
        <v>5683</v>
      </c>
      <c r="D561" s="16" t="s">
        <v>7051</v>
      </c>
      <c r="E561" s="16" t="str">
        <f ca="1">IFERROR(__xludf.DUMMYFUNCTION("AI(""c컬럼의 단어를 활용해서 적절한 예문을 만들어줘. 한글 해석은 줄띄움 후에 작성해줘"")"),"Australia sits in the middle of a tectonic plate, far from any plate boundaries, which is why the mainland is considered geologically inactive.
호주는 판의 경계에서 멀리 떨어진 테크토닉 판의 중앙에 위치하고 있어서 본토는 지질 활동이 없는 것으로 간주됩니다.")</f>
        <v>Australia sits in the middle of a tectonic plate, far from any plate boundaries, which is why the mainland is considered geologically inactive.
호주는 판의 경계에서 멀리 떨어진 테크토닉 판의 중앙에 위치하고 있어서 본토는 지질 활동이 없는 것으로 간주됩니다.</v>
      </c>
      <c r="F561" s="16" t="s">
        <v>5684</v>
      </c>
      <c r="G561" s="16">
        <v>1</v>
      </c>
    </row>
    <row r="562" spans="1:7" ht="25.5">
      <c r="A562" s="15"/>
      <c r="B562" s="16">
        <v>561</v>
      </c>
      <c r="C562" s="16" t="s">
        <v>5685</v>
      </c>
      <c r="D562" s="16" t="s">
        <v>7052</v>
      </c>
      <c r="E562" s="16" t="str">
        <f ca="1">IFERROR(__xludf.DUMMYFUNCTION("AI(""c컬럼의 단어를 활용해서 적절한 예문을 만들어줘. 한글 해석은 줄띄움 후에 작성해줘"")"),"It is difficult to get a new business off the ground without enough funding.
충분한 자금 없이는 새로운 사업을 시작하여 궤도에 올리는 것이 어렵습니다.")</f>
        <v>It is difficult to get a new business off the ground without enough funding.
충분한 자금 없이는 새로운 사업을 시작하여 궤도에 올리는 것이 어렵습니다.</v>
      </c>
      <c r="F562" s="16" t="s">
        <v>5686</v>
      </c>
      <c r="G562" s="16">
        <v>1</v>
      </c>
    </row>
    <row r="563" spans="1:7" ht="25.5">
      <c r="A563" s="15"/>
      <c r="B563" s="16">
        <v>562</v>
      </c>
      <c r="C563" s="16" t="s">
        <v>5687</v>
      </c>
      <c r="D563" s="16" t="s">
        <v>7053</v>
      </c>
      <c r="E563" s="16" t="str">
        <f ca="1">IFERROR(__xludf.DUMMYFUNCTION("AI(""c컬럼의 단어를 활용해서 적절한 예문을 만들어줘. 한글 해석은 줄띄움 후에 작성해줘"")"),"As the sun began to set, the dense forests gradually give way to open wetlands.
태양이 지기 시작하자, 울창한 숲은 점차 개방된 습지로 바뀌었습니다.")</f>
        <v>As the sun began to set, the dense forests gradually give way to open wetlands.
태양이 지기 시작하자, 울창한 숲은 점차 개방된 습지로 바뀌었습니다.</v>
      </c>
      <c r="F563" s="16" t="s">
        <v>5688</v>
      </c>
      <c r="G563" s="16">
        <v>1</v>
      </c>
    </row>
    <row r="564" spans="1:7" ht="25.5">
      <c r="A564" s="15"/>
      <c r="B564" s="16">
        <v>563</v>
      </c>
      <c r="C564" s="16" t="s">
        <v>5689</v>
      </c>
      <c r="D564" s="16" t="s">
        <v>7054</v>
      </c>
      <c r="E564" s="16" t="str">
        <f ca="1">IFERROR(__xludf.DUMMYFUNCTION("AI(""c컬럼의 단어를 활용해서 적절한 예문을 만들어줘. 한글 해석은 줄띄움 후에 작성해줘"")"),"Despite the heavy rain, the outdoor wedding ceremony will go ahead as scheduled.
폭우에도 불구하고, 야외 결혼식은 예정대로 진행될 것입니다.")</f>
        <v>Despite the heavy rain, the outdoor wedding ceremony will go ahead as scheduled.
폭우에도 불구하고, 야외 결혼식은 예정대로 진행될 것입니다.</v>
      </c>
      <c r="F564" s="16" t="s">
        <v>5690</v>
      </c>
      <c r="G564" s="16">
        <v>1</v>
      </c>
    </row>
    <row r="565" spans="1:7" ht="51">
      <c r="A565" s="15"/>
      <c r="B565" s="16">
        <v>564</v>
      </c>
      <c r="C565" s="16" t="s">
        <v>5691</v>
      </c>
      <c r="D565" s="16" t="s">
        <v>7055</v>
      </c>
      <c r="E565" s="16" t="str">
        <f ca="1">IFERROR(__xludf.DUMMYFUNCTION("AI(""c컬럼의 단어를 활용해서 적절한 예문을 만들어줘. 한글 해석은 줄띄움 후에 작성해줘"")"),"Our team often goes out of our way to ensure that every customer feels valued and receives the best possible service.
우리 팀은 모든 고객이 소중하게 여겨지고 가능한 최고의 서비스를 받을 수 있도록 종종 일부러 애를 씁니다.")</f>
        <v>Our team often goes out of our way to ensure that every customer feels valued and receives the best possible service.
우리 팀은 모든 고객이 소중하게 여겨지고 가능한 최고의 서비스를 받을 수 있도록 종종 일부러 애를 씁니다.</v>
      </c>
      <c r="F565" s="16" t="s">
        <v>5692</v>
      </c>
      <c r="G565" s="16">
        <v>1</v>
      </c>
    </row>
    <row r="566" spans="1:7" ht="25.5">
      <c r="A566" s="15"/>
      <c r="B566" s="16">
        <v>565</v>
      </c>
      <c r="C566" s="16" t="s">
        <v>5693</v>
      </c>
      <c r="D566" s="16" t="s">
        <v>7056</v>
      </c>
      <c r="E566" s="16" t="str">
        <f ca="1">IFERROR(__xludf.DUMMYFUNCTION("AI(""c컬럼의 단어를 활용해서 적절한 예문을 만들어줘. 한글 해석은 줄띄움 후에 작성해줘"")"),"The chef prepared a gourmet meal using the finest local ingredients.
셰프는 현지의 가장 좋은 식재료를 사용하여 고급 요리를 준비했습니다.")</f>
        <v>The chef prepared a gourmet meal using the finest local ingredients.
셰프는 현지의 가장 좋은 식재료를 사용하여 고급 요리를 준비했습니다.</v>
      </c>
      <c r="F566" s="16" t="s">
        <v>5694</v>
      </c>
      <c r="G566" s="16">
        <v>1</v>
      </c>
    </row>
    <row r="567" spans="1:7" ht="38.25">
      <c r="A567" s="15"/>
      <c r="B567" s="16">
        <v>566</v>
      </c>
      <c r="C567" s="16" t="s">
        <v>5695</v>
      </c>
      <c r="D567" s="16" t="s">
        <v>7057</v>
      </c>
      <c r="E567" s="16" t="str">
        <f ca="1">IFERROR(__xludf.DUMMYFUNCTION("AI(""c컬럼의 단어를 활용해서 적절한 예문을 만들어줘. 한글 해석은 줄띄움 후에 작성해줘"")"),"The university decided to grant a full scholarship to the student for her outstanding academic achievement.
그 대학교는 뛰어난 학업 성취를 이룬 그 학생에게 전체 장학금을 수여하기로 결정했습니다.")</f>
        <v>The university decided to grant a full scholarship to the student for her outstanding academic achievement.
그 대학교는 뛰어난 학업 성취를 이룬 그 학생에게 전체 장학금을 수여하기로 결정했습니다.</v>
      </c>
      <c r="F567" s="16" t="s">
        <v>5696</v>
      </c>
      <c r="G567" s="16">
        <v>1</v>
      </c>
    </row>
    <row r="568" spans="1:7" ht="51">
      <c r="A568" s="15"/>
      <c r="B568" s="16">
        <v>567</v>
      </c>
      <c r="C568" s="16" t="s">
        <v>5697</v>
      </c>
      <c r="D568" s="16" t="s">
        <v>7058</v>
      </c>
      <c r="E568" s="16" t="str">
        <f ca="1">IFERROR(__xludf.DUMMYFUNCTION("AI(""c컬럼의 단어를 활용해서 적절한 예문을 만들어줘. 한글 해석은 줄띄움 후에 작성해줘"")"),"Media organizations often face criticism for including a graphic depiction of violence in their news coverage to attract more viewers.
언론 기관들은 더 많은 시청자를 끌어들이기 위해 뉴스 보도에 폭력에 대한 노골적인 묘사를 포함하여 종종 비판에 직면합니다.")</f>
        <v>Media organizations often face criticism for including a graphic depiction of violence in their news coverage to attract more viewers.
언론 기관들은 더 많은 시청자를 끌어들이기 위해 뉴스 보도에 폭력에 대한 노골적인 묘사를 포함하여 종종 비판에 직면합니다.</v>
      </c>
      <c r="F568" s="16" t="s">
        <v>5698</v>
      </c>
      <c r="G568" s="16">
        <v>1</v>
      </c>
    </row>
    <row r="569" spans="1:7" ht="38.25">
      <c r="A569" s="15"/>
      <c r="B569" s="16">
        <v>568</v>
      </c>
      <c r="C569" s="16" t="s">
        <v>5699</v>
      </c>
      <c r="D569" s="16" t="s">
        <v>7059</v>
      </c>
      <c r="E569" s="16" t="str">
        <f ca="1">IFERROR(__xludf.DUMMYFUNCTION("AI(""c컬럼의 단어를 활용해서 적절한 예문을 만들어줘. 한글 해석은 줄띄움 후에 작성해줘"")"),"As industries grapple with the implications of new regulations, compliance challenges have emerged as a critical concern.
산업계가 새로운 규제의 함의를 힘겹게 다루면서, 규정 준수 문제는 중대한 관심사로 떠올랐습니다.")</f>
        <v>As industries grapple with the implications of new regulations, compliance challenges have emerged as a critical concern.
산업계가 새로운 규제의 함의를 힘겹게 다루면서, 규정 준수 문제는 중대한 관심사로 떠올랐습니다.</v>
      </c>
      <c r="F569" s="16" t="s">
        <v>5700</v>
      </c>
      <c r="G569" s="16">
        <v>1</v>
      </c>
    </row>
    <row r="570" spans="1:7" ht="51">
      <c r="A570" s="15"/>
      <c r="B570" s="16">
        <v>569</v>
      </c>
      <c r="C570" s="16" t="s">
        <v>5701</v>
      </c>
      <c r="D570" s="16" t="s">
        <v>7060</v>
      </c>
      <c r="E570" s="16" t="str">
        <f ca="1">IFERROR(__xludf.DUMMYFUNCTION("AI(""c컬럼의 단어를 활용해서 적절한 예문을 만들어줘. 한글 해석은 줄띄움 후에 작성해줘"")"),"Many domestic industries are struggling to grapple with imports from countries that have much lower production costs.
많은 국내 산업들이 생산비가 훨씬 저렴한 국가들로부터의 수입품 문제를 다루기 위해 고군분투하고 있습니다.")</f>
        <v>Many domestic industries are struggling to grapple with imports from countries that have much lower production costs.
많은 국내 산업들이 생산비가 훨씬 저렴한 국가들로부터의 수입품 문제를 다루기 위해 고군분투하고 있습니다.</v>
      </c>
      <c r="F570" s="16" t="s">
        <v>5702</v>
      </c>
      <c r="G570" s="16">
        <v>1</v>
      </c>
    </row>
    <row r="571" spans="1:7" ht="38.25">
      <c r="A571" s="15"/>
      <c r="B571" s="16">
        <v>570</v>
      </c>
      <c r="C571" s="16" t="s">
        <v>5703</v>
      </c>
      <c r="D571" s="16" t="s">
        <v>7061</v>
      </c>
      <c r="E571" s="16" t="str">
        <f ca="1">IFERROR(__xludf.DUMMYFUNCTION("AI(""c컬럼의 단어를 활용해서 적절한 예문을 만들어줘. 한글 해석은 줄띄움 후에 작성해줘"")"),"Grazing animals, like gazelles and zebras, have stripes that create an optical illusion on the open grasslands.
가젤과 얼룩말 같은 초식 동물들은 탁 트인 초원에서 착시 현상을 일으키는 줄무늬를 가지고 있습니다.")</f>
        <v>Grazing animals, like gazelles and zebras, have stripes that create an optical illusion on the open grasslands.
가젤과 얼룩말 같은 초식 동물들은 탁 트인 초원에서 착시 현상을 일으키는 줄무늬를 가지고 있습니다.</v>
      </c>
      <c r="F571" s="16" t="s">
        <v>5704</v>
      </c>
      <c r="G571" s="16">
        <v>1</v>
      </c>
    </row>
    <row r="572" spans="1:7" ht="25.5">
      <c r="A572" s="15"/>
      <c r="B572" s="16">
        <v>571</v>
      </c>
      <c r="C572" s="16" t="s">
        <v>5705</v>
      </c>
      <c r="D572" s="16" t="s">
        <v>7062</v>
      </c>
      <c r="E572" s="16" t="str">
        <f ca="1">IFERROR(__xludf.DUMMYFUNCTION("AI(""c컬럼의 단어를 활용해서 적절한 예문을 만들어줘. 한글 해석은 줄띄움 후에 작성해줘"")"),"The tides in the ocean are primarily caused by the gravitational force exerted by the moon on Earth.
바다의 조석 현상은 주로 달이 지구에 행사하는 중력에 의해 발생합니다.")</f>
        <v>The tides in the ocean are primarily caused by the gravitational force exerted by the moon on Earth.
바다의 조석 현상은 주로 달이 지구에 행사하는 중력에 의해 발생합니다.</v>
      </c>
      <c r="F572" s="16" t="s">
        <v>5706</v>
      </c>
      <c r="G572" s="16">
        <v>1</v>
      </c>
    </row>
    <row r="573" spans="1:7" ht="25.5">
      <c r="A573" s="15"/>
      <c r="B573" s="16">
        <v>572</v>
      </c>
      <c r="C573" s="16" t="s">
        <v>5707</v>
      </c>
      <c r="D573" s="16" t="s">
        <v>7063</v>
      </c>
      <c r="E573" s="16" t="str">
        <f ca="1">IFERROR(__xludf.DUMMYFUNCTION("AI(""c컬럼의 단어를 활용해서 적절한 예문을 만들어줘. 한글 해석은 줄띄움 후에 작성해줘"")"),"Investors are constantly looking for startups with high growth potential to maximize their returns.
투자자들은 수익을 극대화하기 위해 높은 성장 잠재력을 가진 스타트업을 끊임없이 찾고 있습니다.")</f>
        <v>Investors are constantly looking for startups with high growth potential to maximize their returns.
투자자들은 수익을 극대화하기 위해 높은 성장 잠재력을 가진 스타트업을 끊임없이 찾고 있습니다.</v>
      </c>
      <c r="F573" s="16" t="s">
        <v>5708</v>
      </c>
      <c r="G573" s="16">
        <v>1</v>
      </c>
    </row>
    <row r="574" spans="1:7" ht="51">
      <c r="A574" s="15"/>
      <c r="B574" s="16">
        <v>573</v>
      </c>
      <c r="C574" s="16" t="s">
        <v>5709</v>
      </c>
      <c r="D574" s="16" t="s">
        <v>7064</v>
      </c>
      <c r="E574" s="16" t="str">
        <f ca="1">IFERROR(__xludf.DUMMYFUNCTION("AI(""c컬럼의 단어를 활용해서 적절한 예문을 만들어줘. 한글 해석은 줄띄움 후에 작성해줘"")"),"A balanced diet rich in fiber and fermented foods is essential to maintain healthy gut bacteria and support overall well-being.
식이섬유와 발효 식품이 풍부한 균형 잡힌 식단은 건강한 장내 세균을 유지하고 전반적인 건강을 지원하는 데 필수적입니다.")</f>
        <v>A balanced diet rich in fiber and fermented foods is essential to maintain healthy gut bacteria and support overall well-being.
식이섬유와 발효 식품이 풍부한 균형 잡힌 식단은 건강한 장내 세균을 유지하고 전반적인 건강을 지원하는 데 필수적입니다.</v>
      </c>
      <c r="F574" s="16" t="s">
        <v>5710</v>
      </c>
      <c r="G574" s="16">
        <v>1</v>
      </c>
    </row>
    <row r="575" spans="1:7" ht="51">
      <c r="A575" s="15"/>
      <c r="B575" s="16">
        <v>574</v>
      </c>
      <c r="C575" s="16" t="s">
        <v>5711</v>
      </c>
      <c r="D575" s="16" t="s">
        <v>7065</v>
      </c>
      <c r="E575" s="16" t="str">
        <f ca="1">IFERROR(__xludf.DUMMYFUNCTION("AI(""c컬럼의 단어를 활용해서 적절한 예문을 만들어줘. 한글 해석은 줄띄움 후에 작성해줘"")"),"Conserving wildlife habitats helps maintain ecological balance and ensures the proper functioning of ecosystems.
야생동물 서식지를 보존하는 것은 생태계의 균형을 유지하고 생태계가 적절히 기능하도록 보장하는 데 도움이 됩니다.")</f>
        <v>Conserving wildlife habitats helps maintain ecological balance and ensures the proper functioning of ecosystems.
야생동물 서식지를 보존하는 것은 생태계의 균형을 유지하고 생태계가 적절히 기능하도록 보장하는 데 도움이 됩니다.</v>
      </c>
      <c r="F575" s="16" t="s">
        <v>5712</v>
      </c>
      <c r="G575" s="16">
        <v>1</v>
      </c>
    </row>
    <row r="576" spans="1:7" ht="25.5">
      <c r="A576" s="15"/>
      <c r="B576" s="16">
        <v>575</v>
      </c>
      <c r="C576" s="16" t="s">
        <v>5713</v>
      </c>
      <c r="D576" s="16" t="s">
        <v>7066</v>
      </c>
      <c r="E576" s="16" t="str">
        <f ca="1">IFERROR(__xludf.DUMMYFUNCTION("AI(""c컬럼의 단어를 활용해서 적절한 예문을 만들어줘. 한글 해석은 줄띄움 후에 작성해줘"")"),"The sun was surrounded by a rainbow-like halo as light interacted with ice crystals in the atmosphere.
태양은 빛이 대기 중의 얼음 결정과 상호작용하면서 무지개 같은 후광에 둘러싸여 있었습니다.")</f>
        <v>The sun was surrounded by a rainbow-like halo as light interacted with ice crystals in the atmosphere.
태양은 빛이 대기 중의 얼음 결정과 상호작용하면서 무지개 같은 후광에 둘러싸여 있었습니다.</v>
      </c>
      <c r="F576" s="16" t="s">
        <v>5714</v>
      </c>
      <c r="G576" s="16">
        <v>1</v>
      </c>
    </row>
    <row r="577" spans="1:7" ht="51">
      <c r="A577" s="15"/>
      <c r="B577" s="16">
        <v>576</v>
      </c>
      <c r="C577" s="16" t="s">
        <v>5715</v>
      </c>
      <c r="D577" s="16" t="s">
        <v>7067</v>
      </c>
      <c r="E577" s="16" t="str">
        <f ca="1">IFERROR(__xludf.DUMMYFUNCTION("AI(""c컬럼의 단어를 활용해서 적절한 예문을 만들어줘. 한글 해석은 줄띄움 후에 작성해줘"")"),"Painted turtles are a hardy species, which has allowed them to populate most of North America despite the freezing temperatures.
페인티드 거북은 강인한 종으로, 영하의 기온에도 불구하고 북미 대부분 지역에 서식할 수 있게 해주었습니다.")</f>
        <v>Painted turtles are a hardy species, which has allowed them to populate most of North America despite the freezing temperatures.
페인티드 거북은 강인한 종으로, 영하의 기온에도 불구하고 북미 대부분 지역에 서식할 수 있게 해주었습니다.</v>
      </c>
      <c r="F577" s="16" t="s">
        <v>5716</v>
      </c>
      <c r="G577" s="16">
        <v>1</v>
      </c>
    </row>
    <row r="578" spans="1:7" ht="38.25">
      <c r="A578" s="15"/>
      <c r="B578" s="16">
        <v>577</v>
      </c>
      <c r="C578" s="16" t="s">
        <v>5717</v>
      </c>
      <c r="D578" s="16" t="s">
        <v>7068</v>
      </c>
      <c r="E578" s="16" t="str">
        <f ca="1">IFERROR(__xludf.DUMMYFUNCTION("AI(""c컬럼의 단어를 활용해서 적절한 예문을 만들어줘. 한글 해석은 줄띄움 후에 작성해줘"")"),"The natural cycles of the local environment were harmonized with flood patterns to ensure sustainable agriculture.
지역 환경의 자연적인 주기는 농경의 지속 가능성을 보장하기 위해 홍수 패턴과 조화를 이루었습니다.")</f>
        <v>The natural cycles of the local environment were harmonized with flood patterns to ensure sustainable agriculture.
지역 환경의 자연적인 주기는 농경의 지속 가능성을 보장하기 위해 홍수 패턴과 조화를 이루었습니다.</v>
      </c>
      <c r="F578" s="16" t="s">
        <v>5718</v>
      </c>
      <c r="G578" s="16">
        <v>1</v>
      </c>
    </row>
    <row r="579" spans="1:7" ht="51">
      <c r="A579" s="15"/>
      <c r="B579" s="16">
        <v>578</v>
      </c>
      <c r="C579" s="16" t="s">
        <v>5719</v>
      </c>
      <c r="D579" s="16" t="s">
        <v>7069</v>
      </c>
      <c r="E579" s="16" t="str">
        <f ca="1">IFERROR(__xludf.DUMMYFUNCTION("AI(""c컬럼의 단어를 활용해서 적절한 예문을 만들어줘. 한글 해석은 줄띄움 후에 작성해줘"")"),"All employers must provide safety data sheets and training to workers handling hazardous chemicals to ensure workplace safety.
작업장에서 유해 화학 물질을 취급하는 모든 고용주는 직장 안전을 보장하기 위해 근로자에게 안전 데이터 시트와 교육을 제공해야 합니다.")</f>
        <v>All employers must provide safety data sheets and training to workers handling hazardous chemicals to ensure workplace safety.
작업장에서 유해 화학 물질을 취급하는 모든 고용주는 직장 안전을 보장하기 위해 근로자에게 안전 데이터 시트와 교육을 제공해야 합니다.</v>
      </c>
      <c r="F579" s="16" t="s">
        <v>5720</v>
      </c>
      <c r="G579" s="16">
        <v>1</v>
      </c>
    </row>
    <row r="580" spans="1:7" ht="25.5">
      <c r="A580" s="15"/>
      <c r="B580" s="16">
        <v>579</v>
      </c>
      <c r="C580" s="16" t="s">
        <v>5721</v>
      </c>
      <c r="D580" s="16" t="s">
        <v>7070</v>
      </c>
      <c r="E580" s="16" t="str">
        <f ca="1">IFERROR(__xludf.DUMMYFUNCTION("AI(""c컬럼의 단어를 활용해서 적절한 예문을 만들어줘. 한글 해석은 줄띄움 후에 작성해줘"")"),"The political debate is heating up as the election draws closer.
선거가 다가옴에 따라 정치적 논쟁이 격해지고 있습니다.")</f>
        <v>The political debate is heating up as the election draws closer.
선거가 다가옴에 따라 정치적 논쟁이 격해지고 있습니다.</v>
      </c>
      <c r="F580" s="16" t="s">
        <v>5722</v>
      </c>
      <c r="G580" s="16">
        <v>1</v>
      </c>
    </row>
    <row r="581" spans="1:7" ht="38.25">
      <c r="A581" s="15"/>
      <c r="B581" s="16">
        <v>580</v>
      </c>
      <c r="C581" s="16" t="s">
        <v>5723</v>
      </c>
      <c r="D581" s="16" t="s">
        <v>7071</v>
      </c>
      <c r="E581" s="16" t="str">
        <f ca="1">IFERROR(__xludf.DUMMYFUNCTION("AI(""c컬럼의 단어를 활용해서 적절한 예문을 만들어줘. 한글 해석은 줄띄움 후에 작성해줘"")"),"Due to extensive media coverage, jury selection in a high-profile case can be extremely difficult.
광범위한 언론 보도로 인해 세간의 이목을 끄는 사건에서 배심원을 선정하는 것은 매우 어려울 수 있습니다.")</f>
        <v>Due to extensive media coverage, jury selection in a high-profile case can be extremely difficult.
광범위한 언론 보도로 인해 세간의 이목을 끄는 사건에서 배심원을 선정하는 것은 매우 어려울 수 있습니다.</v>
      </c>
      <c r="F581" s="16" t="s">
        <v>5724</v>
      </c>
      <c r="G581" s="16">
        <v>1</v>
      </c>
    </row>
    <row r="582" spans="1:7" ht="25.5">
      <c r="A582" s="15"/>
      <c r="B582" s="16">
        <v>581</v>
      </c>
      <c r="C582" s="16" t="s">
        <v>5725</v>
      </c>
      <c r="D582" s="16" t="s">
        <v>7072</v>
      </c>
      <c r="E582" s="16" t="str">
        <f ca="1">IFERROR(__xludf.DUMMYFUNCTION("AI(""c컬럼의 단어를 활용해서 적절한 예문을 만들어줘. 한글 해석은 줄띄움 후에 작성해줘"")"),"Avatar: The Way of Water became the third highest-grossing film of all time, surpassing Titanic.
아바타: 물의 길은 타이타닉을 제치고 역대 세 번째로 높은 흥행 수익을 올린 영화가 되었습니다.")</f>
        <v>Avatar: The Way of Water became the third highest-grossing film of all time, surpassing Titanic.
아바타: 물의 길은 타이타닉을 제치고 역대 세 번째로 높은 흥행 수익을 올린 영화가 되었습니다.</v>
      </c>
      <c r="F582" s="16" t="s">
        <v>5726</v>
      </c>
      <c r="G582" s="16">
        <v>1</v>
      </c>
    </row>
    <row r="583" spans="1:7" ht="25.5">
      <c r="A583" s="15"/>
      <c r="B583" s="16">
        <v>582</v>
      </c>
      <c r="C583" s="16" t="s">
        <v>5727</v>
      </c>
      <c r="D583" s="16" t="s">
        <v>7073</v>
      </c>
      <c r="E583" s="16" t="str">
        <f ca="1">IFERROR(__xludf.DUMMYFUNCTION("AI(""c컬럼의 단어를 활용해서 적절한 예문을 만들어줘. 한글 해석은 줄띄움 후에 작성해줘"")"),"The rescue team used a crane to hoist the wreckage of the ship from the seabed.
구조팀은 해저에서 선박의 잔해를 끌어올리기 위해 크레인을 사용했습니다.")</f>
        <v>The rescue team used a crane to hoist the wreckage of the ship from the seabed.
구조팀은 해저에서 선박의 잔해를 끌어올리기 위해 크레인을 사용했습니다.</v>
      </c>
      <c r="F583" s="16" t="s">
        <v>5728</v>
      </c>
      <c r="G583" s="16">
        <v>1</v>
      </c>
    </row>
    <row r="584" spans="1:7" ht="25.5">
      <c r="A584" s="15"/>
      <c r="B584" s="16">
        <v>583</v>
      </c>
      <c r="C584" s="16" t="s">
        <v>5729</v>
      </c>
      <c r="D584" s="16" t="s">
        <v>7074</v>
      </c>
      <c r="E584" s="16" t="str">
        <f ca="1">IFERROR(__xludf.DUMMYFUNCTION("AI(""c컬럼의 단어를 활용해서 적절한 예문을 만들어줘. 한글 해석은 줄띄움 후에 작성해줘"")"),"New York City is currently facing a significant homelessness crisis due to rising housing costs.
뉴욕시는 현재 주거비 상승으로 인해 심각한 노숙 문제를 겪고 있습니다.")</f>
        <v>New York City is currently facing a significant homelessness crisis due to rising housing costs.
뉴욕시는 현재 주거비 상승으로 인해 심각한 노숙 문제를 겪고 있습니다.</v>
      </c>
      <c r="F584" s="16" t="s">
        <v>5730</v>
      </c>
      <c r="G584" s="16">
        <v>1</v>
      </c>
    </row>
    <row r="585" spans="1:7" ht="25.5">
      <c r="A585" s="15"/>
      <c r="B585" s="16">
        <v>584</v>
      </c>
      <c r="C585" s="16" t="s">
        <v>5731</v>
      </c>
      <c r="D585" s="16" t="s">
        <v>7075</v>
      </c>
      <c r="E585" s="16" t="str">
        <f ca="1">IFERROR(__xludf.DUMMYFUNCTION("AI(""c컬럼의 단어를 활용해서 적절한 예문을 만들어줘. 한글 해석은 줄띄움 후에 작성해줘"")"),"During a time of dramatic climate change 300,000 years ago, Homo sapiens evolved in Africa.
현생 인류는 30만 년 전 급격한 기후 변화가 일어나는 동안 아프리카에서 진화했습니다.")</f>
        <v>During a time of dramatic climate change 300,000 years ago, Homo sapiens evolved in Africa.
현생 인류는 30만 년 전 급격한 기후 변화가 일어나는 동안 아프리카에서 진화했습니다.</v>
      </c>
      <c r="F585" s="16" t="s">
        <v>5732</v>
      </c>
      <c r="G585" s="16">
        <v>1</v>
      </c>
    </row>
    <row r="586" spans="1:7" ht="51">
      <c r="A586" s="15"/>
      <c r="B586" s="16">
        <v>585</v>
      </c>
      <c r="C586" s="16" t="s">
        <v>5733</v>
      </c>
      <c r="D586" s="16" t="s">
        <v>7076</v>
      </c>
      <c r="E586" s="16" t="str">
        <f ca="1">IFERROR(__xludf.DUMMYFUNCTION("AI(""c컬럼의 단어를 활용해서 적절한 예문을 만들어줘. 한글 해석은 줄띄움 후에 작성해줘"")"),"The high humidity and constant warmth of the Amazon make the region very hospitable to a wide variety of plant and animal species.
아마존의 높은 습도와 지속적인 온기는 그 지역을 매우 다양한 식물과 동물 종들이 살기에 아주 적합하게 만듭니다.")</f>
        <v>The high humidity and constant warmth of the Amazon make the region very hospitable to a wide variety of plant and animal species.
아마존의 높은 습도와 지속적인 온기는 그 지역을 매우 다양한 식물과 동물 종들이 살기에 아주 적합하게 만듭니다.</v>
      </c>
      <c r="F586" s="16" t="s">
        <v>5734</v>
      </c>
      <c r="G586" s="16">
        <v>1</v>
      </c>
    </row>
    <row r="587" spans="1:7" ht="38.25">
      <c r="A587" s="15"/>
      <c r="B587" s="16">
        <v>586</v>
      </c>
      <c r="C587" s="16" t="s">
        <v>5735</v>
      </c>
      <c r="D587" s="16" t="s">
        <v>7077</v>
      </c>
      <c r="E587" s="16" t="str">
        <f ca="1">IFERROR(__xludf.DUMMYFUNCTION("AI(""c컬럼의 단어를 활용해서 적절한 예문을 만들어줘. 한글 해석은 줄띄움 후에 작성해줘"")"),"Ethical guidelines are strictly enforced to protect the rights and safety of human subjects in clinical research.
임상 연구에서 인간 대상자의 권리와 안전을 보호하기 위해 윤리 지침이 엄격하게 시행됩니다.")</f>
        <v>Ethical guidelines are strictly enforced to protect the rights and safety of human subjects in clinical research.
임상 연구에서 인간 대상자의 권리와 안전을 보호하기 위해 윤리 지침이 엄격하게 시행됩니다.</v>
      </c>
      <c r="F587" s="16" t="s">
        <v>5736</v>
      </c>
      <c r="G587" s="16">
        <v>1</v>
      </c>
    </row>
    <row r="588" spans="1:7" ht="51">
      <c r="A588" s="15"/>
      <c r="B588" s="16">
        <v>587</v>
      </c>
      <c r="C588" s="16" t="s">
        <v>5737</v>
      </c>
      <c r="D588" s="16" t="s">
        <v>7078</v>
      </c>
      <c r="E588" s="16" t="str">
        <f ca="1">IFERROR(__xludf.DUMMYFUNCTION("AI(""c컬럼의 단어를 활용해서 적절한 예문을 만들어줘. 한글 해석은 줄띄움 후에 작성해줘"")"),"Humblebragging is a common practice among social media users, characterized by self-promotion that is disguised as modesty or even a complaint.
겸손한 척하는 자랑은 사회관계망서비스(SNS) 사용자들 사이에서 흔한 관행으로, 겸손이나 심지어 불평으로 위장한 자기 홍보로 특징지어집니다.")</f>
        <v>Humblebragging is a common practice among social media users, characterized by self-promotion that is disguised as modesty or even a complaint.
겸손한 척하는 자랑은 사회관계망서비스(SNS) 사용자들 사이에서 흔한 관행으로, 겸손이나 심지어 불평으로 위장한 자기 홍보로 특징지어집니다.</v>
      </c>
      <c r="F588" s="16" t="s">
        <v>5738</v>
      </c>
      <c r="G588" s="16">
        <v>1</v>
      </c>
    </row>
    <row r="589" spans="1:7" ht="25.5">
      <c r="A589" s="15"/>
      <c r="B589" s="16">
        <v>588</v>
      </c>
      <c r="C589" s="16" t="s">
        <v>5739</v>
      </c>
      <c r="D589" s="16" t="s">
        <v>7079</v>
      </c>
      <c r="E589" s="16" t="str">
        <f ca="1">IFERROR(__xludf.DUMMYFUNCTION("AI(""c컬럼의 단어를 활용해서 적절한 예문을 만들어줘. 한글 해석은 줄띄움 후에 작성해줘"")"),"The architects designed a skyscraper of immense scale that covers an entire city block.
건축가들은 도시의 한 블록 전체를 차지하는 거대한 규모의 초고층 건물을 설계했습니다.")</f>
        <v>The architects designed a skyscraper of immense scale that covers an entire city block.
건축가들은 도시의 한 블록 전체를 차지하는 거대한 규모의 초고층 건물을 설계했습니다.</v>
      </c>
      <c r="F589" s="16" t="s">
        <v>5740</v>
      </c>
      <c r="G589" s="16">
        <v>1</v>
      </c>
    </row>
    <row r="590" spans="1:7" ht="51">
      <c r="A590" s="15"/>
      <c r="B590" s="16">
        <v>589</v>
      </c>
      <c r="C590" s="16" t="s">
        <v>5741</v>
      </c>
      <c r="D590" s="16" t="s">
        <v>7080</v>
      </c>
      <c r="E590" s="16" t="str">
        <f ca="1">IFERROR(__xludf.DUMMYFUNCTION("AI(""c컬럼의 단어를 활용해서 적절한 예문을 만들어줘. 한글 해석은 줄띄움 후에 작성해줘"")"),"Many ancient philosophers contemplated the concept of an immortal soul that resides in the body and persists after it has physically died.
많은 고대 철학자들은 신체 안에 거주하며 신체가 물리적으로 죽은 후에도 지속되는 불멸의 영혼이라는 개념을 고찰했습니다.")</f>
        <v>Many ancient philosophers contemplated the concept of an immortal soul that resides in the body and persists after it has physically died.
많은 고대 철학자들은 신체 안에 거주하며 신체가 물리적으로 죽은 후에도 지속되는 불멸의 영혼이라는 개념을 고찰했습니다.</v>
      </c>
      <c r="F590" s="16" t="s">
        <v>5742</v>
      </c>
      <c r="G590" s="16">
        <v>1</v>
      </c>
    </row>
    <row r="591" spans="1:7" ht="25.5">
      <c r="A591" s="15"/>
      <c r="B591" s="16">
        <v>590</v>
      </c>
      <c r="C591" s="16" t="s">
        <v>444</v>
      </c>
      <c r="D591" s="16" t="s">
        <v>7081</v>
      </c>
      <c r="E591" s="16" t="str">
        <f ca="1">IFERROR(__xludf.DUMMYFUNCTION("AI(""c컬럼의 단어를 활용해서 적절한 예문을 만들어줘. 한글 해석은 줄띄움 후에 작성해줘"")"),"Vaccines help the body build natural immunity to a specific disease before you get sick.
백신은 당신이 병에 걸리기 전에 특정 질병에 대한 자연 면역을 형성하도록 도와줍니다.")</f>
        <v>Vaccines help the body build natural immunity to a specific disease before you get sick.
백신은 당신이 병에 걸리기 전에 특정 질병에 대한 자연 면역을 형성하도록 도와줍니다.</v>
      </c>
      <c r="F591" s="16" t="s">
        <v>5743</v>
      </c>
      <c r="G591" s="16">
        <v>1</v>
      </c>
    </row>
    <row r="592" spans="1:7" ht="38.25">
      <c r="A592" s="15"/>
      <c r="B592" s="16">
        <v>591</v>
      </c>
      <c r="C592" s="16" t="s">
        <v>5744</v>
      </c>
      <c r="D592" s="16" t="s">
        <v>7082</v>
      </c>
      <c r="E592" s="16" t="str">
        <f ca="1">IFERROR(__xludf.DUMMYFUNCTION("AI(""c컬럼의 단어를 활용해서 적절한 예문을 만들어줘. 한글 해석은 줄띄움 후에 작성해줘"")"),"The defense attorney requested a change of venue to ensure the defendant would be tried by an impartial jury.
변호인은 피고인이 공정한 배심원단에 의해 재판을 받을 수 있도록 재판지 변경을 요청했습니다.")</f>
        <v>The defense attorney requested a change of venue to ensure the defendant would be tried by an impartial jury.
변호인은 피고인이 공정한 배심원단에 의해 재판을 받을 수 있도록 재판지 변경을 요청했습니다.</v>
      </c>
      <c r="F592" s="16" t="s">
        <v>5745</v>
      </c>
      <c r="G592" s="16">
        <v>1</v>
      </c>
    </row>
    <row r="593" spans="1:7" ht="38.25">
      <c r="A593" s="15"/>
      <c r="B593" s="16">
        <v>592</v>
      </c>
      <c r="C593" s="16" t="s">
        <v>5746</v>
      </c>
      <c r="D593" s="16" t="s">
        <v>7083</v>
      </c>
      <c r="E593" s="16" t="str">
        <f ca="1">IFERROR(__xludf.DUMMYFUNCTION("AI(""c컬럼의 단어를 활용해서 적절한 예문을 만들어줘. 한글 해석은 줄띄움 후에 작성해줘"")"),"The rapid development of artificial intelligence has significant implications for future job markets and data privacy.
인공지능의 급격한 발전은 미래의 고용 시장과 데이터 프라이버시에 중대한 영향(함의)을 미칩니다.")</f>
        <v>The rapid development of artificial intelligence has significant implications for future job markets and data privacy.
인공지능의 급격한 발전은 미래의 고용 시장과 데이터 프라이버시에 중대한 영향(함의)을 미칩니다.</v>
      </c>
      <c r="F593" s="16" t="s">
        <v>5747</v>
      </c>
      <c r="G593" s="16">
        <v>1</v>
      </c>
    </row>
    <row r="594" spans="1:7" ht="38.25">
      <c r="A594" s="15"/>
      <c r="B594" s="16">
        <v>593</v>
      </c>
      <c r="C594" s="16" t="s">
        <v>5748</v>
      </c>
      <c r="D594" s="16" t="s">
        <v>7083</v>
      </c>
      <c r="E594" s="16" t="str">
        <f ca="1">IFERROR(__xludf.DUMMYFUNCTION("AI(""c컬럼의 단어를 활용해서 적절한 예문을 만들어줘. 한글 해석은 줄띄움 후에 작성해줘"")"),"Endangered species, if not protected, could eventually become extinct—and extinction has a myriad of implications for our food, water, and air.
멸종 위기종이 보호받지 못해 결국 멸종된다면, 이는 우리의 식량, 물, 공기에 무수한 영향을 미칩니다.")</f>
        <v>Endangered species, if not protected, could eventually become extinct—and extinction has a myriad of implications for our food, water, and air.
멸종 위기종이 보호받지 못해 결국 멸종된다면, 이는 우리의 식량, 물, 공기에 무수한 영향을 미칩니다.</v>
      </c>
      <c r="F594" s="16" t="s">
        <v>5749</v>
      </c>
      <c r="G594" s="16">
        <v>1</v>
      </c>
    </row>
    <row r="595" spans="1:7" ht="51">
      <c r="A595" s="15"/>
      <c r="B595" s="16">
        <v>594</v>
      </c>
      <c r="C595" s="16" t="s">
        <v>2748</v>
      </c>
      <c r="D595" s="16" t="s">
        <v>7084</v>
      </c>
      <c r="E595" s="16" t="str">
        <f ca="1">IFERROR(__xludf.DUMMYFUNCTION("AI(""c컬럼의 단어를 활용해서 적절한 예문을 만들어줘. 한글 해석은 줄띄움 후에 작성해줘"")"),"The mountain village remained inaccessible for nearly seven days after a severe snowstorm buried every road under heavy snow.
폭설로 인해 모든 도로가 눈에 파묻히면서 그 산골 마을은 거의 7일 동안 접근할 수 없는 상태로 남아 있었습니다.")</f>
        <v>The mountain village remained inaccessible for nearly seven days after a severe snowstorm buried every road under heavy snow.
폭설로 인해 모든 도로가 눈에 파묻히면서 그 산골 마을은 거의 7일 동안 접근할 수 없는 상태로 남아 있었습니다.</v>
      </c>
      <c r="F595" s="16" t="s">
        <v>5750</v>
      </c>
      <c r="G595" s="16">
        <v>2</v>
      </c>
    </row>
    <row r="596" spans="1:7" ht="25.5">
      <c r="A596" s="15"/>
      <c r="B596" s="16">
        <v>595</v>
      </c>
      <c r="C596" s="16" t="s">
        <v>5751</v>
      </c>
      <c r="D596" s="16" t="s">
        <v>7085</v>
      </c>
      <c r="E596" s="16" t="str">
        <f ca="1">IFERROR(__xludf.DUMMYFUNCTION("AI(""c컬럼의 단어를 활용해서 적절한 예문을 만들어줘. 한글 해석은 줄띄움 후에 작성해줘"")"),"President Trump delivered an inaugural address after he was sworn in for a second term Monday.
트럼프 대통령은 월요일 두 번째 임기 취임 선서를 마친 후 취임 연설을 했습니다.")</f>
        <v>President Trump delivered an inaugural address after he was sworn in for a second term Monday.
트럼프 대통령은 월요일 두 번째 임기 취임 선서를 마친 후 취임 연설을 했습니다.</v>
      </c>
      <c r="F596" s="16" t="s">
        <v>5752</v>
      </c>
      <c r="G596" s="16">
        <v>1</v>
      </c>
    </row>
    <row r="597" spans="1:7" ht="51">
      <c r="A597" s="15"/>
      <c r="B597" s="16">
        <v>596</v>
      </c>
      <c r="C597" s="16" t="s">
        <v>5753</v>
      </c>
      <c r="D597" s="16" t="s">
        <v>7086</v>
      </c>
      <c r="E597" s="16" t="str">
        <f ca="1">IFERROR(__xludf.DUMMYFUNCTION("AI(""c컬럼의 단어를 활용해서 적절한 예문을 만들어줘. 한글 해석은 줄띄움 후에 작성해줘"")"),"The government provides various tax credits and grants as a strong incentive for companies to invest in renewable energy.
정부는 기업들이 재생 에너지에 투자하도록 유도하는 강력한 동기로서 다양한 세액 공제와 보조금을 제공합니다.")</f>
        <v>The government provides various tax credits and grants as a strong incentive for companies to invest in renewable energy.
정부는 기업들이 재생 에너지에 투자하도록 유도하는 강력한 동기로서 다양한 세액 공제와 보조금을 제공합니다.</v>
      </c>
      <c r="F597" s="16" t="s">
        <v>5754</v>
      </c>
      <c r="G597" s="16">
        <v>1</v>
      </c>
    </row>
    <row r="598" spans="1:7" ht="25.5">
      <c r="A598" s="15"/>
      <c r="B598" s="16">
        <v>597</v>
      </c>
      <c r="C598" s="16" t="s">
        <v>5755</v>
      </c>
      <c r="D598" s="16" t="s">
        <v>7087</v>
      </c>
      <c r="E598" s="16" t="str">
        <f ca="1">IFERROR(__xludf.DUMMYFUNCTION("AI(""c컬럼의 단어를 활용해서 적절한 예문을 만들어줘. 한글 해석은 줄띄움 후에 작성해줘"")"),"The road has a steep incline that makes it difficult for cyclists to climb.
그 도로는 경사가 가팔라서 자전거 타는 사람들이 오르기 어렵습니다.")</f>
        <v>The road has a steep incline that makes it difficult for cyclists to climb.
그 도로는 경사가 가팔라서 자전거 타는 사람들이 오르기 어렵습니다.</v>
      </c>
      <c r="F598" s="16" t="s">
        <v>5756</v>
      </c>
      <c r="G598" s="16">
        <v>1</v>
      </c>
    </row>
    <row r="599" spans="1:7" ht="25.5">
      <c r="A599" s="15"/>
      <c r="B599" s="16">
        <v>598</v>
      </c>
      <c r="C599" s="16" t="s">
        <v>5757</v>
      </c>
      <c r="D599" s="16" t="s">
        <v>7088</v>
      </c>
      <c r="E599" s="16" t="str">
        <f ca="1">IFERROR(__xludf.DUMMYFUNCTION("AI(""c컬럼의 단어를 활용해서 적절한 예문을 만들어줘. 한글 해석은 줄띄움 후에 작성해줘"")"),"Since the weather is nice, people are more inclined to spend time outdoors.
날씨가 좋기 때문에, 사람들은 야외에서 시간을 보내는 경향이 더 높습니다.")</f>
        <v>Since the weather is nice, people are more inclined to spend time outdoors.
날씨가 좋기 때문에, 사람들은 야외에서 시간을 보내는 경향이 더 높습니다.</v>
      </c>
      <c r="F599" s="16" t="s">
        <v>5758</v>
      </c>
      <c r="G599" s="16">
        <v>1</v>
      </c>
    </row>
    <row r="600" spans="1:7" ht="38.25">
      <c r="A600" s="15"/>
      <c r="B600" s="16">
        <v>599</v>
      </c>
      <c r="C600" s="16" t="s">
        <v>5759</v>
      </c>
      <c r="D600" s="16" t="s">
        <v>7089</v>
      </c>
      <c r="E600" s="16" t="str">
        <f ca="1">IFERROR(__xludf.DUMMYFUNCTION("AI(""c컬럼의 단어를 활용해서 적절한 예문을 만들어줘. 한글 해석은 줄띄움 후에 작성해줘"")"),"The company has successfully incorporated new technologies into its production process to increase efficiency.
그 회사는 효율성을 높이기 위해 생산 공정에 새로운 기술을 성공적으로 통합했습니다.")</f>
        <v>The company has successfully incorporated new technologies into its production process to increase efficiency.
그 회사는 효율성을 높이기 위해 생산 공정에 새로운 기술을 성공적으로 통합했습니다.</v>
      </c>
      <c r="F600" s="16" t="s">
        <v>5760</v>
      </c>
      <c r="G600" s="16">
        <v>1</v>
      </c>
    </row>
    <row r="601" spans="1:7" ht="51">
      <c r="A601" s="15"/>
      <c r="B601" s="16">
        <v>600</v>
      </c>
      <c r="C601" s="16" t="s">
        <v>5761</v>
      </c>
      <c r="D601" s="16" t="s">
        <v>7090</v>
      </c>
      <c r="E601" s="16" t="str">
        <f ca="1">IFERROR(__xludf.DUMMYFUNCTION("AI(""c컬럼의 단어를 활용해서 적절한 예문을 만들어줘. 한글 해석은 줄띄움 후에 작성해줘"")"),"Studies have found a significant relationship between industry-funded research and outcomes that favor the sponsoring company.
연구에 따르면 산업계가 자금을 댄 연구와 후원 기업에 유리한 결과 사이에 상당한 연관성이 있음이 밝혀졌습니다.")</f>
        <v>Studies have found a significant relationship between industry-funded research and outcomes that favor the sponsoring company.
연구에 따르면 산업계가 자금을 댄 연구와 후원 기업에 유리한 결과 사이에 상당한 연관성이 있음이 밝혀졌습니다.</v>
      </c>
      <c r="F601" s="16" t="s">
        <v>5762</v>
      </c>
      <c r="G601" s="16">
        <v>1</v>
      </c>
    </row>
    <row r="602" spans="1:7" ht="51">
      <c r="A602" s="15"/>
      <c r="B602" s="16">
        <v>601</v>
      </c>
      <c r="C602" s="16" t="s">
        <v>2805</v>
      </c>
      <c r="D602" s="16" t="s">
        <v>7091</v>
      </c>
      <c r="E602" s="16" t="str">
        <f ca="1">IFERROR(__xludf.DUMMYFUNCTION("AI(""c컬럼의 단어를 활용해서 적절한 예문을 만들어줘. 한글 해석은 줄띄움 후에 작성해줘"")"),"The ability for signal-receivers to infer the eliciting cause of a vocalization is based on its spectro-temporal features.
신호 수신자가 발성 소리만 듣고 그 원인을 추론하는 능력은 해당 소리의 스펙트럼과 시간적 특징에 기초합니다.")</f>
        <v>The ability for signal-receivers to infer the eliciting cause of a vocalization is based on its spectro-temporal features.
신호 수신자가 발성 소리만 듣고 그 원인을 추론하는 능력은 해당 소리의 스펙트럼과 시간적 특징에 기초합니다.</v>
      </c>
      <c r="F602" s="16" t="s">
        <v>5763</v>
      </c>
      <c r="G602" s="16">
        <v>1</v>
      </c>
    </row>
    <row r="603" spans="1:7" ht="25.5">
      <c r="A603" s="15"/>
      <c r="B603" s="16">
        <v>602</v>
      </c>
      <c r="C603" s="16" t="s">
        <v>5764</v>
      </c>
      <c r="D603" s="16" t="s">
        <v>7092</v>
      </c>
      <c r="E603" s="16" t="str">
        <f ca="1">IFERROR(__xludf.DUMMYFUNCTION("AI(""c컬럼의 단어를 활용해서 적절한 예문을 만들어줘. 한글 해석은 줄띄움 후에 작성해줘"")"),"The company decided to lower the price of the smartphone to compensate for its inferior screen quality.
그 회사는 열등한 화면 품질을 상쇄하기 위해 스마트폰의 가격을 낮추기로 결정했습니다.")</f>
        <v>The company decided to lower the price of the smartphone to compensate for its inferior screen quality.
그 회사는 열등한 화면 품질을 상쇄하기 위해 스마트폰의 가격을 낮추기로 결정했습니다.</v>
      </c>
      <c r="F603" s="16" t="s">
        <v>5765</v>
      </c>
      <c r="G603" s="16">
        <v>1</v>
      </c>
    </row>
    <row r="604" spans="1:7" ht="51">
      <c r="A604" s="15"/>
      <c r="B604" s="16">
        <v>603</v>
      </c>
      <c r="C604" s="16" t="s">
        <v>5766</v>
      </c>
      <c r="D604" s="16" t="s">
        <v>7093</v>
      </c>
      <c r="E604" s="16" t="str">
        <f ca="1">IFERROR(__xludf.DUMMYFUNCTION("AI(""c컬럼의 단어를 활용해서 적절한 예문을 만들어줘. 한글 해석은 줄띄움 후에 작성해줘"")"),"Infrastructure is a critical enabler of long-term global economic growth, supporting prosperous societies and modern industries.
기반 시설은 현대 산업과 번영하는 사회를 뒷받침하며 장기적인 글로벌 경제 성장을 가능하게 하는 핵심 요소입니다.")</f>
        <v>Infrastructure is a critical enabler of long-term global economic growth, supporting prosperous societies and modern industries.
기반 시설은 현대 산업과 번영하는 사회를 뒷받침하며 장기적인 글로벌 경제 성장을 가능하게 하는 핵심 요소입니다.</v>
      </c>
      <c r="F604" s="16" t="s">
        <v>5767</v>
      </c>
      <c r="G604" s="16">
        <v>2</v>
      </c>
    </row>
    <row r="605" spans="1:7" ht="25.5">
      <c r="A605" s="15"/>
      <c r="B605" s="16">
        <v>604</v>
      </c>
      <c r="C605" s="16" t="s">
        <v>5768</v>
      </c>
      <c r="D605" s="16" t="s">
        <v>7094</v>
      </c>
      <c r="E605" s="16" t="str">
        <f ca="1">IFERROR(__xludf.DUMMYFUNCTION("AI(""c컬럼의 단어를 활용해서 적절한 예문을 만들어줘. 한글 해석은 줄띄움 후에 작성해줘"")"),"The science fair was infused with the excitement of students showcasing their creative experiments.
과학 박람회는 창의적인 실험을 선보이는 학생들의 흥분으로 가득 찼습니다.")</f>
        <v>The science fair was infused with the excitement of students showcasing their creative experiments.
과학 박람회는 창의적인 실험을 선보이는 학생들의 흥분으로 가득 찼습니다.</v>
      </c>
      <c r="F605" s="16" t="s">
        <v>5769</v>
      </c>
      <c r="G605" s="16">
        <v>1</v>
      </c>
    </row>
    <row r="606" spans="1:7" ht="25.5">
      <c r="A606" s="15"/>
      <c r="B606" s="16">
        <v>605</v>
      </c>
      <c r="C606" s="16" t="s">
        <v>5770</v>
      </c>
      <c r="D606" s="16" t="s">
        <v>7095</v>
      </c>
      <c r="E606" s="16" t="str">
        <f ca="1">IFERROR(__xludf.DUMMYFUNCTION("AI(""c컬럼의 단어를 활용해서 적절한 예문을 만들어줘. 한글 해석은 줄띄움 후에 작성해줘"")"),"Tristan da Cunha is one of the most isolated inhabited islands in the world.
트리스탄다쿠냐는 세계에서 가장 고립된 사람이 사는 섬 중 하나입니다.")</f>
        <v>Tristan da Cunha is one of the most isolated inhabited islands in the world.
트리스탄다쿠냐는 세계에서 가장 고립된 사람이 사는 섬 중 하나입니다.</v>
      </c>
      <c r="F606" s="16" t="s">
        <v>5771</v>
      </c>
      <c r="G606" s="16">
        <v>1</v>
      </c>
    </row>
    <row r="607" spans="1:7" ht="25.5">
      <c r="A607" s="15"/>
      <c r="B607" s="16">
        <v>606</v>
      </c>
      <c r="C607" s="16" t="s">
        <v>5772</v>
      </c>
      <c r="D607" s="16" t="s">
        <v>7096</v>
      </c>
      <c r="E607" s="16" t="str">
        <f ca="1">IFERROR(__xludf.DUMMYFUNCTION("AI(""c컬럼의 단어를 활용해서 적절한 예문을 만들어줘. 한글 해석은 줄띄움 후에 작성해줘"")"),"The company's new employee wellness initiative aims to improve overall productivity and morale.
회사의 새로운 직원 복지 계획은 전반적인 생산성과 사기를 향상시키는 것을 목표로 합니다.")</f>
        <v>The company's new employee wellness initiative aims to improve overall productivity and morale.
회사의 새로운 직원 복지 계획은 전반적인 생산성과 사기를 향상시키는 것을 목표로 합니다.</v>
      </c>
      <c r="F607" s="16" t="s">
        <v>5773</v>
      </c>
      <c r="G607" s="16">
        <v>1</v>
      </c>
    </row>
    <row r="608" spans="1:7" ht="51">
      <c r="A608" s="15"/>
      <c r="B608" s="16">
        <v>607</v>
      </c>
      <c r="C608" s="16" t="s">
        <v>5774</v>
      </c>
      <c r="D608" s="16" t="s">
        <v>7097</v>
      </c>
      <c r="E608" s="16" t="str">
        <f ca="1">IFERROR(__xludf.DUMMYFUNCTION("AI(""c컬럼의 단어를 활용해서 적절한 예문을 만들어줘. 한글 해석은 줄띄움 후에 작성해줘"")"),"The Inland Delta of the Niger River in Mali is a vast expanse of lakes, channels, and marshes that supports over 1 million people.
말리의 니제르강 내륙 삼각주는 100만 명 이상의 사람들을 부양하는 광활한 호수, 수로 및 습지 지역입니다.")</f>
        <v>The Inland Delta of the Niger River in Mali is a vast expanse of lakes, channels, and marshes that supports over 1 million people.
말리의 니제르강 내륙 삼각주는 100만 명 이상의 사람들을 부양하는 광활한 호수, 수로 및 습지 지역입니다.</v>
      </c>
      <c r="F608" s="16" t="s">
        <v>5775</v>
      </c>
      <c r="G608" s="16">
        <v>1</v>
      </c>
    </row>
    <row r="609" spans="1:7" ht="51">
      <c r="A609" s="15"/>
      <c r="B609" s="16">
        <v>608</v>
      </c>
      <c r="C609" s="16" t="s">
        <v>2850</v>
      </c>
      <c r="D609" s="16" t="s">
        <v>7098</v>
      </c>
      <c r="E609" s="16" t="str">
        <f ca="1">IFERROR(__xludf.DUMMYFUNCTION("AI(""c컬럼의 단어를 활용해서 적절한 예문을 만들어줘. 한글 해석은 줄띄움 후에 작성해줘"")"),"The committee's investigation into the aircraft crash involves a forensic audit to establish facts and uncover new information.
위원회의 항공기 추락 사고 조사는 사실 관계를 규명하고 새로운 정보를 밝혀내기 위한 법의학적 조사를 포함합니다.")</f>
        <v>The committee's investigation into the aircraft crash involves a forensic audit to establish facts and uncover new information.
위원회의 항공기 추락 사고 조사는 사실 관계를 규명하고 새로운 정보를 밝혀내기 위한 법의학적 조사를 포함합니다.</v>
      </c>
      <c r="F609" s="16" t="s">
        <v>5776</v>
      </c>
      <c r="G609" s="16">
        <v>1</v>
      </c>
    </row>
    <row r="610" spans="1:7" ht="51">
      <c r="A610" s="15"/>
      <c r="B610" s="16">
        <v>609</v>
      </c>
      <c r="C610" s="16" t="s">
        <v>5777</v>
      </c>
      <c r="D610" s="16" t="s">
        <v>7099</v>
      </c>
      <c r="E610" s="16" t="str">
        <f ca="1">IFERROR(__xludf.DUMMYFUNCTION("AI(""c컬럼의 단어를 활용해서 적절한 예문을 만들어줘. 한글 해석은 줄띄움 후에 작성해줘"")"),"Although your qualifications are impressive, we have decided to move forward with other candidates who have more relevant experience for this role.
당신의 자격 요건은 인상적이지만, 우리는 이 직무에 더 적합한 경험을 가진 다른 후보자들과 채용 절차를 진행하기로 결정했습니다.")</f>
        <v>Although your qualifications are impressive, we have decided to move forward with other candidates who have more relevant experience for this role.
당신의 자격 요건은 인상적이지만, 우리는 이 직무에 더 적합한 경험을 가진 다른 후보자들과 채용 절차를 진행하기로 결정했습니다.</v>
      </c>
      <c r="F610" s="16" t="s">
        <v>5778</v>
      </c>
      <c r="G610" s="16">
        <v>1</v>
      </c>
    </row>
    <row r="611" spans="1:7" ht="51">
      <c r="A611" s="15"/>
      <c r="B611" s="16">
        <v>610</v>
      </c>
      <c r="C611" s="16" t="s">
        <v>5779</v>
      </c>
      <c r="D611" s="16" t="s">
        <v>7100</v>
      </c>
      <c r="E611" s="16" t="str">
        <f ca="1">IFERROR(__xludf.DUMMYFUNCTION("AI(""c컬럼의 단어를 활용해서 적절한 예문을 만들어줘. 한글 해석은 줄띄움 후에 작성해줘"")"),"As a dielectric material, glass acts as an electrical insulator, meaning that electric charges do not flow through it as they do in conductors like metals.
유리는 유전체로서 전기 절연체 역할을 하며, 이는 전하가 금속과 같은 도체에서처럼 자유롭게 흐르지 않는다는 것을 의미합니다.")</f>
        <v>As a dielectric material, glass acts as an electrical insulator, meaning that electric charges do not flow through it as they do in conductors like metals.
유리는 유전체로서 전기 절연체 역할을 하며, 이는 전하가 금속과 같은 도체에서처럼 자유롭게 흐르지 않는다는 것을 의미합니다.</v>
      </c>
      <c r="F611" s="16" t="s">
        <v>5780</v>
      </c>
      <c r="G611" s="16">
        <v>1</v>
      </c>
    </row>
    <row r="612" spans="1:7" ht="25.5">
      <c r="A612" s="15"/>
      <c r="B612" s="16">
        <v>611</v>
      </c>
      <c r="C612" s="16" t="s">
        <v>5781</v>
      </c>
      <c r="D612" s="16" t="s">
        <v>7101</v>
      </c>
      <c r="E612" s="16" t="str">
        <f ca="1">IFERROR(__xludf.DUMMYFUNCTION("AI(""c컬럼의 단어를 활용해서 적절한 예문을 만들어줘. 한글 해석은 줄띄움 후에 작성해줘"")"),"Academic conversations serve as a vital tool for collaboration and intellectual development.
학술적 대화는 협력과 지적 발전을 위한 필수적인 도구 역할을 합니다.")</f>
        <v>Academic conversations serve as a vital tool for collaboration and intellectual development.
학술적 대화는 협력과 지적 발전을 위한 필수적인 도구 역할을 합니다.</v>
      </c>
      <c r="F612" s="16" t="s">
        <v>5782</v>
      </c>
      <c r="G612" s="16">
        <v>1</v>
      </c>
    </row>
    <row r="613" spans="1:7" ht="38.25">
      <c r="A613" s="15"/>
      <c r="B613" s="16">
        <v>612</v>
      </c>
      <c r="C613" s="16" t="s">
        <v>5783</v>
      </c>
      <c r="D613" s="16" t="s">
        <v>7102</v>
      </c>
      <c r="E613" s="16" t="str">
        <f ca="1">IFERROR(__xludf.DUMMYFUNCTION("AI(""c컬럼의 단어를 활용해서 적절한 예문을 만들어줘. 한글 해석은 줄띄움 후에 작성해줘"")"),"The constant noise from the construction site near my office began to interfere with my concentration during meetings.
제 사무실 근처의 공사장에서 발생하는 지속적인 소음이 회의 중 저의 집중을 방해하기 시작했습니다.")</f>
        <v>The constant noise from the construction site near my office began to interfere with my concentration during meetings.
제 사무실 근처의 공사장에서 발생하는 지속적인 소음이 회의 중 저의 집중을 방해하기 시작했습니다.</v>
      </c>
      <c r="F613" s="16" t="s">
        <v>5784</v>
      </c>
      <c r="G613" s="16">
        <v>1</v>
      </c>
    </row>
    <row r="614" spans="1:7" ht="38.25">
      <c r="A614" s="15"/>
      <c r="B614" s="16">
        <v>613</v>
      </c>
      <c r="C614" s="16" t="s">
        <v>5785</v>
      </c>
      <c r="D614" s="16" t="s">
        <v>7103</v>
      </c>
      <c r="E614" s="16" t="str">
        <f ca="1">IFERROR(__xludf.DUMMYFUNCTION("AI(""c컬럼의 단어를 활용해서 적절한 예문을 만들어줘. 한글 해석은 줄띄움 후에 작성해줘"")"),"This means that state legislatures enjoy a freedom from federal controls and Supreme Court interference.
이것은 주 의회가 연방의 통제와 대법원의 간섭으로부터 자유를 누린다는 것을 의미합니다.")</f>
        <v>This means that state legislatures enjoy a freedom from federal controls and Supreme Court interference.
이것은 주 의회가 연방의 통제와 대법원의 간섭으로부터 자유를 누린다는 것을 의미합니다.</v>
      </c>
      <c r="F614" s="16" t="s">
        <v>5786</v>
      </c>
      <c r="G614" s="16">
        <v>1</v>
      </c>
    </row>
    <row r="615" spans="1:7" ht="25.5">
      <c r="A615" s="15"/>
      <c r="B615" s="16">
        <v>614</v>
      </c>
      <c r="C615" s="16" t="s">
        <v>5787</v>
      </c>
      <c r="D615" s="16" t="s">
        <v>7104</v>
      </c>
      <c r="E615" s="16" t="str">
        <f ca="1">IFERROR(__xludf.DUMMYFUNCTION("AI(""c컬럼의 단어를 활용해서 적절한 예문을 만들어줘. 한글 해석은 줄띄움 후에 작성해줘"")"),"Being a good listener is a key part of having a keen sense of empathy towards your friends.
뛰어난 공감 능력을 갖추는 것의 핵심적인 부분은 친구들의 말을 잘 들어주는 것입니다.")</f>
        <v>Being a good listener is a key part of having a keen sense of empathy towards your friends.
뛰어난 공감 능력을 갖추는 것의 핵심적인 부분은 친구들의 말을 잘 들어주는 것입니다.</v>
      </c>
      <c r="F615" s="16" t="s">
        <v>5788</v>
      </c>
      <c r="G615" s="16">
        <v>1</v>
      </c>
    </row>
    <row r="616" spans="1:7" ht="38.25">
      <c r="A616" s="15"/>
      <c r="B616" s="16">
        <v>615</v>
      </c>
      <c r="C616" s="16" t="s">
        <v>5789</v>
      </c>
      <c r="D616" s="16" t="s">
        <v>7105</v>
      </c>
      <c r="E616" s="16" t="str">
        <f ca="1">IFERROR(__xludf.DUMMYFUNCTION("AI(""c컬럼의 단어를 활용해서 적절한 예문을 만들어줘. 한글 해석은 줄띄움 후에 작성해줘"")"),"The testimony of the expert witness was found to lack credibility because it was based on insufficient data.
그 전문가 증인의 증언은 불충분한 데이터에 근거했기 때문에 신뢰성이 부족한 것으로 판명되었습니다.")</f>
        <v>The testimony of the expert witness was found to lack credibility because it was based on insufficient data.
그 전문가 증인의 증언은 불충분한 데이터에 근거했기 때문에 신뢰성이 부족한 것으로 판명되었습니다.</v>
      </c>
      <c r="F616" s="16" t="s">
        <v>5790</v>
      </c>
      <c r="G616" s="16">
        <v>1</v>
      </c>
    </row>
    <row r="617" spans="1:7" ht="25.5">
      <c r="A617" s="15"/>
      <c r="B617" s="16">
        <v>616</v>
      </c>
      <c r="C617" s="16" t="s">
        <v>5791</v>
      </c>
      <c r="D617" s="16" t="s">
        <v>7106</v>
      </c>
      <c r="E617" s="16" t="str">
        <f ca="1">IFERROR(__xludf.DUMMYFUNCTION("AI(""c컬럼의 단어를 활용해서 적절한 예문을 만들어줘. 한글 해석은 줄띄움 후에 작성해줘"")"),"Efforts to turn a former landfill site into a regional park received a boost in the form of a state grant.
이전 매립지 부지를 지역 공원으로 바꾸려는 노력은 주정부 보조금의 형태로 탄력을 받았습니다.")</f>
        <v>Efforts to turn a former landfill site into a regional park received a boost in the form of a state grant.
이전 매립지 부지를 지역 공원으로 바꾸려는 노력은 주정부 보조금의 형태로 탄력을 받았습니다.</v>
      </c>
      <c r="F617" s="16" t="s">
        <v>5792</v>
      </c>
      <c r="G617" s="16">
        <v>1</v>
      </c>
    </row>
    <row r="618" spans="1:7" ht="25.5">
      <c r="A618" s="15"/>
      <c r="B618" s="16">
        <v>617</v>
      </c>
      <c r="C618" s="16" t="s">
        <v>5793</v>
      </c>
      <c r="D618" s="16" t="s">
        <v>7107</v>
      </c>
      <c r="E618" s="16" t="str">
        <f ca="1">IFERROR(__xludf.DUMMYFUNCTION("AI(""c컬럼의 단어를 활용해서 적절한 예문을 만들어줘. 한글 해석은 줄띄움 후에 작성해줘"")"),"Antarctica is a vast, ice-covered landmass surrounded by the Southern Ocean.
남극은 남극해로 둘러싸인 거대한 얼음으로 덮인 대륙 덩어리입니다.")</f>
        <v>Antarctica is a vast, ice-covered landmass surrounded by the Southern Ocean.
남극은 남극해로 둘러싸인 거대한 얼음으로 덮인 대륙 덩어리입니다.</v>
      </c>
      <c r="F618" s="16" t="s">
        <v>5794</v>
      </c>
      <c r="G618" s="16">
        <v>1</v>
      </c>
    </row>
    <row r="619" spans="1:7" ht="51">
      <c r="A619" s="15"/>
      <c r="B619" s="16">
        <v>618</v>
      </c>
      <c r="C619" s="16" t="s">
        <v>5795</v>
      </c>
      <c r="D619" s="16" t="s">
        <v>7108</v>
      </c>
      <c r="E619" s="16" t="str">
        <f ca="1">IFERROR(__xludf.DUMMYFUNCTION("AI(""c컬럼의 단어를 활용해서 적절한 예문을 만들어줘. 한글 해석은 줄띄움 후에 작성해줘"")"),"If you want to use your smartphone all day without a charger, the Samsung Galaxy S26+ is a more rational choice due to its large-capacity battery.
스마트폰을 하루 종일 휴대하며 충전기 없이 사용하고 싶다면, 대용량의 배터리를 갖춘 삼성 갤럭시 S26+가 더 합리적인 선택입니다.")</f>
        <v>If you want to use your smartphone all day without a charger, the Samsung Galaxy S26+ is a more rational choice due to its large-capacity battery.
스마트폰을 하루 종일 휴대하며 충전기 없이 사용하고 싶다면, 대용량의 배터리를 갖춘 삼성 갤럭시 S26+가 더 합리적인 선택입니다.</v>
      </c>
      <c r="F619" s="16" t="s">
        <v>5796</v>
      </c>
      <c r="G619" s="16">
        <v>1</v>
      </c>
    </row>
    <row r="620" spans="1:7" ht="25.5">
      <c r="A620" s="15"/>
      <c r="B620" s="16">
        <v>619</v>
      </c>
      <c r="C620" s="16" t="s">
        <v>5797</v>
      </c>
      <c r="D620" s="16" t="s">
        <v>7109</v>
      </c>
      <c r="E620" s="16" t="str">
        <f ca="1">IFERROR(__xludf.DUMMYFUNCTION("AI(""c컬럼의 단어를 활용해서 적절한 예문을 만들어줘. 한글 해석은 줄띄움 후에 작성해줘"")"),"Toxic chemical spills can be lethal to fish and other aquatic life in rivers and lakes.
독성 화학물질 유출은 강과 호수의 물고기 및 기타 수중 생물에게 치명적일 수 있습니다.")</f>
        <v>Toxic chemical spills can be lethal to fish and other aquatic life in rivers and lakes.
독성 화학물질 유출은 강과 호수의 물고기 및 기타 수중 생물에게 치명적일 수 있습니다.</v>
      </c>
      <c r="F620" s="16" t="s">
        <v>5798</v>
      </c>
      <c r="G620" s="16">
        <v>1</v>
      </c>
    </row>
    <row r="621" spans="1:7" ht="25.5">
      <c r="A621" s="15"/>
      <c r="B621" s="16">
        <v>620</v>
      </c>
      <c r="C621" s="16" t="s">
        <v>5799</v>
      </c>
      <c r="D621" s="16" t="s">
        <v>7110</v>
      </c>
      <c r="E621" s="16" t="str">
        <f ca="1">IFERROR(__xludf.DUMMYFUNCTION("AI(""c컬럼의 단어를 활용해서 적절한 예문을 만들어줘. 한글 해석은 줄띄움 후에 작성해줘"")"),"Early diagnosis is crucial for managing a life-threatening disease and improving survival rates.
조기 진단은 생명을 위협하는 질병을 관리하고 생존율을 높이는 데 매우 중요합니다.")</f>
        <v>Early diagnosis is crucial for managing a life-threatening disease and improving survival rates.
조기 진단은 생명을 위협하는 질병을 관리하고 생존율을 높이는 데 매우 중요합니다.</v>
      </c>
      <c r="F621" s="16" t="s">
        <v>5800</v>
      </c>
      <c r="G621" s="16">
        <v>1</v>
      </c>
    </row>
    <row r="622" spans="1:7" ht="51">
      <c r="A622" s="15"/>
      <c r="B622" s="16">
        <v>621</v>
      </c>
      <c r="C622" s="16" t="s">
        <v>5801</v>
      </c>
      <c r="D622" s="16" t="s">
        <v>7111</v>
      </c>
      <c r="E622" s="16" t="str">
        <f ca="1">IFERROR(__xludf.DUMMYFUNCTION("AI(""c컬럼의 단어를 활용해서 적절한 예문을 만들어줘. 한글 해석은 줄띄움 후에 작성해줘"")"),"The expansion of urban areas has brought with it the issue of light pollution, which not only disrupts ecosystems but also poses a serious threat to wildlife and human health.
도시 지역의 확장은 생태계를 교란할 뿐만 아니라 야생 동물과 인간의 건강에 심각한 위협이 되는 빛 공해 문제를 야기했습니다.")</f>
        <v>The expansion of urban areas has brought with it the issue of light pollution, which not only disrupts ecosystems but also poses a serious threat to wildlife and human health.
도시 지역의 확장은 생태계를 교란할 뿐만 아니라 야생 동물과 인간의 건강에 심각한 위협이 되는 빛 공해 문제를 야기했습니다.</v>
      </c>
      <c r="F622" s="16" t="s">
        <v>5802</v>
      </c>
      <c r="G622" s="16">
        <v>1</v>
      </c>
    </row>
    <row r="623" spans="1:7" ht="51">
      <c r="A623" s="15"/>
      <c r="B623" s="16">
        <v>622</v>
      </c>
      <c r="C623" s="16" t="s">
        <v>5803</v>
      </c>
      <c r="D623" s="16" t="s">
        <v>7112</v>
      </c>
      <c r="E623" s="16" t="str">
        <f ca="1">IFERROR(__xludf.DUMMYFUNCTION("AI(""c컬럼의 단어를 활용해서 적절한 예문을 만들어줘. 한글 해석은 줄띄움 후에 작성해줘"")"),"Building your financial literacy helps you create a secure future, avoid financial pitfalls, and achieve your financial goals.
금융 이해력을 쌓는 것은 안전한 미래를 만들고, 재정적 위험을 피하며, 재무 목표를 달성하는 데 도움이 됩니다.")</f>
        <v>Building your financial literacy helps you create a secure future, avoid financial pitfalls, and achieve your financial goals.
금융 이해력을 쌓는 것은 안전한 미래를 만들고, 재정적 위험을 피하며, 재무 목표를 달성하는 데 도움이 됩니다.</v>
      </c>
      <c r="F623" s="16" t="s">
        <v>5804</v>
      </c>
      <c r="G623" s="16">
        <v>1</v>
      </c>
    </row>
    <row r="624" spans="1:7" ht="25.5">
      <c r="A624" s="15"/>
      <c r="B624" s="16">
        <v>623</v>
      </c>
      <c r="C624" s="16" t="s">
        <v>5805</v>
      </c>
      <c r="D624" s="16" t="s">
        <v>7113</v>
      </c>
      <c r="E624" s="16" t="str">
        <f ca="1">IFERROR(__xludf.DUMMYFUNCTION("AI(""c컬럼의 단어를 활용해서 적절한 예문을 만들어줘. 한글 해석은 줄띄움 후에 작성해줘"")"),"The dog gave birth to a healthy litter of five puppies.
그 개는 다섯 마리의 건강한 한배 새끼를 낳았습니다.")</f>
        <v>The dog gave birth to a healthy litter of five puppies.
그 개는 다섯 마리의 건강한 한배 새끼를 낳았습니다.</v>
      </c>
      <c r="F624" s="16" t="s">
        <v>5806</v>
      </c>
      <c r="G624" s="16">
        <v>1</v>
      </c>
    </row>
    <row r="625" spans="1:7" ht="51">
      <c r="A625" s="15"/>
      <c r="B625" s="16">
        <v>624</v>
      </c>
      <c r="C625" s="16" t="s">
        <v>5807</v>
      </c>
      <c r="D625" s="16" t="s">
        <v>7114</v>
      </c>
      <c r="E625" s="16" t="str">
        <f ca="1">IFERROR(__xludf.DUMMYFUNCTION("AI(""c컬럼의 단어를 활용해서 적절한 예문을 만들어줘. 한글 해석은 줄띄움 후에 작성해줘"")"),"Sticking to a budget is the most impactful way to live within your means and gain control over your financial life.
예산을 지키는 것은 수입 범위 내에서 살고 재정적 삶을 통제하기 위해 할 수 있는 가장 영향력 있는 방법입니다.")</f>
        <v>Sticking to a budget is the most impactful way to live within your means and gain control over your financial life.
예산을 지키는 것은 수입 범위 내에서 살고 재정적 삶을 통제하기 위해 할 수 있는 가장 영향력 있는 방법입니다.</v>
      </c>
      <c r="F625" s="16" t="s">
        <v>5808</v>
      </c>
      <c r="G625" s="16">
        <v>1</v>
      </c>
    </row>
    <row r="626" spans="1:7" ht="38.25">
      <c r="A626" s="15"/>
      <c r="B626" s="16">
        <v>625</v>
      </c>
      <c r="C626" s="16" t="s">
        <v>5809</v>
      </c>
      <c r="D626" s="16" t="s">
        <v>7115</v>
      </c>
      <c r="E626" s="16" t="str">
        <f ca="1">IFERROR(__xludf.DUMMYFUNCTION("AI(""c컬럼의 단어를 활용해서 적절한 예문을 만들어줘. 한글 해석은 줄띄움 후에 작성해줘"")"),"The fewest number of rules possible should be established to maintain discipline and focus in the classroom.
교실 내에서 규율과 집중력을 유지하기 위해 가능한 가장 적은 수의 규칙을 세워야 합니다.")</f>
        <v>The fewest number of rules possible should be established to maintain discipline and focus in the classroom.
교실 내에서 규율과 집중력을 유지하기 위해 가능한 가장 적은 수의 규칙을 세워야 합니다.</v>
      </c>
      <c r="F626" s="16" t="s">
        <v>5810</v>
      </c>
      <c r="G626" s="16">
        <v>1</v>
      </c>
    </row>
    <row r="627" spans="1:7" ht="25.5">
      <c r="A627" s="15"/>
      <c r="B627" s="16">
        <v>626</v>
      </c>
      <c r="C627" s="16" t="s">
        <v>5811</v>
      </c>
      <c r="D627" s="16" t="s">
        <v>7116</v>
      </c>
      <c r="E627" s="16" t="str">
        <f ca="1">IFERROR(__xludf.DUMMYFUNCTION("AI(""c컬럼의 단어를 활용해서 적절한 예문을 만들어줘. 한글 해석은 줄띄움 후에 작성해줘"")"),"The young couple had to work two jobs just to make ends meet and pay their monthly rent.
그 젊은 부부는 매달 월세를 내고 근근이 먹고살기 위해 두 가지 일을 해야만 했습니다.")</f>
        <v>The young couple had to work two jobs just to make ends meet and pay their monthly rent.
그 젊은 부부는 매달 월세를 내고 근근이 먹고살기 위해 두 가지 일을 해야만 했습니다.</v>
      </c>
      <c r="F627" s="16" t="s">
        <v>5812</v>
      </c>
      <c r="G627" s="16">
        <v>1</v>
      </c>
    </row>
    <row r="628" spans="1:7" ht="25.5">
      <c r="A628" s="15"/>
      <c r="B628" s="16">
        <v>627</v>
      </c>
      <c r="C628" s="16" t="s">
        <v>5813</v>
      </c>
      <c r="D628" s="16" t="s">
        <v>7117</v>
      </c>
      <c r="E628" s="16" t="str">
        <f ca="1">IFERROR(__xludf.DUMMYFUNCTION("AI(""c컬럼의 단어를 활용해서 적절한 예문을 만들어줘. 한글 해석은 줄띄움 후에 작성해줘"")"),"We need to declutter the warehouse and remove old stock to make room for new inventory.
우리는 새로운 재고를 위한 공간을 마련하기 위해 창고를 정리하고 오래된 재고를 제거해야 합니다.")</f>
        <v>We need to declutter the warehouse and remove old stock to make room for new inventory.
우리는 새로운 재고를 위한 공간을 마련하기 위해 창고를 정리하고 오래된 재고를 제거해야 합니다.</v>
      </c>
      <c r="F628" s="16" t="s">
        <v>5814</v>
      </c>
      <c r="G628" s="16">
        <v>1</v>
      </c>
    </row>
    <row r="629" spans="1:7" ht="25.5">
      <c r="A629" s="15"/>
      <c r="B629" s="16">
        <v>628</v>
      </c>
      <c r="C629" s="16" t="s">
        <v>5815</v>
      </c>
      <c r="D629" s="16" t="s">
        <v>7118</v>
      </c>
      <c r="E629" s="16" t="str">
        <f ca="1">IFERROR(__xludf.DUMMYFUNCTION("AI(""c컬럼의 단어를 활용해서 적절한 예문을 만들어줘. 한글 해석은 줄띄움 후에 작성해줘"")"),"The historic buildings were demolished to make way for a modern waterfront park.
역사적인 건물들이 현대적인 수변 공원을 위해 자리를 내주며 철거되었습니다.")</f>
        <v>The historic buildings were demolished to make way for a modern waterfront park.
역사적인 건물들이 현대적인 수변 공원을 위해 자리를 내주며 철거되었습니다.</v>
      </c>
      <c r="F629" s="16" t="s">
        <v>5816</v>
      </c>
      <c r="G629" s="16">
        <v>1</v>
      </c>
    </row>
    <row r="630" spans="1:7" ht="51">
      <c r="A630" s="15"/>
      <c r="B630" s="16">
        <v>629</v>
      </c>
      <c r="C630" s="16" t="s">
        <v>5817</v>
      </c>
      <c r="D630" s="16" t="s">
        <v>7119</v>
      </c>
      <c r="E630" s="16" t="str">
        <f ca="1">IFERROR(__xludf.DUMMYFUNCTION("AI(""c컬럼의 단어를 활용해서 적절한 예문을 만들어줘. 한글 해석은 줄띄움 후에 작성해줘"")"),"Engineering remains a male-dominated field, with women making up only about 16 percent of the workforce in 2023.
공학은 2023년 기준으로 여성이 전체 인력의 약 16%만을 차지하는 남성이 지배적인 분야로 남아 있습니다.")</f>
        <v>Engineering remains a male-dominated field, with women making up only about 16 percent of the workforce in 2023.
공학은 2023년 기준으로 여성이 전체 인력의 약 16%만을 차지하는 남성이 지배적인 분야로 남아 있습니다.</v>
      </c>
      <c r="F630" s="16" t="s">
        <v>5818</v>
      </c>
      <c r="G630" s="16">
        <v>1</v>
      </c>
    </row>
    <row r="631" spans="1:7" ht="51">
      <c r="A631" s="15"/>
      <c r="B631" s="16">
        <v>630</v>
      </c>
      <c r="C631" s="16" t="s">
        <v>5819</v>
      </c>
      <c r="D631" s="16" t="s">
        <v>7120</v>
      </c>
      <c r="E631" s="16" t="str">
        <f ca="1">IFERROR(__xludf.DUMMYFUNCTION("AI(""c컬럼의 단어를 활용해서 적절한 예문을 만들어줘. 한글 해석은 줄띄움 후에 작성해줘"")"),"The surgeon had to abandon the robotic procedure and switch to manual surgery because the instrument began to malfunction.
수술 도구에 오작동이 발생하기 시작하자 외과의사는 로봇 수술을 중단하고 수동 수술로 전환해야 했습니다.")</f>
        <v>The surgeon had to abandon the robotic procedure and switch to manual surgery because the instrument began to malfunction.
수술 도구에 오작동이 발생하기 시작하자 외과의사는 로봇 수술을 중단하고 수동 수술로 전환해야 했습니다.</v>
      </c>
      <c r="F631" s="16" t="s">
        <v>5820</v>
      </c>
      <c r="G631" s="16">
        <v>1</v>
      </c>
    </row>
    <row r="632" spans="1:7" ht="51">
      <c r="A632" s="15"/>
      <c r="B632" s="16">
        <v>631</v>
      </c>
      <c r="C632" s="16" t="s">
        <v>5821</v>
      </c>
      <c r="D632" s="16" t="s">
        <v>7121</v>
      </c>
      <c r="E632" s="16" t="str">
        <f ca="1">IFERROR(__xludf.DUMMYFUNCTION("AI(""c컬럼의 단어를 활용해서 적절한 예문을 만들어줘. 한글 해석은 줄띄움 후에 작성해줘"")"),"Security teams are developing new tools to detect and remove malware that can drain energy or siphon sensitive data from employee devices.
보안 팀은 직원의 기기에서 에너지를 고갈시키거나 민감한 데이터를 흡수할 수 있는 악성 소프트웨어를 탐지하고 제거하기 위한 새로운 도구를 개발하고 있습니다.")</f>
        <v>Security teams are developing new tools to detect and remove malware that can drain energy or siphon sensitive data from employee devices.
보안 팀은 직원의 기기에서 에너지를 고갈시키거나 민감한 데이터를 흡수할 수 있는 악성 소프트웨어를 탐지하고 제거하기 위한 새로운 도구를 개발하고 있습니다.</v>
      </c>
      <c r="F632" s="16" t="s">
        <v>5822</v>
      </c>
      <c r="G632" s="16">
        <v>1</v>
      </c>
    </row>
    <row r="633" spans="1:7" ht="51">
      <c r="A633" s="15"/>
      <c r="B633" s="16">
        <v>632</v>
      </c>
      <c r="C633" s="16" t="s">
        <v>3021</v>
      </c>
      <c r="D633" s="16" t="s">
        <v>7122</v>
      </c>
      <c r="E633" s="16" t="str">
        <f ca="1">IFERROR(__xludf.DUMMYFUNCTION("AI(""c컬럼의 단어를 활용해서 적절한 예문을 만들어줘. 한글 해석은 줄띄움 후에 작성해줘"")"),"The government implemented a law to mandate seat belt use for all passengers in the vehicle to improve road safety.
정부는 도로 안전을 개선하기 위해 차량 내 모든 승객의 안전벨트 착용을 의무화하는 법을 시행했습니다.")</f>
        <v>The government implemented a law to mandate seat belt use for all passengers in the vehicle to improve road safety.
정부는 도로 안전을 개선하기 위해 차량 내 모든 승객의 안전벨트 착용을 의무화하는 법을 시행했습니다.</v>
      </c>
      <c r="F633" s="16" t="s">
        <v>5823</v>
      </c>
      <c r="G633" s="16">
        <v>1</v>
      </c>
    </row>
    <row r="634" spans="1:7" ht="25.5">
      <c r="A634" s="15"/>
      <c r="B634" s="16">
        <v>633</v>
      </c>
      <c r="C634" s="16" t="s">
        <v>5824</v>
      </c>
      <c r="D634" s="16" t="s">
        <v>7123</v>
      </c>
      <c r="E634" s="16" t="str">
        <f ca="1">IFERROR(__xludf.DUMMYFUNCTION("AI(""c컬럼의 단어를 활용해서 적절한 예문을 만들어줘. 한글 해석은 줄띄움 후에 작성해줘"")"),"It is 2021 and your firm is considering expanding its operations by building a new manufacturing facility.
2021년 현재 귀사는 새로운 생산 시설을 건설하여 운영을 확장하는 것을 고려하고 있습니다.")</f>
        <v>It is 2021 and your firm is considering expanding its operations by building a new manufacturing facility.
2021년 현재 귀사는 새로운 생산 시설을 건설하여 운영을 확장하는 것을 고려하고 있습니다.</v>
      </c>
      <c r="F634" s="16" t="s">
        <v>5825</v>
      </c>
      <c r="G634" s="16">
        <v>1</v>
      </c>
    </row>
    <row r="635" spans="1:7" ht="63.75">
      <c r="A635" s="15"/>
      <c r="B635" s="16">
        <v>634</v>
      </c>
      <c r="C635" s="16" t="s">
        <v>5826</v>
      </c>
      <c r="D635" s="16" t="s">
        <v>7124</v>
      </c>
      <c r="E635" s="16" t="str">
        <f ca="1">IFERROR(__xludf.DUMMYFUNCTION("AI(""c컬럼의 단어를 활용해서 적절한 예문을 만들어줘. 한글 해석은 줄띄움 후에 작성해줘"")"),"California law prohibits employers from asking about a job applicant's marital status during the hiring process.
In some countries, it is illegal for a prospective employer to inquire about your marital status as it is considered discriminatory.")</f>
        <v>California law prohibits employers from asking about a job applicant's marital status during the hiring process.
In some countries, it is illegal for a prospective employer to inquire about your marital status as it is considered discriminatory.</v>
      </c>
      <c r="F635" s="16" t="s">
        <v>5827</v>
      </c>
      <c r="G635" s="16">
        <v>1</v>
      </c>
    </row>
    <row r="636" spans="1:7" ht="38.25">
      <c r="A636" s="15"/>
      <c r="B636" s="16">
        <v>635</v>
      </c>
      <c r="C636" s="16" t="s">
        <v>5828</v>
      </c>
      <c r="D636" s="16" t="s">
        <v>7125</v>
      </c>
      <c r="E636" s="16" t="str">
        <f ca="1">IFERROR(__xludf.DUMMYFUNCTION("AI(""c컬럼의 단어를 활용해서 적절한 예문을 만들어줘. 한글 해석은 줄띄움 후에 작성해줘"")"),"The transition back to work after maternity leave is a significant milestone that requires patience and support.
출산 휴가 후 직장으로 복귀하는 것은 인내와 지원이 필요한 중요한 전환점입니다.")</f>
        <v>The transition back to work after maternity leave is a significant milestone that requires patience and support.
출산 휴가 후 직장으로 복귀하는 것은 인내와 지원이 필요한 중요한 전환점입니다.</v>
      </c>
      <c r="F636" s="16" t="s">
        <v>5829</v>
      </c>
      <c r="G636" s="16">
        <v>1</v>
      </c>
    </row>
    <row r="637" spans="1:7" ht="38.25">
      <c r="A637" s="15"/>
      <c r="B637" s="16">
        <v>636</v>
      </c>
      <c r="C637" s="16" t="s">
        <v>5830</v>
      </c>
      <c r="D637" s="16" t="s">
        <v>7126</v>
      </c>
      <c r="E637" s="16" t="str">
        <f ca="1">IFERROR(__xludf.DUMMYFUNCTION("AI(""c컬럼의 단어를 활용해서 적절한 예문을 만들어줘. 한글 해석은 줄띄움 후에 작성해줘"")"),"Businesses must continuously adapt to market changes to maximize their long-term profits and sustainability.
기업들은 장기적인 이익과 지속 가능성을 극대화하기 위해 시장 변화에 지속적으로 적응해야 합니다.")</f>
        <v>Businesses must continuously adapt to market changes to maximize their long-term profits and sustainability.
기업들은 장기적인 이익과 지속 가능성을 극대화하기 위해 시장 변화에 지속적으로 적응해야 합니다.</v>
      </c>
      <c r="F637" s="16" t="s">
        <v>5831</v>
      </c>
      <c r="G637" s="16">
        <v>1</v>
      </c>
    </row>
    <row r="638" spans="1:7" ht="51">
      <c r="A638" s="15"/>
      <c r="B638" s="16">
        <v>637</v>
      </c>
      <c r="C638" s="16" t="s">
        <v>5832</v>
      </c>
      <c r="D638" s="16" t="s">
        <v>7127</v>
      </c>
      <c r="E638" s="16" t="str">
        <f ca="1">IFERROR(__xludf.DUMMYFUNCTION("AI(""c컬럼의 단어를 활용해서 적절한 예문을 만들어줘. 한글 해석은 줄띄움 후에 작성해줘"")"),"The rise of the merchant class during the Renaissance played a pivotal role in shifting the economy from feudalism to early capitalism.
르네상스 시대 상인 계급의 부상은 경제 체제를 봉건주의에서 초기 자본주의로 전환하는 데 중추적인 역할을 했습니다.")</f>
        <v>The rise of the merchant class during the Renaissance played a pivotal role in shifting the economy from feudalism to early capitalism.
르네상스 시대 상인 계급의 부상은 경제 체제를 봉건주의에서 초기 자본주의로 전환하는 데 중추적인 역할을 했습니다.</v>
      </c>
      <c r="F638" s="16" t="s">
        <v>5833</v>
      </c>
      <c r="G638" s="16">
        <v>1</v>
      </c>
    </row>
    <row r="639" spans="1:7" ht="38.25">
      <c r="A639" s="15"/>
      <c r="B639" s="16">
        <v>638</v>
      </c>
      <c r="C639" s="16" t="s">
        <v>5834</v>
      </c>
      <c r="D639" s="16" t="s">
        <v>7128</v>
      </c>
      <c r="E639" s="16" t="str">
        <f ca="1">IFERROR(__xludf.DUMMYFUNCTION("AI(""c컬럼의 단어를 활용해서 적절한 예문을 만들어줘. 한글 해석은 줄띄움 후에 작성해줘"")"),"The Mayflower was a famous English merchant vessel that transported pilgrims to the New World in 1620.
메이플라워호는 1620년에 순례자들을 신대륙으로 실어 나른 유명한 영국의 상선이었습니다.")</f>
        <v>The Mayflower was a famous English merchant vessel that transported pilgrims to the New World in 1620.
메이플라워호는 1620년에 순례자들을 신대륙으로 실어 나른 유명한 영국의 상선이었습니다.</v>
      </c>
      <c r="F639" s="16" t="s">
        <v>5835</v>
      </c>
      <c r="G639" s="16">
        <v>1</v>
      </c>
    </row>
    <row r="640" spans="1:7" ht="38.25">
      <c r="A640" s="15"/>
      <c r="B640" s="16">
        <v>639</v>
      </c>
      <c r="C640" s="16" t="s">
        <v>5836</v>
      </c>
      <c r="D640" s="16" t="s">
        <v>7129</v>
      </c>
      <c r="E640" s="16" t="str">
        <f ca="1">IFERROR(__xludf.DUMMYFUNCTION("AI(""c컬럼의 단어를 활용해서 적절한 예문을 만들어줘. 한글 해석은 줄띄움 후에 작성해줘"")"),"Increasing your muscle mass through regular strength training is a well-known way to boost your resting metabolic rate.
정기적인 근력 운동을 통해 근육량을 늘리는 것은 휴식 대사율을 높이는 잘 알려진 방법입니다.")</f>
        <v>Increasing your muscle mass through regular strength training is a well-known way to boost your resting metabolic rate.
정기적인 근력 운동을 통해 근육량을 늘리는 것은 휴식 대사율을 높이는 잘 알려진 방법입니다.</v>
      </c>
      <c r="F640" s="16" t="s">
        <v>5837</v>
      </c>
      <c r="G640" s="16">
        <v>1</v>
      </c>
    </row>
    <row r="641" spans="1:7" ht="38.25">
      <c r="A641" s="15"/>
      <c r="B641" s="16">
        <v>640</v>
      </c>
      <c r="C641" s="16" t="s">
        <v>5838</v>
      </c>
      <c r="D641" s="16" t="s">
        <v>7130</v>
      </c>
      <c r="E641" s="16" t="str">
        <f ca="1">IFERROR(__xludf.DUMMYFUNCTION("AI(""c컬럼의 단어를 활용해서 적절한 예문을 만들어줘. 한글 해석은 줄띄움 후에 작성해줘"")"),"The U.S. Mint plans to mint special commemorative coins in 2026 to celebrate the 250th anniversary of the nation's founding.
미 조폐국은 2026년 국가 창설 250주년을 기념하기 위해 특별 기념주화를 주조할 계획입니다.")</f>
        <v>The U.S. Mint plans to mint special commemorative coins in 2026 to celebrate the 250th anniversary of the nation's founding.
미 조폐국은 2026년 국가 창설 250주년을 기념하기 위해 특별 기념주화를 주조할 계획입니다.</v>
      </c>
      <c r="F641" s="16" t="s">
        <v>5839</v>
      </c>
      <c r="G641" s="16">
        <v>1</v>
      </c>
    </row>
    <row r="642" spans="1:7" ht="25.5">
      <c r="A642" s="15"/>
      <c r="B642" s="16">
        <v>641</v>
      </c>
      <c r="C642" s="16" t="s">
        <v>5840</v>
      </c>
      <c r="D642" s="16" t="s">
        <v>7131</v>
      </c>
      <c r="E642" s="16" t="str">
        <f ca="1">IFERROR(__xludf.DUMMYFUNCTION("AI(""c컬럼의 단어를 활용해서 적절한 예문을 만들어줘. 한글 해석은 줄띄움 후에 작성해줘"")"),"A mint condition copy of a rare comic book can be worth hundreds of thousands of dollars.
희귀한 만화책의 최상급 상태 본은 수십만 달러의 가치가 있을 수 있습니다.")</f>
        <v>A mint condition copy of a rare comic book can be worth hundreds of thousands of dollars.
희귀한 만화책의 최상급 상태 본은 수십만 달러의 가치가 있을 수 있습니다.</v>
      </c>
      <c r="F642" s="16" t="s">
        <v>5841</v>
      </c>
      <c r="G642" s="16">
        <v>1</v>
      </c>
    </row>
    <row r="643" spans="1:7" ht="51">
      <c r="A643" s="15"/>
      <c r="B643" s="16">
        <v>642</v>
      </c>
      <c r="C643" s="16" t="s">
        <v>5842</v>
      </c>
      <c r="D643" s="16" t="s">
        <v>7132</v>
      </c>
      <c r="E643" s="16" t="str">
        <f ca="1">IFERROR(__xludf.DUMMYFUNCTION("AI(""c컬럼의 단어를 활용해서 적절한 예문을 만들어줘. 한글 해석은 줄띄움 후에 작성해줘"")"),"Molecular gastronomy blends science and art to create innovative textures and flavors, transforming traditional ingredients into unique sensory experiences.
분자 요리는 과학과 예술을 결합하여 혁신적인 질감과 맛을 만들어내며, 전통적인 재료를 독특한 감각적 경험으로 변화시킵니다.")</f>
        <v>Molecular gastronomy blends science and art to create innovative textures and flavors, transforming traditional ingredients into unique sensory experiences.
분자 요리는 과학과 예술을 결합하여 혁신적인 질감과 맛을 만들어내며, 전통적인 재료를 독특한 감각적 경험으로 변화시킵니다.</v>
      </c>
      <c r="F643" s="16" t="s">
        <v>5843</v>
      </c>
      <c r="G643" s="16">
        <v>1</v>
      </c>
    </row>
    <row r="644" spans="1:7" ht="38.25">
      <c r="A644" s="15"/>
      <c r="B644" s="16">
        <v>643</v>
      </c>
      <c r="C644" s="16" t="s">
        <v>5844</v>
      </c>
      <c r="D644" s="16" t="s">
        <v>7133</v>
      </c>
      <c r="E644" s="16" t="str">
        <f ca="1">IFERROR(__xludf.DUMMYFUNCTION("AI(""c컬럼의 단어를 활용해서 적절한 예문을 만들어줘. 한글 해석은 줄띄움 후에 작성해줘"")"),"The infant mortality rate has declined significantly globally over the past two decades thanks to advances in medical science.
전 세계적으로 영아 사망률은 의학의 발전 덕분에 지난 20년 동안 현저히 감소했습니다.")</f>
        <v>The infant mortality rate has declined significantly globally over the past two decades thanks to advances in medical science.
전 세계적으로 영아 사망률은 의학의 발전 덕분에 지난 20년 동안 현저히 감소했습니다.</v>
      </c>
      <c r="F644" s="16" t="s">
        <v>5845</v>
      </c>
      <c r="G644" s="16">
        <v>1</v>
      </c>
    </row>
    <row r="645" spans="1:7" ht="25.5">
      <c r="A645" s="15"/>
      <c r="B645" s="16">
        <v>644</v>
      </c>
      <c r="C645" s="16" t="s">
        <v>5846</v>
      </c>
      <c r="D645" s="16" t="s">
        <v>7134</v>
      </c>
      <c r="E645" s="16" t="str">
        <f ca="1">IFERROR(__xludf.DUMMYFUNCTION("AI(""c컬럼의 단어를 활용해서 적절한 예문을 만들어줘. 한글 해석은 줄띄움 후에 작성해줘"")"),"Mountaineering is a set of outdoor activities that involves ascending mountains.
등산은 산을 오르는 것을 포함하는 일련의 야외 활동입니다.")</f>
        <v>Mountaineering is a set of outdoor activities that involves ascending mountains.
등산은 산을 오르는 것을 포함하는 일련의 야외 활동입니다.</v>
      </c>
      <c r="F645" s="16" t="s">
        <v>5847</v>
      </c>
      <c r="G645" s="16">
        <v>1</v>
      </c>
    </row>
    <row r="646" spans="1:7" ht="25.5">
      <c r="A646" s="15"/>
      <c r="B646" s="16">
        <v>645</v>
      </c>
      <c r="C646" s="16" t="s">
        <v>5848</v>
      </c>
      <c r="D646" s="16" t="s">
        <v>7135</v>
      </c>
      <c r="E646" s="16" t="str">
        <f ca="1">IFERROR(__xludf.DUMMYFUNCTION("AI(""c컬럼의 단어를 활용해서 적절한 예문을 만들어줘. 한글 해석은 줄띄움 후에 작성해줘"")"),"Narrow-mindedness can be a significant barrier to personal growth and effective communication.
편협함은 개인의 성장과 효과적인 소통에 중대한 장벽이 될 수 있습니다.")</f>
        <v>Narrow-mindedness can be a significant barrier to personal growth and effective communication.
편협함은 개인의 성장과 효과적인 소통에 중대한 장벽이 될 수 있습니다.</v>
      </c>
      <c r="F646" s="16" t="s">
        <v>5849</v>
      </c>
      <c r="G646" s="16">
        <v>1</v>
      </c>
    </row>
    <row r="647" spans="1:7" ht="51">
      <c r="A647" s="15"/>
      <c r="B647" s="16">
        <v>646</v>
      </c>
      <c r="C647" s="16" t="s">
        <v>5850</v>
      </c>
      <c r="D647" s="16" t="s">
        <v>7136</v>
      </c>
      <c r="E647" s="16" t="str">
        <f ca="1">IFERROR(__xludf.DUMMYFUNCTION("AI(""c컬럼의 단어를 활용해서 적절한 예문을 만들어줘. 한글 해석은 줄띄움 후에 작성해줘"")"),"Unlike early modern humans, Neanderthals were not equipped with the cold-weather clothing needed to survive the glacial Ice Age.
초기 현대 인류와 달리, 네안데르탈인은 빙하기의 빙하 시대에 살아남는 데 필요한 추운 날씨용 의복을 갖추지 못했습니다.")</f>
        <v>Unlike early modern humans, Neanderthals were not equipped with the cold-weather clothing needed to survive the glacial Ice Age.
초기 현대 인류와 달리, 네안데르탈인은 빙하기의 빙하 시대에 살아남는 데 필요한 추운 날씨용 의복을 갖추지 못했습니다.</v>
      </c>
      <c r="F647" s="16" t="s">
        <v>5851</v>
      </c>
      <c r="G647" s="16">
        <v>1</v>
      </c>
    </row>
    <row r="648" spans="1:7" ht="25.5">
      <c r="A648" s="15"/>
      <c r="B648" s="16">
        <v>647</v>
      </c>
      <c r="C648" s="16" t="s">
        <v>5852</v>
      </c>
      <c r="D648" s="16" t="s">
        <v>7137</v>
      </c>
      <c r="E648" s="16" t="str">
        <f ca="1">IFERROR(__xludf.DUMMYFUNCTION("AI(""c컬럼의 단어를 활용해서 적절한 예문을 만들어줘. 한글 해석은 줄띄움 후에 작성해줘"")"),"Sea turtles often return to the same beach where they were born for their seasonal nesting migrations.
바다거북은 계절별 번식지 이동을 위해 종종 그들이 태어난 것과 같은 해변으로 돌아옵니다.")</f>
        <v>Sea turtles often return to the same beach where they were born for their seasonal nesting migrations.
바다거북은 계절별 번식지 이동을 위해 종종 그들이 태어난 것과 같은 해변으로 돌아옵니다.</v>
      </c>
      <c r="F648" s="16" t="s">
        <v>5853</v>
      </c>
      <c r="G648" s="16">
        <v>1</v>
      </c>
    </row>
    <row r="649" spans="1:7" ht="25.5">
      <c r="A649" s="15"/>
      <c r="B649" s="16">
        <v>648</v>
      </c>
      <c r="C649" s="16" t="s">
        <v>5854</v>
      </c>
      <c r="D649" s="16" t="s">
        <v>7138</v>
      </c>
      <c r="E649" s="16" t="str">
        <f ca="1">IFERROR(__xludf.DUMMYFUNCTION("AI(""c컬럼의 단어를 활용해서 적절한 예문을 만들어줘. 한글 해석은 줄띄움 후에 작성해줘"")"),"The cat is quick and nimble enough to jump over the tall fence to escape the dog.
그 고양이는 개로부터 도망치기 위해 높은 울타리를 뛰어넘을 수 있을 만큼 빠르고 날렵합니다.")</f>
        <v>The cat is quick and nimble enough to jump over the tall fence to escape the dog.
그 고양이는 개로부터 도망치기 위해 높은 울타리를 뛰어넘을 수 있을 만큼 빠르고 날렵합니다.</v>
      </c>
      <c r="F649" s="16" t="s">
        <v>5855</v>
      </c>
      <c r="G649" s="16">
        <v>1</v>
      </c>
    </row>
    <row r="650" spans="1:7" ht="51">
      <c r="A650" s="15"/>
      <c r="B650" s="16">
        <v>649</v>
      </c>
      <c r="C650" s="16" t="s">
        <v>5856</v>
      </c>
      <c r="D650" s="16" t="s">
        <v>7139</v>
      </c>
      <c r="E650" s="16" t="str">
        <f ca="1">IFERROR(__xludf.DUMMYFUNCTION("AI(""c컬럼의 단어를 활용해서 적절한 예문을 만들어줘. 한글 해석은 줄띄움 후에 작성해줘"")"),"Negotiating with both sides was a no-win scenario, as satisfying one group would inevitably alienate the other.
양측과 협상하는 것은 한쪽을 만족시키면 필연적으로 다른 쪽의 반감을 사게 되기 때문에 이길 수 없는 상황이었습니다.")</f>
        <v>Negotiating with both sides was a no-win scenario, as satisfying one group would inevitably alienate the other.
양측과 협상하는 것은 한쪽을 만족시키면 필연적으로 다른 쪽의 반감을 사게 되기 때문에 이길 수 없는 상황이었습니다.</v>
      </c>
      <c r="F650" s="16" t="s">
        <v>5857</v>
      </c>
      <c r="G650" s="16">
        <v>1</v>
      </c>
    </row>
    <row r="651" spans="1:7" ht="51">
      <c r="A651" s="15"/>
      <c r="B651" s="16">
        <v>650</v>
      </c>
      <c r="C651" s="16" t="s">
        <v>5858</v>
      </c>
      <c r="D651" s="16" t="s">
        <v>7140</v>
      </c>
      <c r="E651" s="16" t="str">
        <f ca="1">IFERROR(__xludf.DUMMYFUNCTION("AI(""c컬럼의 단어를 활용해서 적절한 예문을 만들어줘. 한글 해석은 줄띄움 후에 작성해줘"")"),"The CDC has warned Americans to avoid all nonessential travel within the US because of the coronavirus.
CDC는 코로나바이러스로 인해 미국 내에서의 모든 불필요한 이동을 자제하라고 미국인들에게 권고했습니다.")</f>
        <v>The CDC has warned Americans to avoid all nonessential travel within the US because of the coronavirus.
CDC는 코로나바이러스로 인해 미국 내에서의 모든 불필요한 이동을 자제하라고 미국인들에게 권고했습니다.</v>
      </c>
      <c r="F651" s="16" t="s">
        <v>5859</v>
      </c>
      <c r="G651" s="16">
        <v>1</v>
      </c>
    </row>
    <row r="652" spans="1:7" ht="38.25">
      <c r="A652" s="15"/>
      <c r="B652" s="16">
        <v>651</v>
      </c>
      <c r="C652" s="16" t="s">
        <v>5860</v>
      </c>
      <c r="D652" s="16" t="s">
        <v>7141</v>
      </c>
      <c r="E652" s="16" t="str">
        <f ca="1">IFERROR(__xludf.DUMMYFUNCTION("AI(""c컬럼의 단어를 활용해서 적절한 예문을 만들어줘. 한글 해석은 줄띄움 후에 작성해줘"")"),"Non-invasive procedures are ideal for patients seeking a quick recovery without the risks associated with surgery.
비침습적 절차는 수술과 관련된 위험 없이 빠른 회복을 원하는 환자들에게 이상적입니다.")</f>
        <v>Non-invasive procedures are ideal for patients seeking a quick recovery without the risks associated with surgery.
비침습적 절차는 수술과 관련된 위험 없이 빠른 회복을 원하는 환자들에게 이상적입니다.</v>
      </c>
      <c r="F652" s="16" t="s">
        <v>5861</v>
      </c>
      <c r="G652" s="16">
        <v>1</v>
      </c>
    </row>
    <row r="653" spans="1:7" ht="51">
      <c r="A653" s="15"/>
      <c r="B653" s="16">
        <v>652</v>
      </c>
      <c r="C653" s="16" t="s">
        <v>5862</v>
      </c>
      <c r="D653" s="16" t="s">
        <v>7142</v>
      </c>
      <c r="E653" s="16" t="str">
        <f ca="1">IFERROR(__xludf.DUMMYFUNCTION("AI(""c컬럼의 단어를 활용해서 적절한 예문을 만들어줘. 한글 해석은 줄띄움 후에 작성해줘"")"),"Many essential nonprofit programs and services rely heavily on the dedicated efforts of volunteers to successfully fulfill their missions.
필수적인 많은 비영리 단체의 프로그램과 서비스는 그들의 사명을 성공적으로 완수하기 위해 자원봉사자들의 헌신적인 노력에 크게 의존합니다.")</f>
        <v>Many essential nonprofit programs and services rely heavily on the dedicated efforts of volunteers to successfully fulfill their missions.
필수적인 많은 비영리 단체의 프로그램과 서비스는 그들의 사명을 성공적으로 완수하기 위해 자원봉사자들의 헌신적인 노력에 크게 의존합니다.</v>
      </c>
      <c r="F653" s="16" t="s">
        <v>5863</v>
      </c>
      <c r="G653" s="16">
        <v>1</v>
      </c>
    </row>
    <row r="654" spans="1:7" ht="51">
      <c r="A654" s="15"/>
      <c r="B654" s="16">
        <v>653</v>
      </c>
      <c r="C654" s="16" t="s">
        <v>5864</v>
      </c>
      <c r="D654" s="16" t="s">
        <v>7143</v>
      </c>
      <c r="E654" s="16" t="str">
        <f ca="1">IFERROR(__xludf.DUMMYFUNCTION("AI(""c컬럼의 단어를 활용해서 적절한 예문을 만들어줘. 한글 해석은 줄띄움 후에 작성해줘"")"),"The excitement of getting a new smartphone is undeniable, but the novelty eventually fades as the device becomes a routine part of daily life.
새 스마트폰을 사는 즐거움은 부정할 수 없지만, 기기가 일상의 일부분이 되면서 그 신선함은 결국 사라지게 됩니다.")</f>
        <v>The excitement of getting a new smartphone is undeniable, but the novelty eventually fades as the device becomes a routine part of daily life.
새 스마트폰을 사는 즐거움은 부정할 수 없지만, 기기가 일상의 일부분이 되면서 그 신선함은 결국 사라지게 됩니다.</v>
      </c>
      <c r="F654" s="16" t="s">
        <v>5865</v>
      </c>
      <c r="G654" s="16">
        <v>1</v>
      </c>
    </row>
    <row r="655" spans="1:7" ht="25.5">
      <c r="A655" s="15"/>
      <c r="B655" s="16">
        <v>654</v>
      </c>
      <c r="C655" s="16" t="s">
        <v>5866</v>
      </c>
      <c r="D655" s="16" t="s">
        <v>7144</v>
      </c>
      <c r="E655" s="16" t="str">
        <f ca="1">IFERROR(__xludf.DUMMYFUNCTION("AI(""c컬럼의 단어를 활용해서 적절한 예문을 만들어줘. 한글 해석은 줄띄움 후에 작성해줘"")"),"The message was hidden behind a series of obscure metaphors and symbols.
그 메시지는 일련의 난해한 은유와 상징 뒤에 숨겨져 있었습니다.")</f>
        <v>The message was hidden behind a series of obscure metaphors and symbols.
그 메시지는 일련의 난해한 은유와 상징 뒤에 숨겨져 있었습니다.</v>
      </c>
      <c r="F655" s="16" t="s">
        <v>5867</v>
      </c>
      <c r="G655" s="16">
        <v>1</v>
      </c>
    </row>
    <row r="656" spans="1:7" ht="25.5">
      <c r="A656" s="15"/>
      <c r="B656" s="16">
        <v>655</v>
      </c>
      <c r="C656" s="16" t="s">
        <v>3204</v>
      </c>
      <c r="D656" s="16" t="s">
        <v>7145</v>
      </c>
      <c r="E656" s="16" t="str">
        <f ca="1">IFERROR(__xludf.DUMMYFUNCTION("AI(""c컬럼의 단어를 활용해서 적절한 예문을 만들어줘. 한글 해석은 줄띄움 후에 작성해줘"")"),"The public phone booth has now been rendered obsolete by the rise of the mobile phone.
공중전화 부스는 휴대폰의 보급으로 인해 이제 구식이 되었습니다.")</f>
        <v>The public phone booth has now been rendered obsolete by the rise of the mobile phone.
공중전화 부스는 휴대폰의 보급으로 인해 이제 구식이 되었습니다.</v>
      </c>
      <c r="F656" s="16" t="s">
        <v>5868</v>
      </c>
      <c r="G656" s="16">
        <v>1</v>
      </c>
    </row>
    <row r="657" spans="1:7" ht="38.25">
      <c r="A657" s="15"/>
      <c r="B657" s="16">
        <v>656</v>
      </c>
      <c r="C657" s="16" t="s">
        <v>5869</v>
      </c>
      <c r="D657" s="16" t="s">
        <v>7146</v>
      </c>
      <c r="E657" s="16" t="str">
        <f ca="1">IFERROR(__xludf.DUMMYFUNCTION("AI(""c컬럼의 단어를 활용해서 적절한 예문을 만들어줘. 한글 해석은 줄띄움 후에 작성해줘"")"),"International organizations are calling for an immediate withdrawal of forces from the occupied territory to ensure the safety of civilians.
국제기구들은 민간인의 안전을 보장하기 위해 점령지로부터 즉각적인 군대 철수를 요구하고 있습니다.")</f>
        <v>International organizations are calling for an immediate withdrawal of forces from the occupied territory to ensure the safety of civilians.
국제기구들은 민간인의 안전을 보장하기 위해 점령지로부터 즉각적인 군대 철수를 요구하고 있습니다.</v>
      </c>
      <c r="F657" s="16" t="s">
        <v>5870</v>
      </c>
      <c r="G657" s="16">
        <v>1</v>
      </c>
    </row>
    <row r="658" spans="1:7" ht="25.5">
      <c r="A658" s="15"/>
      <c r="B658" s="16">
        <v>657</v>
      </c>
      <c r="C658" s="16" t="s">
        <v>5871</v>
      </c>
      <c r="D658" s="16" t="s">
        <v>7147</v>
      </c>
      <c r="E658" s="16" t="str">
        <f ca="1">IFERROR(__xludf.DUMMYFUNCTION("AI(""c컬럼의 단어를 활용해서 적절한 예문을 만들어줘. 한글 해석은 줄띄움 후에 작성해줘"")"),"The official stated that his comments on the new policy were strictly on the record.
그 공무원은 새로운 정책에 대한 자신의 발언이 엄격히 공식 기록에 남는 것이라고 명시했습니다.")</f>
        <v>The official stated that his comments on the new policy were strictly on the record.
그 공무원은 새로운 정책에 대한 자신의 발언이 엄격히 공식 기록에 남는 것이라고 명시했습니다.</v>
      </c>
      <c r="F658" s="16" t="s">
        <v>5872</v>
      </c>
      <c r="G658" s="16">
        <v>1</v>
      </c>
    </row>
    <row r="659" spans="1:7" ht="25.5">
      <c r="A659" s="15"/>
      <c r="B659" s="16">
        <v>658</v>
      </c>
      <c r="C659" s="16" t="s">
        <v>5873</v>
      </c>
      <c r="D659" s="16" t="s">
        <v>7148</v>
      </c>
      <c r="E659" s="16" t="str">
        <f ca="1">IFERROR(__xludf.DUMMYFUNCTION("AI(""c컬럼의 단어를 활용해서 적절한 예문을 만들어줘. 한글 해석은 줄띄움 후에 작성해줘"")"),"At a stop sign, always check for pedestrians and oncoming traffic before proceeding.
정지 표지판에서는 진행하기 전에 항상 보행자와 마주 오는 차량이 있는지 확인하십시오.")</f>
        <v>At a stop sign, always check for pedestrians and oncoming traffic before proceeding.
정지 표지판에서는 진행하기 전에 항상 보행자와 마주 오는 차량이 있는지 확인하십시오.</v>
      </c>
      <c r="F659" s="16" t="s">
        <v>5874</v>
      </c>
      <c r="G659" s="16">
        <v>1</v>
      </c>
    </row>
    <row r="660" spans="1:7" ht="51">
      <c r="A660" s="15"/>
      <c r="B660" s="16">
        <v>659</v>
      </c>
      <c r="C660" s="16" t="s">
        <v>5875</v>
      </c>
      <c r="D660" s="16" t="s">
        <v>7149</v>
      </c>
      <c r="E660" s="16" t="str">
        <f ca="1">IFERROR(__xludf.DUMMYFUNCTION("AI(""c컬럼의 단어를 활용해서 적절한 예문을 만들어줘. 한글 해석은 줄띄움 후에 작성해줘"")"),"Magicians often use mirrors and lighting to create a clever optical illusion that tricks the audience into seeing something that is not actually there.
마술사들은 종종 거울과 조명을 사용하여 관객들이 실제로 존재하지 않는 것을 보고 있다고 착각하게 만드는 영리한 착시를 만들어냅니다.")</f>
        <v>Magicians often use mirrors and lighting to create a clever optical illusion that tricks the audience into seeing something that is not actually there.
마술사들은 종종 거울과 조명을 사용하여 관객들이 실제로 존재하지 않는 것을 보고 있다고 착각하게 만드는 영리한 착시를 만들어냅니다.</v>
      </c>
      <c r="F660" s="16" t="s">
        <v>5876</v>
      </c>
      <c r="G660" s="16">
        <v>1</v>
      </c>
    </row>
    <row r="661" spans="1:7" ht="51">
      <c r="A661" s="15"/>
      <c r="B661" s="16">
        <v>660</v>
      </c>
      <c r="C661" s="16" t="s">
        <v>5877</v>
      </c>
      <c r="D661" s="16" t="s">
        <v>7150</v>
      </c>
      <c r="E661" s="16" t="str">
        <f ca="1">IFERROR(__xludf.DUMMYFUNCTION("AI(""c컬럼의 단어를 활용해서 적절한 예문을 만들어줘. 한글 해석은 줄띄움 후에 작성해줘"")"),"Modern navigation apps analyze real-time traffic data to suggest optimized routes that avoid heavy congestion.
현대적인 내비게이션 앱은 실시간 교통 데이터를 분석하여 심한 혼잡을 피하는 최적화된 경로를 제안합니다.")</f>
        <v>Modern navigation apps analyze real-time traffic data to suggest optimized routes that avoid heavy congestion.
현대적인 내비게이션 앱은 실시간 교통 데이터를 분석하여 심한 혼잡을 피하는 최적화된 경로를 제안합니다.</v>
      </c>
      <c r="F661" s="16" t="s">
        <v>5878</v>
      </c>
      <c r="G661" s="16">
        <v>1</v>
      </c>
    </row>
    <row r="662" spans="1:7" ht="25.5">
      <c r="A662" s="15"/>
      <c r="B662" s="16">
        <v>661</v>
      </c>
      <c r="C662" s="16" t="s">
        <v>3279</v>
      </c>
      <c r="D662" s="16" t="s">
        <v>7151</v>
      </c>
      <c r="E662" s="16" t="str">
        <f ca="1">IFERROR(__xludf.DUMMYFUNCTION("AI(""c컬럼의 단어를 활용해서 적절한 예문을 만들어줘. 한글 해석은 줄띄움 후에 작성해줘"")"),"The designer used a bold outline to make the logo stand out.
디자이너는 로고가 눈에 띄게 하기 위해 굵은 윤곽선을 사용했습니다.")</f>
        <v>The designer used a bold outline to make the logo stand out.
디자이너는 로고가 눈에 띄게 하기 위해 굵은 윤곽선을 사용했습니다.</v>
      </c>
      <c r="F662" s="16" t="s">
        <v>5879</v>
      </c>
      <c r="G662" s="16">
        <v>1</v>
      </c>
    </row>
    <row r="663" spans="1:7" ht="51">
      <c r="A663" s="15"/>
      <c r="B663" s="16">
        <v>662</v>
      </c>
      <c r="C663" s="16" t="s">
        <v>5880</v>
      </c>
      <c r="D663" s="16" t="s">
        <v>7152</v>
      </c>
      <c r="E663" s="16" t="str">
        <f ca="1">IFERROR(__xludf.DUMMYFUNCTION("AI(""c컬럼의 단어를 활용해서 적절한 예문을 만들어줘. 한글 해석은 줄띄움 후에 작성해줘"")"),"The company decided to increase its industrial output to meet the growing global demand for electronic components.
회사는 전자 부품에 대한 증가하는 전 세계적 수요를 충족시키기 위해 산업 생산량을 늘리기로 결정했습니다.")</f>
        <v>The company decided to increase its industrial output to meet the growing global demand for electronic components.
회사는 전자 부품에 대한 증가하는 전 세계적 수요를 충족시키기 위해 산업 생산량을 늘리기로 결정했습니다.</v>
      </c>
      <c r="F663" s="16" t="s">
        <v>5881</v>
      </c>
      <c r="G663" s="16">
        <v>1</v>
      </c>
    </row>
    <row r="664" spans="1:7" ht="25.5">
      <c r="A664" s="15"/>
      <c r="B664" s="16">
        <v>663</v>
      </c>
      <c r="C664" s="16" t="s">
        <v>5882</v>
      </c>
      <c r="D664" s="16" t="s">
        <v>7153</v>
      </c>
      <c r="E664" s="16" t="str">
        <f ca="1">IFERROR(__xludf.DUMMYFUNCTION("AI(""c컬럼의 단어를 활용해서 적절한 예문을 만들어줘. 한글 해석은 줄띄움 후에 작성해줘"")"),"The new shopping center is located on the outskirts of the city to avoid traffic congestion.
그 새로운 쇼핑센터는 교통 혼잡을 피하기 위해 도시 외곽에 위치해 있습니다.")</f>
        <v>The new shopping center is located on the outskirts of the city to avoid traffic congestion.
그 새로운 쇼핑센터는 교통 혼잡을 피하기 위해 도시 외곽에 위치해 있습니다.</v>
      </c>
      <c r="F664" s="16" t="s">
        <v>5883</v>
      </c>
      <c r="G664" s="16">
        <v>1</v>
      </c>
    </row>
    <row r="665" spans="1:7" ht="51">
      <c r="A665" s="15"/>
      <c r="B665" s="16">
        <v>664</v>
      </c>
      <c r="C665" s="16" t="s">
        <v>5884</v>
      </c>
      <c r="D665" s="16" t="s">
        <v>7154</v>
      </c>
      <c r="E665" s="16" t="str">
        <f ca="1">IFERROR(__xludf.DUMMYFUNCTION("AI(""c컬럼의 단어를 활용해서 적절한 예문을 만들어줘. 한글 해석은 줄띄움 후에 작성해줘"")"),"Many companies choose to outsource their customer service to reduce operational costs and focus on their core business activities.
많은 기업들은 운영 비용을 절감하고 핵심 사업 활동에 집중하기 위해 고객 서비스를 외주화하는 것을 선택합니다.")</f>
        <v>Many companies choose to outsource their customer service to reduce operational costs and focus on their core business activities.
많은 기업들은 운영 비용을 절감하고 핵심 사업 활동에 집중하기 위해 고객 서비스를 외주화하는 것을 선택합니다.</v>
      </c>
      <c r="F665" s="16" t="s">
        <v>5885</v>
      </c>
      <c r="G665" s="16">
        <v>1</v>
      </c>
    </row>
    <row r="666" spans="1:7" ht="25.5">
      <c r="A666" s="15"/>
      <c r="B666" s="16">
        <v>665</v>
      </c>
      <c r="C666" s="16" t="s">
        <v>5886</v>
      </c>
      <c r="D666" s="16" t="s">
        <v>7155</v>
      </c>
      <c r="E666" s="16" t="str">
        <f ca="1">IFERROR(__xludf.DUMMYFUNCTION("AI(""c컬럼의 단어를 활용해서 적절한 예문을 만들어줘. 한글 해석은 줄띄움 후에 작성해줘"")"),"The potential benefits of the new project must outweigh the risks involved.
새로운 프로젝트의 잠재적 이익이 수반되는 위험보다 더 커야 합니다.")</f>
        <v>The potential benefits of the new project must outweigh the risks involved.
새로운 프로젝트의 잠재적 이익이 수반되는 위험보다 더 커야 합니다.</v>
      </c>
      <c r="F666" s="16" t="s">
        <v>5887</v>
      </c>
      <c r="G666" s="16">
        <v>1</v>
      </c>
    </row>
    <row r="667" spans="1:7" ht="25.5">
      <c r="A667" s="15"/>
      <c r="B667" s="16">
        <v>666</v>
      </c>
      <c r="C667" s="16" t="s">
        <v>5888</v>
      </c>
      <c r="D667" s="16" t="s">
        <v>7156</v>
      </c>
      <c r="E667" s="16" t="str">
        <f ca="1">IFERROR(__xludf.DUMMYFUNCTION("AI(""c컬럼의 단어를 활용해서 적절한 예문을 만들어줘. 한글 해석은 줄띄움 후에 작성해줘"")"),"We must seek a new era of fashion that prioritizes the planet over the profits of overconsumption.
우리는 과잉 소비의 이윤보다 지구를 우선시하는 패션의 새로운 시대를 추구해야 합니다.")</f>
        <v>We must seek a new era of fashion that prioritizes the planet over the profits of overconsumption.
우리는 과잉 소비의 이윤보다 지구를 우선시하는 패션의 새로운 시대를 추구해야 합니다.</v>
      </c>
      <c r="F667" s="16" t="s">
        <v>5889</v>
      </c>
      <c r="G667" s="16">
        <v>1</v>
      </c>
    </row>
    <row r="668" spans="1:7" ht="51">
      <c r="A668" s="15"/>
      <c r="B668" s="16">
        <v>667</v>
      </c>
      <c r="C668" s="16" t="s">
        <v>5890</v>
      </c>
      <c r="D668" s="16" t="s">
        <v>7157</v>
      </c>
      <c r="E668" s="16" t="str">
        <f ca="1">IFERROR(__xludf.DUMMYFUNCTION("AI(""c컬럼의 단어를 활용해서 적절한 예문을 만들어줘. 한글 해석은 줄띄움 후에 작성해줘"")"),"The government announced plans to overhaul the aging public transportation system to improve efficiency and safety.
정부는 효율성과 안전성을 향상시키기 위해 노후화된 대중교통 체계를 전면 개보수할 계획을 발표했습니다.")</f>
        <v>The government announced plans to overhaul the aging public transportation system to improve efficiency and safety.
정부는 효율성과 안전성을 향상시키기 위해 노후화된 대중교통 체계를 전면 개보수할 계획을 발표했습니다.</v>
      </c>
      <c r="F668" s="16" t="s">
        <v>5891</v>
      </c>
      <c r="G668" s="16">
        <v>1</v>
      </c>
    </row>
    <row r="669" spans="1:7" ht="38.25">
      <c r="A669" s="15"/>
      <c r="B669" s="16">
        <v>668</v>
      </c>
      <c r="C669" s="16" t="s">
        <v>5892</v>
      </c>
      <c r="D669" s="16" t="s">
        <v>7158</v>
      </c>
      <c r="E669" s="16" t="str">
        <f ca="1">IFERROR(__xludf.DUMMYFUNCTION("AI(""c컬럼의 단어를 활용해서 적절한 예문을 만들어줘. 한글 해석은 줄띄움 후에 작성해줘"")"),"The cooling system is a crucial component designed to maintain an optimal operating temperature for the engine and prevent overheating.
냉각 시스템은 엔진의 최적 작동 온도를 유지하고 과열을 방지하기 위해 설계된 중요한 부품입니다.")</f>
        <v>The cooling system is a crucial component designed to maintain an optimal operating temperature for the engine and prevent overheating.
냉각 시스템은 엔진의 최적 작동 온도를 유지하고 과열을 방지하기 위해 설계된 중요한 부품입니다.</v>
      </c>
      <c r="F669" s="16" t="s">
        <v>5893</v>
      </c>
      <c r="G669" s="16">
        <v>1</v>
      </c>
    </row>
    <row r="670" spans="1:7" ht="38.25">
      <c r="A670" s="15"/>
      <c r="B670" s="16">
        <v>669</v>
      </c>
      <c r="C670" s="16" t="s">
        <v>5894</v>
      </c>
      <c r="D670" s="16" t="s">
        <v>7159</v>
      </c>
      <c r="E670" s="16" t="str">
        <f ca="1">IFERROR(__xludf.DUMMYFUNCTION("AI(""c컬럼의 단어를 활용해서 적절한 예문을 만들어줘. 한글 해석은 줄띄움 후에 작성해줘"")"),"The hiring manager hesitated to hire the candidate, fearing they were overqualified for the entry-level position.
채용 담당자는 그 지원자가 신입 직급에 비해 자격이 넘친다고 우려하며 채용을 망설였습니다.")</f>
        <v>The hiring manager hesitated to hire the candidate, fearing they were overqualified for the entry-level position.
채용 담당자는 그 지원자가 신입 직급에 비해 자격이 넘친다고 우려하며 채용을 망설였습니다.</v>
      </c>
      <c r="F670" s="16" t="s">
        <v>5895</v>
      </c>
      <c r="G670" s="16">
        <v>1</v>
      </c>
    </row>
    <row r="671" spans="1:7" ht="51">
      <c r="A671" s="15"/>
      <c r="B671" s="16">
        <v>670</v>
      </c>
      <c r="C671" s="16" t="s">
        <v>5896</v>
      </c>
      <c r="D671" s="16" t="s">
        <v>7160</v>
      </c>
      <c r="E671" s="16" t="str">
        <f ca="1">IFERROR(__xludf.DUMMYFUNCTION("AI(""c컬럼의 단어를 활용해서 적절한 예문을 만들어줘. 한글 해석은 줄띄움 후에 작성해줘"")"),"Simpson's paradox is a phenomenon in statistics in which a trend appears in several groups of data but disappears or reverses when the groups are combined.
심슨의 역설은 통계학에서 각각의 그룹에서 나타난 경향성이 그룹들을 합쳤을 때 사라지거나 반대로 나타나는 현상입니다.")</f>
        <v>Simpson's paradox is a phenomenon in statistics in which a trend appears in several groups of data but disappears or reverses when the groups are combined.
심슨의 역설은 통계학에서 각각의 그룹에서 나타난 경향성이 그룹들을 합쳤을 때 사라지거나 반대로 나타나는 현상입니다.</v>
      </c>
      <c r="F671" s="16" t="s">
        <v>5897</v>
      </c>
      <c r="G671" s="16">
        <v>1</v>
      </c>
    </row>
    <row r="672" spans="1:7" ht="25.5">
      <c r="A672" s="15"/>
      <c r="B672" s="16">
        <v>671</v>
      </c>
      <c r="C672" s="16" t="s">
        <v>5898</v>
      </c>
      <c r="D672" s="16" t="s">
        <v>7161</v>
      </c>
      <c r="E672" s="16" t="str">
        <f ca="1">IFERROR(__xludf.DUMMYFUNCTION("AI(""c컬럼의 단어를 활용해서 적절한 예문을 만들어줘. 한글 해석은 줄띄움 후에 작성해줘"")"),"The parched fields were in desperate need of rain after the long summer heat.
오랜 여름 무더위 끝에 바싹 마른 들판에는 비가 절실히 필요했습니다.")</f>
        <v>The parched fields were in desperate need of rain after the long summer heat.
오랜 여름 무더위 끝에 바싹 마른 들판에는 비가 절실히 필요했습니다.</v>
      </c>
      <c r="F672" s="16" t="s">
        <v>5899</v>
      </c>
      <c r="G672" s="16">
        <v>1</v>
      </c>
    </row>
    <row r="673" spans="1:7" ht="51">
      <c r="A673" s="15"/>
      <c r="B673" s="16">
        <v>672</v>
      </c>
      <c r="C673" s="16" t="s">
        <v>5900</v>
      </c>
      <c r="D673" s="16" t="s">
        <v>7162</v>
      </c>
      <c r="E673" s="16" t="str">
        <f ca="1">IFERROR(__xludf.DUMMYFUNCTION("AI(""c컬럼의 단어를 활용해서 적절한 예문을 만들어줘. 한글 해석은 줄띄움 후에 작성해줘"")"),"Due to rising raw material costs, the company decided to pass on costs to customers by increasing product prices.
원자재 가격 상승으로 인해 그 회사는 제품 가격을 인상함으로써 비용을 고객에게 전가하기로 결정했습니다.")</f>
        <v>Due to rising raw material costs, the company decided to pass on costs to customers by increasing product prices.
원자재 가격 상승으로 인해 그 회사는 제품 가격을 인상함으로써 비용을 고객에게 전가하기로 결정했습니다.</v>
      </c>
      <c r="F673" s="16" t="s">
        <v>5901</v>
      </c>
      <c r="G673" s="16">
        <v>1</v>
      </c>
    </row>
    <row r="674" spans="1:7" ht="25.5">
      <c r="A674" s="15"/>
      <c r="B674" s="16">
        <v>673</v>
      </c>
      <c r="C674" s="16" t="s">
        <v>5902</v>
      </c>
      <c r="D674" s="16" t="s">
        <v>7163</v>
      </c>
      <c r="E674" s="16" t="str">
        <f ca="1">IFERROR(__xludf.DUMMYFUNCTION("AI(""c컬럼의 단어를 활용해서 적절한 예문을 만들어줘. 한글 해석은 줄띄움 후에 작성해줘"")"),"The company applied to patent its new technology to prevent competitors from copying their design.
회사는 경쟁사들이 그들의 디자인을 도제하는 것을 막기 위해 신기술에 대한 특허를 신청했습니다.")</f>
        <v>The company applied to patent its new technology to prevent competitors from copying their design.
회사는 경쟁사들이 그들의 디자인을 도제하는 것을 막기 위해 신기술에 대한 특허를 신청했습니다.</v>
      </c>
      <c r="F674" s="16" t="s">
        <v>5903</v>
      </c>
      <c r="G674" s="16">
        <v>1</v>
      </c>
    </row>
    <row r="675" spans="1:7" ht="25.5">
      <c r="A675" s="15"/>
      <c r="B675" s="16">
        <v>674</v>
      </c>
      <c r="C675" s="16" t="s">
        <v>5904</v>
      </c>
      <c r="D675" s="16" t="s">
        <v>7164</v>
      </c>
      <c r="E675" s="16" t="str">
        <f ca="1">IFERROR(__xludf.DUMMYFUNCTION("AI(""c컬럼의 단어를 활용해서 적절한 예문을 만들어줘. 한글 해석은 줄띄움 후에 작성해줘"")"),"The library is offering new curated experiences to keep its patrons engaged.
그 도서관은 고객들을 계속 참여시키기 위해 새로운 맞춤형 경험을 제공하고 있습니다.")</f>
        <v>The library is offering new curated experiences to keep its patrons engaged.
그 도서관은 고객들을 계속 참여시키기 위해 새로운 맞춤형 경험을 제공하고 있습니다.</v>
      </c>
      <c r="F675" s="16" t="s">
        <v>5905</v>
      </c>
      <c r="G675" s="16">
        <v>1</v>
      </c>
    </row>
    <row r="676" spans="1:7" ht="25.5">
      <c r="A676" s="15"/>
      <c r="B676" s="16">
        <v>675</v>
      </c>
      <c r="C676" s="16" t="s">
        <v>5906</v>
      </c>
      <c r="D676" s="16" t="s">
        <v>7165</v>
      </c>
      <c r="E676" s="16" t="str">
        <f ca="1">IFERROR(__xludf.DUMMYFUNCTION("AI(""c컬럼의 단어를 활용해서 적절한 예문을 만들어줘. 한글 해석은 줄띄움 후에 작성해줘"")"),"Consistent effort and dedication in your studies will eventually pay off with great results.
공부에서의 꾸준한 노력과 헌신은 결국 훌륭한 결과로 보상받을 것입니다.")</f>
        <v>Consistent effort and dedication in your studies will eventually pay off with great results.
공부에서의 꾸준한 노력과 헌신은 결국 훌륭한 결과로 보상받을 것입니다.</v>
      </c>
      <c r="F676" s="16" t="s">
        <v>5907</v>
      </c>
      <c r="G676" s="16">
        <v>1</v>
      </c>
    </row>
    <row r="677" spans="1:7" ht="51">
      <c r="A677" s="15"/>
      <c r="B677" s="16">
        <v>676</v>
      </c>
      <c r="C677" s="16" t="s">
        <v>3371</v>
      </c>
      <c r="D677" s="16" t="s">
        <v>7166</v>
      </c>
      <c r="E677" s="16" t="str">
        <f ca="1">IFERROR(__xludf.DUMMYFUNCTION("AI(""c컬럼의 단어를 활용해서 적절한 예문을 만들어줘. 한글 해석은 줄띄움 후에 작성해줘"")"),"Many ancient civilizations, such as the Maya and the Indus Valley, were forced to perish as a result of severe climate change and resource depletion.
마야와 인더스 문명과 같은 많은 고대 문명들은 심각한 기후 변화와 자원 고갈의 결과로 멸망할 수밖에 없었습니다.")</f>
        <v>Many ancient civilizations, such as the Maya and the Indus Valley, were forced to perish as a result of severe climate change and resource depletion.
마야와 인더스 문명과 같은 많은 고대 문명들은 심각한 기후 변화와 자원 고갈의 결과로 멸망할 수밖에 없었습니다.</v>
      </c>
      <c r="F677" s="16" t="s">
        <v>5908</v>
      </c>
      <c r="G677" s="16">
        <v>1</v>
      </c>
    </row>
    <row r="678" spans="1:7" ht="25.5">
      <c r="A678" s="15"/>
      <c r="B678" s="16">
        <v>677</v>
      </c>
      <c r="C678" s="16" t="s">
        <v>5909</v>
      </c>
      <c r="D678" s="16" t="s">
        <v>7167</v>
      </c>
      <c r="E678" s="16" t="str">
        <f ca="1">IFERROR(__xludf.DUMMYFUNCTION("AI(""c컬럼의 단어를 활용해서 적절한 예문을 만들어줘. 한글 해석은 줄띄움 후에 작성해줘"")"),"Plants use sunlight, water, and carbon dioxide to photosynthesize and produce glucose for energy.
식물은 햇빛, 물, 이산화탄소를 이용해 광합성을 하고 에너지를 위한 포도당을 만들어냅니다.")</f>
        <v>Plants use sunlight, water, and carbon dioxide to photosynthesize and produce glucose for energy.
식물은 햇빛, 물, 이산화탄소를 이용해 광합성을 하고 에너지를 위한 포도당을 만들어냅니다.</v>
      </c>
      <c r="F678" s="16" t="s">
        <v>5910</v>
      </c>
      <c r="G678" s="16">
        <v>1</v>
      </c>
    </row>
    <row r="679" spans="1:7" ht="51">
      <c r="A679" s="15"/>
      <c r="B679" s="16">
        <v>678</v>
      </c>
      <c r="C679" s="16" t="s">
        <v>5911</v>
      </c>
      <c r="D679" s="16" t="s">
        <v>7168</v>
      </c>
      <c r="E679" s="16" t="str">
        <f ca="1">IFERROR(__xludf.DUMMYFUNCTION("AI(""c컬럼의 단어를 활용해서 적절한 예문을 만들어줘. 한글 해석은 줄띄움 후에 작성해줘"")"),"The city council voted to establish a pilot program aimed at improving street cleanliness and ensuring timely removal of snow.
시 의회는 거리 청결을 개선하고 적시에 제설 작업을 보장하기 위한 시범 프로그램을 수립하기로 의결했습니다.")</f>
        <v>The city council voted to establish a pilot program aimed at improving street cleanliness and ensuring timely removal of snow.
시 의회는 거리 청결을 개선하고 적시에 제설 작업을 보장하기 위한 시범 프로그램을 수립하기로 의결했습니다.</v>
      </c>
      <c r="F679" s="16" t="s">
        <v>5912</v>
      </c>
      <c r="G679" s="16">
        <v>1</v>
      </c>
    </row>
    <row r="680" spans="1:7" ht="51">
      <c r="A680" s="15"/>
      <c r="B680" s="16">
        <v>679</v>
      </c>
      <c r="C680" s="16" t="s">
        <v>3404</v>
      </c>
      <c r="D680" s="16" t="s">
        <v>7169</v>
      </c>
      <c r="E680" s="16" t="str">
        <f ca="1">IFERROR(__xludf.DUMMYFUNCTION("AI(""c컬럼의 단어를 활용해서 적절한 예문을 만들어줘. 한글 해석은 줄띄움 후에 작성해줘"")"),"The specialized sonar technology allowed the research team to pinpoint the exact location of the sunken vessel even in murky waters.
그 전문적인 음파 탐지 기술 덕분에 연구팀은 혼탁한 물속에서도 침몰한 선박의 정확한 위치를 찾아낼 수 있었습니다.")</f>
        <v>The specialized sonar technology allowed the research team to pinpoint the exact location of the sunken vessel even in murky waters.
그 전문적인 음파 탐지 기술 덕분에 연구팀은 혼탁한 물속에서도 침몰한 선박의 정확한 위치를 찾아낼 수 있었습니다.</v>
      </c>
      <c r="F680" s="16" t="s">
        <v>5913</v>
      </c>
      <c r="G680" s="16">
        <v>1</v>
      </c>
    </row>
    <row r="681" spans="1:7" ht="51">
      <c r="A681" s="15"/>
      <c r="B681" s="16">
        <v>680</v>
      </c>
      <c r="C681" s="16" t="s">
        <v>5914</v>
      </c>
      <c r="D681" s="16" t="s">
        <v>7170</v>
      </c>
      <c r="E681" s="16" t="str">
        <f ca="1">IFERROR(__xludf.DUMMYFUNCTION("AI(""c컬럼의 단어를 활용해서 적절한 예문을 만들어줘. 한글 해석은 줄띄움 후에 작성해줘"")"),"The city's new planetarium features advanced technology that allows visitors to explore the galaxies and stars in high definition.
도시의 새로운 천문관은 방문객들이 은하계와 별들을 고화질로 탐험할 수 있게 해주는 첨단 기술을 갖추고 있습니다.")</f>
        <v>The city's new planetarium features advanced technology that allows visitors to explore the galaxies and stars in high definition.
도시의 새로운 천문관은 방문객들이 은하계와 별들을 고화질로 탐험할 수 있게 해주는 첨단 기술을 갖추고 있습니다.</v>
      </c>
      <c r="F681" s="16" t="s">
        <v>5915</v>
      </c>
      <c r="G681" s="16">
        <v>1</v>
      </c>
    </row>
    <row r="682" spans="1:7" ht="25.5">
      <c r="A682" s="15"/>
      <c r="B682" s="16">
        <v>681</v>
      </c>
      <c r="C682" s="16" t="s">
        <v>5916</v>
      </c>
      <c r="D682" s="16" t="s">
        <v>7171</v>
      </c>
      <c r="E682" s="16" t="str">
        <f ca="1">IFERROR(__xludf.DUMMYFUNCTION("AI(""c컬럼의 단어를 활용해서 적절한 예문을 만들어줘. 한글 해석은 줄띄움 후에 작성해줘"")"),"The Hemileia vastatrix fungus spread across the island and ruined many coffee plantations.
Hemileia vastatrix 곰팡이가 섬 전역에 퍼져 많은 커피 농장을 망쳐 놓았습니다.")</f>
        <v>The Hemileia vastatrix fungus spread across the island and ruined many coffee plantations.
Hemileia vastatrix 곰팡이가 섬 전역에 퍼져 많은 커피 농장을 망쳐 놓았습니다.</v>
      </c>
      <c r="F682" s="16" t="s">
        <v>5917</v>
      </c>
      <c r="G682" s="16">
        <v>1</v>
      </c>
    </row>
    <row r="683" spans="1:7" ht="51">
      <c r="A683" s="15"/>
      <c r="B683" s="16">
        <v>682</v>
      </c>
      <c r="C683" s="16" t="s">
        <v>5918</v>
      </c>
      <c r="D683" s="16" t="s">
        <v>7172</v>
      </c>
      <c r="E683" s="16" t="str">
        <f ca="1">IFERROR(__xludf.DUMMYFUNCTION("AI(""c컬럼의 단어를 활용해서 적절한 예문을 만들어줘. 한글 해석은 줄띄움 후에 작성해줘"")"),"The United States and China have released a joint declaration pledging to cooperate on a series of actions focused on combatting climate change over the next decade.
미국과 중국은 향후 10년 동안 기후 변화에 대응하고 해결하기 위한 일련의 조치들에 대해 협력을 약속하는 공동 선언문을 발표했습니다.")</f>
        <v>The United States and China have released a joint declaration pledging to cooperate on a series of actions focused on combatting climate change over the next decade.
미국과 중국은 향후 10년 동안 기후 변화에 대응하고 해결하기 위한 일련의 조치들에 대해 협력을 약속하는 공동 선언문을 발표했습니다.</v>
      </c>
      <c r="F683" s="16" t="s">
        <v>5919</v>
      </c>
      <c r="G683" s="16">
        <v>1</v>
      </c>
    </row>
    <row r="684" spans="1:7" ht="38.25">
      <c r="A684" s="15"/>
      <c r="B684" s="16">
        <v>683</v>
      </c>
      <c r="C684" s="16" t="s">
        <v>5920</v>
      </c>
      <c r="D684" s="16" t="s">
        <v>7173</v>
      </c>
      <c r="E684" s="16" t="str">
        <f ca="1">IFERROR(__xludf.DUMMYFUNCTION("AI(""c컬럼의 단어를 활용해서 적절한 예문을 만들어줘. 한글 해석은 줄띄움 후에 작성해줘"")"),"After winning the championship, the team is now poised to recapture glory in the international arena.
챔피언십 우승 후, 그 팀은 이제 국제 무대에서 영광을 되찾을 준비가 되어 있습니다.")</f>
        <v>After winning the championship, the team is now poised to recapture glory in the international arena.
챔피언십 우승 후, 그 팀은 이제 국제 무대에서 영광을 되찾을 준비가 되어 있습니다.</v>
      </c>
      <c r="F684" s="16" t="s">
        <v>5921</v>
      </c>
      <c r="G684" s="16">
        <v>1</v>
      </c>
    </row>
    <row r="685" spans="1:7" ht="51">
      <c r="A685" s="15"/>
      <c r="B685" s="16">
        <v>684</v>
      </c>
      <c r="C685" s="16" t="s">
        <v>5922</v>
      </c>
      <c r="D685" s="16" t="s">
        <v>7174</v>
      </c>
      <c r="E685" s="16" t="str">
        <f ca="1">IFERROR(__xludf.DUMMYFUNCTION("AI(""c컬럼의 단어를 활용해서 적절한 예문을 만들어줘. 한글 해석은 줄띄움 후에 작성해줘"")"),"Teachers often find that policing student attire is a significant burden that distracts them from their primary instructional duties.
교사들은 종종 학생 복장을 단속하는 것이 그들의 주요 교수 업무로부터 주의를 돌리게 하는 상당한 부담이라고 생각합니다.")</f>
        <v>Teachers often find that policing student attire is a significant burden that distracts them from their primary instructional duties.
교사들은 종종 학생 복장을 단속하는 것이 그들의 주요 교수 업무로부터 주의를 돌리게 하는 상당한 부담이라고 생각합니다.</v>
      </c>
      <c r="F685" s="16" t="s">
        <v>5923</v>
      </c>
      <c r="G685" s="16">
        <v>1</v>
      </c>
    </row>
    <row r="686" spans="1:7" ht="51">
      <c r="A686" s="15"/>
      <c r="B686" s="16">
        <v>685</v>
      </c>
      <c r="C686" s="16" t="s">
        <v>5924</v>
      </c>
      <c r="D686" s="16" t="s">
        <v>7175</v>
      </c>
      <c r="E686" s="16" t="str">
        <f ca="1">IFERROR(__xludf.DUMMYFUNCTION("AI(""c컬럼의 단어를 활용해서 적절한 예문을 만들어줘. 한글 해석은 줄띄움 후에 작성해줘"")"),"Instead of seeking a perfect solution, the team took a pragmatic approach to solve the complex problem within the given budget.
완벽한 해결책을 찾는 대신, 팀은 주어진 예산 내에서 복잡한 문제를 해결하기 위해 실용적인 접근 방식을 취했습니다.")</f>
        <v>Instead of seeking a perfect solution, the team took a pragmatic approach to solve the complex problem within the given budget.
완벽한 해결책을 찾는 대신, 팀은 주어진 예산 내에서 복잡한 문제를 해결하기 위해 실용적인 접근 방식을 취했습니다.</v>
      </c>
      <c r="F686" s="16" t="s">
        <v>5925</v>
      </c>
      <c r="G686" s="16">
        <v>1</v>
      </c>
    </row>
    <row r="687" spans="1:7" ht="25.5">
      <c r="A687" s="15"/>
      <c r="B687" s="16">
        <v>686</v>
      </c>
      <c r="C687" s="16" t="s">
        <v>5926</v>
      </c>
      <c r="D687" s="16" t="s">
        <v>7176</v>
      </c>
      <c r="E687" s="16" t="str">
        <f ca="1">IFERROR(__xludf.DUMMYFUNCTION("AI(""c컬럼의 단어를 활용해서 적절한 예문을 만들어줘. 한글 해석은 줄띄움 후에 작성해줘"")"),"A meteorological drought occurs due to a lack of precipitation over a prolonged period.
기상학적 가뭄은 장기간의 강수량 부족으로 인해 발생합니다.")</f>
        <v>A meteorological drought occurs due to a lack of precipitation over a prolonged period.
기상학적 가뭄은 장기간의 강수량 부족으로 인해 발생합니다.</v>
      </c>
      <c r="F687" s="16" t="s">
        <v>5927</v>
      </c>
      <c r="G687" s="16">
        <v>1</v>
      </c>
    </row>
    <row r="688" spans="1:7" ht="38.25">
      <c r="A688" s="15"/>
      <c r="B688" s="16">
        <v>687</v>
      </c>
      <c r="C688" s="16" t="s">
        <v>5928</v>
      </c>
      <c r="D688" s="16" t="s">
        <v>7177</v>
      </c>
      <c r="E688" s="16" t="str">
        <f ca="1">IFERROR(__xludf.DUMMYFUNCTION("AI(""c컬럼의 단어를 활용해서 적절한 예문을 만들어줘. 한글 해석은 줄띄움 후에 작성해줘"")"),"The university's academic prestige has grown significantly due to its groundbreaking research and world-class faculty.
그 대학의 학문적 명성은 획기적인 연구와 세계적인 교수진 덕분에 크게 성장했습니다.")</f>
        <v>The university's academic prestige has grown significantly due to its groundbreaking research and world-class faculty.
그 대학의 학문적 명성은 획기적인 연구와 세계적인 교수진 덕분에 크게 성장했습니다.</v>
      </c>
      <c r="F688" s="16" t="s">
        <v>5929</v>
      </c>
      <c r="G688" s="16">
        <v>1</v>
      </c>
    </row>
    <row r="689" spans="1:7" ht="51">
      <c r="A689" s="15"/>
      <c r="B689" s="16">
        <v>688</v>
      </c>
      <c r="C689" s="16" t="s">
        <v>5930</v>
      </c>
      <c r="D689" s="16" t="s">
        <v>7178</v>
      </c>
      <c r="E689" s="16" t="str">
        <f ca="1">IFERROR(__xludf.DUMMYFUNCTION("AI(""c컬럼의 단어를 활용해서 적절한 예문을 만들어줘. 한글 해석은 줄띄움 후에 작성해줘"")"),"Predators are rapidly attracted to prey scents, visiting scented locations sooner and in greater number than control locations.
포식자들은 먹잇감의 냄새에 빠르게 끌리며, 냄새가 없는 장소보다 냄새가 나는 장소를 더 빨리, 그리고 더 많이 방문합니다.")</f>
        <v>Predators are rapidly attracted to prey scents, visiting scented locations sooner and in greater number than control locations.
포식자들은 먹잇감의 냄새에 빠르게 끌리며, 냄새가 없는 장소보다 냄새가 나는 장소를 더 빨리, 그리고 더 많이 방문합니다.</v>
      </c>
      <c r="F689" s="16" t="s">
        <v>5931</v>
      </c>
      <c r="G689" s="16">
        <v>1</v>
      </c>
    </row>
    <row r="690" spans="1:7" ht="25.5">
      <c r="A690" s="15"/>
      <c r="B690" s="16">
        <v>689</v>
      </c>
      <c r="C690" s="16" t="s">
        <v>5932</v>
      </c>
      <c r="D690" s="16" t="s">
        <v>7179</v>
      </c>
      <c r="E690" s="16" t="str">
        <f ca="1">IFERROR(__xludf.DUMMYFUNCTION("AI(""c컬럼의 단어를 활용해서 적절한 예문을 만들어줘. 한글 해석은 줄띄움 후에 작성해줘"")"),"The study of early humans often focuses on biological evolution and the development of primitive tools.
인류 초기 연구는 생물학적 진화와 원시적인 도구의 발달에 종종 초점을 맞춥니다.")</f>
        <v>The study of early humans often focuses on biological evolution and the development of primitive tools.
인류 초기 연구는 생물학적 진화와 원시적인 도구의 발달에 종종 초점을 맞춥니다.</v>
      </c>
      <c r="F690" s="16" t="s">
        <v>5933</v>
      </c>
      <c r="G690" s="16">
        <v>1</v>
      </c>
    </row>
    <row r="691" spans="1:7" ht="25.5">
      <c r="A691" s="15"/>
      <c r="B691" s="16">
        <v>690</v>
      </c>
      <c r="C691" s="16" t="s">
        <v>5934</v>
      </c>
      <c r="D691" s="16" t="s">
        <v>7180</v>
      </c>
      <c r="E691" s="16" t="str">
        <f ca="1">IFERROR(__xludf.DUMMYFUNCTION("AI(""c컬럼의 단어를 활용해서 적절한 예문을 만들어줘. 한글 해석은 줄띄움 후에 작성해줘"")"),"All proceeds from the charity event will be donated to a local orphanage.
자선 행사에서 발생한 모든 수익금은 지역 고아원에 기부될 예정입니다.")</f>
        <v>All proceeds from the charity event will be donated to a local orphanage.
자선 행사에서 발생한 모든 수익금은 지역 고아원에 기부될 예정입니다.</v>
      </c>
      <c r="F691" s="16" t="s">
        <v>5935</v>
      </c>
      <c r="G691" s="16">
        <v>1</v>
      </c>
    </row>
    <row r="692" spans="1:7" ht="25.5">
      <c r="A692" s="15"/>
      <c r="B692" s="16">
        <v>691</v>
      </c>
      <c r="C692" s="16" t="s">
        <v>5936</v>
      </c>
      <c r="D692" s="16" t="s">
        <v>7181</v>
      </c>
      <c r="E692" s="16" t="str">
        <f ca="1">IFERROR(__xludf.DUMMYFUNCTION("AI(""c컬럼의 단어를 활용해서 적절한 예문을 만들어줘. 한글 해석은 줄띄움 후에 작성해줘"")"),"The company issued a product recall due to a material defect in the battery packs.
그 회사는 배터리 팩의 중대한 결함으로 인해 제품 리콜을 실시했습니다.")</f>
        <v>The company issued a product recall due to a material defect in the battery packs.
그 회사는 배터리 팩의 중대한 결함으로 인해 제품 리콜을 실시했습니다.</v>
      </c>
      <c r="F692" s="16" t="s">
        <v>5937</v>
      </c>
      <c r="G692" s="16">
        <v>1</v>
      </c>
    </row>
    <row r="693" spans="1:7" ht="51">
      <c r="A693" s="15"/>
      <c r="B693" s="16">
        <v>692</v>
      </c>
      <c r="C693" s="16" t="s">
        <v>5938</v>
      </c>
      <c r="D693" s="16" t="s">
        <v>7182</v>
      </c>
      <c r="E693" s="16" t="str">
        <f ca="1">IFERROR(__xludf.DUMMYFUNCTION("AI(""c컬럼의 단어를 활용해서 적절한 예문을 만들어줘. 한글 해석은 줄띄움 후에 작성해줘"")"),"Profit-sharing – a compensation strategy where employees receive a share of the company's profits – can have a profound impact on employee morale and retention.
이익 공유(직원이 회사 이익의 일부를 받는 보상 전략)는 직원의 사기와 유지에 깊은 영향을 미칠 수 있습니다.")</f>
        <v>Profit-sharing – a compensation strategy where employees receive a share of the company's profits – can have a profound impact on employee morale and retention.
이익 공유(직원이 회사 이익의 일부를 받는 보상 전략)는 직원의 사기와 유지에 깊은 영향을 미칠 수 있습니다.</v>
      </c>
      <c r="F693" s="16" t="s">
        <v>5939</v>
      </c>
      <c r="G693" s="16">
        <v>1</v>
      </c>
    </row>
    <row r="694" spans="1:7" ht="38.25">
      <c r="A694" s="15"/>
      <c r="B694" s="16">
        <v>693</v>
      </c>
      <c r="C694" s="16" t="s">
        <v>3523</v>
      </c>
      <c r="D694" s="16" t="s">
        <v>7183</v>
      </c>
      <c r="E694" s="16" t="str">
        <f ca="1">IFERROR(__xludf.DUMMYFUNCTION("AI(""c컬럼의 단어를 활용해서 적절한 예문을 만들어줘. 한글 해석은 줄띄움 후에 작성해줘"")"),"The invention of the printing press had a profound effect on the dissemination of information across the world.
인쇄기의 발명은 전 세계에 정보가 퍼지는 방식에 중대한 영향을 미쳤습니다.")</f>
        <v>The invention of the printing press had a profound effect on the dissemination of information across the world.
인쇄기의 발명은 전 세계에 정보가 퍼지는 방식에 중대한 영향을 미쳤습니다.</v>
      </c>
      <c r="F694" s="16" t="s">
        <v>5940</v>
      </c>
      <c r="G694" s="16">
        <v>1</v>
      </c>
    </row>
    <row r="695" spans="1:7" ht="25.5">
      <c r="A695" s="15"/>
      <c r="B695" s="16">
        <v>694</v>
      </c>
      <c r="C695" s="16" t="s">
        <v>5941</v>
      </c>
      <c r="D695" s="16" t="s">
        <v>7184</v>
      </c>
      <c r="E695" s="16" t="str">
        <f ca="1">IFERROR(__xludf.DUMMYFUNCTION("AI(""c컬럼의 단어를 활용해서 적절한 예문을 만들어줘. 한글 해석은 줄띄움 후에 작성해줘"")"),"As global temperatures rise, trees are growing faster but showing progressively shorter lifespans.
지구 기온이 상승함에 따라 나무들은 더 빨리 자라지만 점점 더 짧아지는 수명을 보이고 있습니다.")</f>
        <v>As global temperatures rise, trees are growing faster but showing progressively shorter lifespans.
지구 기온이 상승함에 따라 나무들은 더 빨리 자라지만 점점 더 짧아지는 수명을 보이고 있습니다.</v>
      </c>
      <c r="F695" s="16" t="s">
        <v>5942</v>
      </c>
      <c r="G695" s="16">
        <v>1</v>
      </c>
    </row>
    <row r="696" spans="1:7" ht="38.25">
      <c r="A696" s="15"/>
      <c r="B696" s="16">
        <v>695</v>
      </c>
      <c r="C696" s="16" t="s">
        <v>5943</v>
      </c>
      <c r="D696" s="16" t="s">
        <v>7185</v>
      </c>
      <c r="E696" s="16" t="str">
        <f ca="1">IFERROR(__xludf.DUMMYFUNCTION("AI(""c컬럼의 단어를 활용해서 적절한 예문을 만들어줘. 한글 해석은 줄띄움 후에 작성해줘"")"),"The prolonged dispute between the two neighboring countries over the border has finally been resolved through diplomatic negotiations.
그 경계선을 둘러싼 두 인접 국가 간의 장기화된 분쟁이 마침내 외교적 협상을 통해 해결되었습니다.")</f>
        <v>The prolonged dispute between the two neighboring countries over the border has finally been resolved through diplomatic negotiations.
그 경계선을 둘러싼 두 인접 국가 간의 장기화된 분쟁이 마침내 외교적 협상을 통해 해결되었습니다.</v>
      </c>
      <c r="F696" s="16" t="s">
        <v>5944</v>
      </c>
      <c r="G696" s="16">
        <v>1</v>
      </c>
    </row>
    <row r="697" spans="1:7" ht="51">
      <c r="A697" s="15"/>
      <c r="B697" s="16">
        <v>696</v>
      </c>
      <c r="C697" s="16" t="s">
        <v>5945</v>
      </c>
      <c r="D697" s="16" t="s">
        <v>7186</v>
      </c>
      <c r="E697" s="16" t="str">
        <f ca="1">IFERROR(__xludf.DUMMYFUNCTION("AI(""c컬럼의 단어를 활용해서 적절한 예문을 만들어줘. 한글 해석은 줄띄움 후에 작성해줘"")"),"Ohio farmers are facing increasingly difficult conditions as a prolonged dry spell continues to impact the state's agriculture.
오하이오주 농부들은 장기간의 건조기가 주의 농업에 계속 영향을 미치면서 점점 더 어려운 상황에 처해 있습니다.")</f>
        <v>Ohio farmers are facing increasingly difficult conditions as a prolonged dry spell continues to impact the state's agriculture.
오하이오주 농부들은 장기간의 건조기가 주의 농업에 계속 영향을 미치면서 점점 더 어려운 상황에 처해 있습니다.</v>
      </c>
      <c r="F697" s="16" t="s">
        <v>5945</v>
      </c>
      <c r="G697" s="16">
        <v>1</v>
      </c>
    </row>
    <row r="698" spans="1:7" ht="38.25">
      <c r="A698" s="15"/>
      <c r="B698" s="16">
        <v>697</v>
      </c>
      <c r="C698" s="16" t="s">
        <v>5946</v>
      </c>
      <c r="D698" s="16" t="s">
        <v>7187</v>
      </c>
      <c r="E698" s="16" t="str">
        <f ca="1">IFERROR(__xludf.DUMMYFUNCTION("AI(""c컬럼의 단어를 활용해서 적절한 예문을 만들어줘. 한글 해석은 줄띄움 후에 작성해줘"")"),"The bright future and career prospects of international business graduates depend on their ability to adapt to diverse cultures.
국제 비즈니스 졸업생들의 밝은 미래와 경력 전망은 다양한 문화에 적응하는 능력에 달려 있습니다.")</f>
        <v>The bright future and career prospects of international business graduates depend on their ability to adapt to diverse cultures.
국제 비즈니스 졸업생들의 밝은 미래와 경력 전망은 다양한 문화에 적응하는 능력에 달려 있습니다.</v>
      </c>
      <c r="F698" s="16" t="s">
        <v>5947</v>
      </c>
      <c r="G698" s="16">
        <v>1</v>
      </c>
    </row>
    <row r="699" spans="1:7" ht="25.5">
      <c r="A699" s="15"/>
      <c r="B699" s="16">
        <v>698</v>
      </c>
      <c r="C699" s="16" t="s">
        <v>597</v>
      </c>
      <c r="D699" s="16" t="s">
        <v>7188</v>
      </c>
      <c r="E699" s="16" t="str">
        <f ca="1">IFERROR(__xludf.DUMMYFUNCTION("AI(""c컬럼의 단어를 활용해서 적절한 예문을 만들어줘. 한글 해석은 줄띄움 후에 작성해줘"")"),"The city was a prosperous urban center with a thriving economy and advanced infrastructure.
그 도시는 번창하는 경제와 선진 기반 시설을 갖춘 번영한 도시 중심지였습니다.")</f>
        <v>The city was a prosperous urban center with a thriving economy and advanced infrastructure.
그 도시는 번창하는 경제와 선진 기반 시설을 갖춘 번영한 도시 중심지였습니다.</v>
      </c>
      <c r="F699" s="16" t="s">
        <v>5948</v>
      </c>
      <c r="G699" s="16">
        <v>1</v>
      </c>
    </row>
    <row r="700" spans="1:7" ht="25.5">
      <c r="A700" s="15"/>
      <c r="B700" s="16">
        <v>699</v>
      </c>
      <c r="C700" s="16" t="s">
        <v>5949</v>
      </c>
      <c r="D700" s="16" t="s">
        <v>7189</v>
      </c>
      <c r="E700" s="16" t="str">
        <f ca="1">IFERROR(__xludf.DUMMYFUNCTION("AI(""c컬럼의 단어를 활용해서 적절한 예문을 만들어줘. 한글 해석은 줄띄움 후에 작성해줘"")"),"The properties are located in close proximity to the Q train at the 72nd Street station.
그 부동산들은 72번가 역의 Q 열차와 아주 가까운 곳에 위치해 있습니다.")</f>
        <v>The properties are located in close proximity to the Q train at the 72nd Street station.
그 부동산들은 72번가 역의 Q 열차와 아주 가까운 곳에 위치해 있습니다.</v>
      </c>
      <c r="F700" s="16" t="s">
        <v>5950</v>
      </c>
      <c r="G700" s="16">
        <v>1</v>
      </c>
    </row>
    <row r="701" spans="1:7" ht="51">
      <c r="A701" s="15"/>
      <c r="B701" s="16">
        <v>700</v>
      </c>
      <c r="C701" s="16" t="s">
        <v>5951</v>
      </c>
      <c r="D701" s="16" t="s">
        <v>7190</v>
      </c>
      <c r="E701" s="16" t="str">
        <f ca="1">IFERROR(__xludf.DUMMYFUNCTION("AI(""c컬럼의 단어를 활용해서 적절한 예문을 만들어줘. 한글 해석은 줄띄움 후에 작성해줘"")"),"To be eligible for naturalization, most green card holders must show they have lived in the U.S. for at least five years and meet other requirements to qualify as a citizen.
귀화 자격을 얻으려면, 대부분의 영주권자는 최소 5년 동안 미국에 거주했음을 증명해야 하며 시민권자로서의 자격을 갖추기 위한 기타 요건들을 충족해"&amp;"야 합니다.")</f>
        <v>To be eligible for naturalization, most green card holders must show they have lived in the U.S. for at least five years and meet other requirements to qualify as a citizen.
귀화 자격을 얻으려면, 대부분의 영주권자는 최소 5년 동안 미국에 거주했음을 증명해야 하며 시민권자로서의 자격을 갖추기 위한 기타 요건들을 충족해야 합니다.</v>
      </c>
      <c r="F701" s="16" t="s">
        <v>5952</v>
      </c>
      <c r="G701" s="16">
        <v>1</v>
      </c>
    </row>
    <row r="702" spans="1:7" ht="38.25">
      <c r="A702" s="15"/>
      <c r="B702" s="16">
        <v>701</v>
      </c>
      <c r="C702" s="16" t="s">
        <v>5953</v>
      </c>
      <c r="D702" s="16" t="s">
        <v>7191</v>
      </c>
      <c r="E702" s="16" t="str">
        <f ca="1">IFERROR(__xludf.DUMMYFUNCTION("AI(""c컬럼의 단어를 활용해서 적절한 예문을 만들어줘. 한글 해석은 줄띄움 후에 작성해줘"")"),"To raise money for the local hospital, the community organized a raffle with several exciting prizes.
지역 병원을 위한 기금을 모으기 위해 지역 사회는 몇 가지 흥미로운 상품이 걸린 추첨 행사를 조직했습니다.")</f>
        <v>To raise money for the local hospital, the community organized a raffle with several exciting prizes.
지역 병원을 위한 기금을 모으기 위해 지역 사회는 몇 가지 흥미로운 상품이 걸린 추첨 행사를 조직했습니다.</v>
      </c>
      <c r="F702" s="16" t="s">
        <v>5954</v>
      </c>
      <c r="G702" s="16">
        <v>1</v>
      </c>
    </row>
    <row r="703" spans="1:7" ht="51">
      <c r="A703" s="15"/>
      <c r="B703" s="16">
        <v>702</v>
      </c>
      <c r="C703" s="16" t="s">
        <v>5955</v>
      </c>
      <c r="D703" s="16" t="s">
        <v>7192</v>
      </c>
      <c r="E703" s="16" t="str">
        <f ca="1">IFERROR(__xludf.DUMMYFUNCTION("AI(""c컬럼의 단어를 활용해서 적절한 예문을 만들어줘. 한글 해석은 줄띄움 후에 작성해줘"")"),"The S&amp;P 500 rallied 1% and topped its prior all-time high to close out its best month in more than five years.
S&amp;P 500 지수는 1% 반등하며 이전 역대 최고치를 경신했고, 5년 만에 최고의 달을 기록하며 마감했습니다.")</f>
        <v>The S&amp;P 500 rallied 1% and topped its prior all-time high to close out its best month in more than five years.
S&amp;P 500 지수는 1% 반등하며 이전 역대 최고치를 경신했고, 5년 만에 최고의 달을 기록하며 마감했습니다.</v>
      </c>
      <c r="F703" s="16" t="s">
        <v>5956</v>
      </c>
      <c r="G703" s="16">
        <v>1</v>
      </c>
    </row>
    <row r="704" spans="1:7" ht="51">
      <c r="A704" s="15"/>
      <c r="B704" s="16">
        <v>703</v>
      </c>
      <c r="C704" s="16" t="s">
        <v>5957</v>
      </c>
      <c r="D704" s="16" t="s">
        <v>7193</v>
      </c>
      <c r="E704" s="16" t="str">
        <f ca="1">IFERROR(__xludf.DUMMYFUNCTION("AI(""c컬럼의 단어를 활용해서 적절한 예문을 만들어줘. 한글 해석은 줄띄움 후에 작성해줘"")"),"The ready-to-wear fashion market is expanding rapidly as consumers increasingly favor convenience and affordability over custom clothing.
기성복 패션 시장은 소비자들이 맞춤복보다 편리함과 저렴함을 점점 더 선호함에 따라 빠르게 확장되고 있습니다.")</f>
        <v>The ready-to-wear fashion market is expanding rapidly as consumers increasingly favor convenience and affordability over custom clothing.
기성복 패션 시장은 소비자들이 맞춤복보다 편리함과 저렴함을 점점 더 선호함에 따라 빠르게 확장되고 있습니다.</v>
      </c>
      <c r="F704" s="16" t="s">
        <v>5958</v>
      </c>
      <c r="G704" s="16">
        <v>1</v>
      </c>
    </row>
    <row r="705" spans="1:7" ht="38.25">
      <c r="A705" s="15"/>
      <c r="B705" s="16">
        <v>704</v>
      </c>
      <c r="C705" s="16" t="s">
        <v>5959</v>
      </c>
      <c r="D705" s="16" t="s">
        <v>7194</v>
      </c>
      <c r="E705" s="16" t="str">
        <f ca="1">IFERROR(__xludf.DUMMYFUNCTION("AI(""c컬럼의 단어를 활용해서 적절한 예문을 만들어줘. 한글 해석은 줄띄움 후에 작성해줘"")"),"The government launched a massive reconstruction effort to rebuild the city's infrastructure after the devastating earthquake.
정부는 파괴적인 지진 이후 도시의 기반 시설을 복구하기 위해 대규모 재건 노력을 시작했습니다.")</f>
        <v>The government launched a massive reconstruction effort to rebuild the city's infrastructure after the devastating earthquake.
정부는 파괴적인 지진 이후 도시의 기반 시설을 복구하기 위해 대규모 재건 노력을 시작했습니다.</v>
      </c>
      <c r="F705" s="16" t="s">
        <v>5960</v>
      </c>
      <c r="G705" s="16">
        <v>1</v>
      </c>
    </row>
    <row r="706" spans="1:7" ht="25.5">
      <c r="A706" s="15"/>
      <c r="B706" s="16">
        <v>705</v>
      </c>
      <c r="C706" s="16" t="s">
        <v>5961</v>
      </c>
      <c r="D706" s="16" t="s">
        <v>7195</v>
      </c>
      <c r="E706" s="16" t="str">
        <f ca="1">IFERROR(__xludf.DUMMYFUNCTION("AI(""c컬럼의 단어를 활용해서 적절한 예문을 만들어줘. 한글 해석은 줄띄움 후에 작성해줘"")"),"Customers can redeem points to get a fixed discount on their entire order.
고객들은 포인트을 사용하여 전체 주문에 대해 정해진 할인을 받을 수 있습니다.")</f>
        <v>Customers can redeem points to get a fixed discount on their entire order.
고객들은 포인트을 사용하여 전체 주문에 대해 정해진 할인을 받을 수 있습니다.</v>
      </c>
      <c r="F706" s="16" t="s">
        <v>5962</v>
      </c>
      <c r="G706" s="16">
        <v>1</v>
      </c>
    </row>
    <row r="707" spans="1:7" ht="38.25">
      <c r="A707" s="15"/>
      <c r="B707" s="16">
        <v>706</v>
      </c>
      <c r="C707" s="16" t="s">
        <v>5963</v>
      </c>
      <c r="D707" s="16" t="s">
        <v>7196</v>
      </c>
      <c r="E707" s="16" t="str">
        <f ca="1">IFERROR(__xludf.DUMMYFUNCTION("AI(""c컬럼의 단어를 활용해서 적절한 예문을 만들어줘. 한글 해석은 줄띄움 후에 작성해줘"")"),"Accepting responsibility means being honest about my choices and deciding how to find redemption.
책임을 받아들인다는 것은 자신의 선택에 정직해지고 어떻게 명예를 회복할지 결정하는 것을 의미합니다.")</f>
        <v>Accepting responsibility means being honest about my choices and deciding how to find redemption.
책임을 받아들인다는 것은 자신의 선택에 정직해지고 어떻게 명예를 회복할지 결정하는 것을 의미합니다.</v>
      </c>
      <c r="F707" s="16" t="s">
        <v>5964</v>
      </c>
      <c r="G707" s="16">
        <v>1</v>
      </c>
    </row>
    <row r="708" spans="1:7" ht="25.5">
      <c r="A708" s="15"/>
      <c r="B708" s="16">
        <v>707</v>
      </c>
      <c r="C708" s="16" t="s">
        <v>5965</v>
      </c>
      <c r="D708" s="16" t="s">
        <v>7197</v>
      </c>
      <c r="E708" s="16" t="str">
        <f ca="1">IFERROR(__xludf.DUMMYFUNCTION("AI(""c컬럼의 단어를 활용해서 적절한 예문을 만들어줘. 한글 해석은 줄띄움 후에 작성해줘"")"),"After much reflection, he decided to leave his current job and pursue a new career path.
많은 성찰 끝에 그는 현재의 직장을 떠나 새로운 경력 경로를 추구하기로 결정했습니다.")</f>
        <v>After much reflection, he decided to leave his current job and pursue a new career path.
많은 성찰 끝에 그는 현재의 직장을 떠나 새로운 경력 경로를 추구하기로 결정했습니다.</v>
      </c>
      <c r="F708" s="16" t="s">
        <v>5966</v>
      </c>
      <c r="G708" s="16">
        <v>1</v>
      </c>
    </row>
    <row r="709" spans="1:7" ht="25.5">
      <c r="A709" s="15"/>
      <c r="B709" s="16">
        <v>708</v>
      </c>
      <c r="C709" s="16" t="s">
        <v>5967</v>
      </c>
      <c r="D709" s="16" t="s">
        <v>7198</v>
      </c>
      <c r="E709" s="16" t="str">
        <f ca="1">IFERROR(__xludf.DUMMYFUNCTION("AI(""c컬럼의 단어를 활용해서 적절한 예문을 만들어줘. 한글 해석은 줄띄움 후에 작성해줘"")"),"Hormones play a crucial role in regulating growth and metabolism in the human body.
호르몬은 인체의 성장과 대사를 조절하는 데 중요한 역할을 합니다.")</f>
        <v>Hormones play a crucial role in regulating growth and metabolism in the human body.
호르몬은 인체의 성장과 대사를 조절하는 데 중요한 역할을 합니다.</v>
      </c>
      <c r="F709" s="16" t="s">
        <v>5968</v>
      </c>
      <c r="G709" s="16">
        <v>1</v>
      </c>
    </row>
    <row r="710" spans="1:7" ht="51">
      <c r="A710" s="15"/>
      <c r="B710" s="16">
        <v>709</v>
      </c>
      <c r="C710" s="16" t="s">
        <v>5969</v>
      </c>
      <c r="D710" s="16" t="s">
        <v>7199</v>
      </c>
      <c r="E710" s="16" t="str">
        <f ca="1">IFERROR(__xludf.DUMMYFUNCTION("AI(""c컬럼의 단어를 활용해서 적절한 예문을 만들어줘. 한글 해석은 줄띄움 후에 작성해줘"")"),"Post-surgery rehabilitation is a carefully structured program designed to support your recovery journey by restoring function and reducing pain.
수술 후 재활은 기능을 회복하고 통증을 줄임으로써 귀하의 회복 여정을 지원하도록 설계된 세심하게 구조화된 프로그램입니다.")</f>
        <v>Post-surgery rehabilitation is a carefully structured program designed to support your recovery journey by restoring function and reducing pain.
수술 후 재활은 기능을 회복하고 통증을 줄임으로써 귀하의 회복 여정을 지원하도록 설계된 세심하게 구조화된 프로그램입니다.</v>
      </c>
      <c r="F710" s="16" t="s">
        <v>5970</v>
      </c>
      <c r="G710" s="16">
        <v>1</v>
      </c>
    </row>
    <row r="711" spans="1:7" ht="51">
      <c r="A711" s="15"/>
      <c r="B711" s="16">
        <v>710</v>
      </c>
      <c r="C711" s="16" t="s">
        <v>5971</v>
      </c>
      <c r="D711" s="16" t="s">
        <v>7200</v>
      </c>
      <c r="E711" s="16" t="str">
        <f ca="1">IFERROR(__xludf.DUMMYFUNCTION("AI(""c컬럼의 단어를 활용해서 적절한 예문을 만들어줘. 한글 해석은 줄띄움 후에 작성해줘"")"),"Queen Elizabeth II ruled for longer than any other monarch in British history, and her decades-long reign ended in 2022.
엘리자베스 2세 여왕은 영국 역사상 그 어떤 군주보다 오랫동안 통치했으며, 그녀의 수십 년에 걸친 통치 기간은 2022년에 끝났습니다.")</f>
        <v>Queen Elizabeth II ruled for longer than any other monarch in British history, and her decades-long reign ended in 2022.
엘리자베스 2세 여왕은 영국 역사상 그 어떤 군주보다 오랫동안 통치했으며, 그녀의 수십 년에 걸친 통치 기간은 2022년에 끝났습니다.</v>
      </c>
      <c r="F711" s="16" t="s">
        <v>5972</v>
      </c>
      <c r="G711" s="16">
        <v>1</v>
      </c>
    </row>
    <row r="712" spans="1:7" ht="38.25">
      <c r="A712" s="15"/>
      <c r="B712" s="16">
        <v>711</v>
      </c>
      <c r="C712" s="16" t="s">
        <v>5973</v>
      </c>
      <c r="D712" s="16" t="s">
        <v>7201</v>
      </c>
      <c r="E712" s="16" t="str">
        <f ca="1">IFERROR(__xludf.DUMMYFUNCTION("AI(""c컬럼의 단어를 활용해서 적절한 예문을 만들어줘. 한글 해석은 줄띄움 후에 작성해줘"")"),"After a difficult breakup and feeling stuck in his career, he decided to move abroad and reinvent himself.
힘든 이별을 겪고 커리어에서 정체됨을 느낀 후, 그는 해외로 이주하여 자신을 새롭게 바꾸기로 결심했습니다.")</f>
        <v>After a difficult breakup and feeling stuck in his career, he decided to move abroad and reinvent himself.
힘든 이별을 겪고 커리어에서 정체됨을 느낀 후, 그는 해외로 이주하여 자신을 새롭게 바꾸기로 결심했습니다.</v>
      </c>
      <c r="F712" s="16" t="s">
        <v>5974</v>
      </c>
      <c r="G712" s="16">
        <v>1</v>
      </c>
    </row>
    <row r="713" spans="1:7" ht="25.5">
      <c r="A713" s="15"/>
      <c r="B713" s="16">
        <v>712</v>
      </c>
      <c r="C713" s="16" t="s">
        <v>5975</v>
      </c>
      <c r="D713" s="16" t="s">
        <v>7202</v>
      </c>
      <c r="E713" s="16" t="str">
        <f ca="1">IFERROR(__xludf.DUMMYFUNCTION("AI(""c컬럼의 단어를 활용해서 적절한 예문을 만들어줘. 한글 해석은 줄띄움 후에 작성해줘"")"),"The company decided to relocate its main office to a different city to reduce operational costs.
그 회사는 운영 비용을 줄이기 위해 본사를 다른 도시로 이전하기로 결정했습니다.")</f>
        <v>The company decided to relocate its main office to a different city to reduce operational costs.
그 회사는 운영 비용을 줄이기 위해 본사를 다른 도시로 이전하기로 결정했습니다.</v>
      </c>
      <c r="F713" s="16" t="s">
        <v>5976</v>
      </c>
      <c r="G713" s="16">
        <v>1</v>
      </c>
    </row>
    <row r="714" spans="1:7" ht="25.5">
      <c r="A714" s="15"/>
      <c r="B714" s="16">
        <v>713</v>
      </c>
      <c r="C714" s="16" t="s">
        <v>5977</v>
      </c>
      <c r="D714" s="16" t="s">
        <v>7203</v>
      </c>
      <c r="E714" s="16" t="str">
        <f ca="1">IFERROR(__xludf.DUMMYFUNCTION("AI(""c컬럼의 단어를 활용해서 적절한 예문을 만들어줘. 한글 해석은 줄띄움 후에 작성해줘"")"),"Only a few sections of the original wall remain as a remnant of the ancient capital.
고대 수도의 잔재로서 원래 성벽의 일부 구역만이 남아 있습니다.")</f>
        <v>Only a few sections of the original wall remain as a remnant of the ancient capital.
고대 수도의 잔재로서 원래 성벽의 일부 구역만이 남아 있습니다.</v>
      </c>
      <c r="F714" s="16" t="s">
        <v>5978</v>
      </c>
      <c r="G714" s="16">
        <v>1</v>
      </c>
    </row>
    <row r="715" spans="1:7" ht="25.5">
      <c r="A715" s="15"/>
      <c r="B715" s="16">
        <v>714</v>
      </c>
      <c r="C715" s="16" t="s">
        <v>5979</v>
      </c>
      <c r="D715" s="16" t="s">
        <v>7204</v>
      </c>
      <c r="E715" s="16" t="str">
        <f ca="1">IFERROR(__xludf.DUMMYFUNCTION("AI(""c컬럼의 단어를 활용해서 적절한 예문을 만들어줘. 한글 해석은 줄띄움 후에 작성해줘"")"),"The author gained international renown after her novel was translated into several languages.
그 작가는 그녀의 소설이 여러 언어로 번역된 후 국제적인 명성을 얻었습니다.")</f>
        <v>The author gained international renown after her novel was translated into several languages.
그 작가는 그녀의 소설이 여러 언어로 번역된 후 국제적인 명성을 얻었습니다.</v>
      </c>
      <c r="F715" s="16" t="s">
        <v>5980</v>
      </c>
      <c r="G715" s="16">
        <v>1</v>
      </c>
    </row>
    <row r="716" spans="1:7" ht="51">
      <c r="A716" s="15"/>
      <c r="B716" s="16">
        <v>715</v>
      </c>
      <c r="C716" s="16" t="s">
        <v>5981</v>
      </c>
      <c r="D716" s="16" t="s">
        <v>7205</v>
      </c>
      <c r="E716" s="16" t="str">
        <f ca="1">IFERROR(__xludf.DUMMYFUNCTION("AI(""c컬럼의 단어를 활용해서 적절한 예문을 만들어줘. 한글 해석은 줄띄움 후에 작성해줘"")"),"The South Temple Historic District is a remarkable area in Salt Lake City, renowned for its architectural beauty and historical significance.
솔트레이크시티의 사우스 템플 역사 지구는 건축미와 역사적 중요성으로 유명한 주목할 만한 지역입니다.")</f>
        <v>The South Temple Historic District is a remarkable area in Salt Lake City, renowned for its architectural beauty and historical significance.
솔트레이크시티의 사우스 템플 역사 지구는 건축미와 역사적 중요성으로 유명한 주목할 만한 지역입니다.</v>
      </c>
      <c r="F716" s="16" t="s">
        <v>5982</v>
      </c>
      <c r="G716" s="16">
        <v>1</v>
      </c>
    </row>
    <row r="717" spans="1:7" ht="25.5">
      <c r="A717" s="15"/>
      <c r="B717" s="16">
        <v>716</v>
      </c>
      <c r="C717" s="16" t="s">
        <v>5983</v>
      </c>
      <c r="D717" s="16" t="s">
        <v>7206</v>
      </c>
      <c r="E717" s="16" t="str">
        <f ca="1">IFERROR(__xludf.DUMMYFUNCTION("AI(""c컬럼의 단어를 활용해서 적절한 예문을 만들어줘. 한글 해석은 줄띄움 후에 작성해줘"")"),"The government decided to repeal the outdated law to better reflect modern societal values.
정부는 현대 사회의 가치를 더 잘 반영하기 위해 시대에 뒤떨어진 법률을 폐지하기로 결정했습니다.")</f>
        <v>The government decided to repeal the outdated law to better reflect modern societal values.
정부는 현대 사회의 가치를 더 잘 반영하기 위해 시대에 뒤떨어진 법률을 폐지하기로 결정했습니다.</v>
      </c>
      <c r="F717" s="16" t="s">
        <v>5984</v>
      </c>
      <c r="G717" s="16">
        <v>1</v>
      </c>
    </row>
    <row r="718" spans="1:7" ht="38.25">
      <c r="A718" s="15"/>
      <c r="B718" s="16">
        <v>717</v>
      </c>
      <c r="C718" s="16" t="s">
        <v>5985</v>
      </c>
      <c r="D718" s="16" t="s">
        <v>7207</v>
      </c>
      <c r="E718" s="16" t="str">
        <f ca="1">IFERROR(__xludf.DUMMYFUNCTION("AI(""c컬럼의 단어를 활용해서 적절한 예문을 만들어줘. 한글 해석은 줄띄움 후에 작성해줘"")"),"Always verify information by cross-referencing multiple reputable sources to ensure its accuracy and reliability.
항상 여러 평판 좋은 출처를 교차 확인하여 정보의 정확성과 신뢰성을 검증하십시오.")</f>
        <v>Always verify information by cross-referencing multiple reputable sources to ensure its accuracy and reliability.
항상 여러 평판 좋은 출처를 교차 확인하여 정보의 정확성과 신뢰성을 검증하십시오.</v>
      </c>
      <c r="F718" s="16" t="s">
        <v>5986</v>
      </c>
      <c r="G718" s="16">
        <v>1</v>
      </c>
    </row>
    <row r="719" spans="1:7" ht="51">
      <c r="A719" s="15"/>
      <c r="B719" s="16">
        <v>718</v>
      </c>
      <c r="C719" s="16" t="s">
        <v>3811</v>
      </c>
      <c r="D719" s="16" t="s">
        <v>7208</v>
      </c>
      <c r="E719" s="16" t="str">
        <f ca="1">IFERROR(__xludf.DUMMYFUNCTION("AI(""c컬럼의 단어를 활용해서 적절한 예문을 만들어줘. 한글 해석은 줄띄움 후에 작성해줘"")"),"Some argue that reservoirs are becoming increasingly important in ensuring water security and facilitating drought management.
일부 사람들은 저수지가 물 안보를 보장하고 가뭄 관리를 용이하게 하는 데 점점 더 중요해지고 있다고 주장합니다.")</f>
        <v>Some argue that reservoirs are becoming increasingly important in ensuring water security and facilitating drought management.
일부 사람들은 저수지가 물 안보를 보장하고 가뭄 관리를 용이하게 하는 데 점점 더 중요해지고 있다고 주장합니다.</v>
      </c>
      <c r="F719" s="16" t="s">
        <v>5987</v>
      </c>
      <c r="G719" s="16">
        <v>1</v>
      </c>
    </row>
    <row r="720" spans="1:7" ht="51">
      <c r="A720" s="15"/>
      <c r="B720" s="16">
        <v>719</v>
      </c>
      <c r="C720" s="16" t="s">
        <v>5988</v>
      </c>
      <c r="D720" s="16" t="s">
        <v>7209</v>
      </c>
      <c r="E720" s="16" t="str">
        <f ca="1">IFERROR(__xludf.DUMMYFUNCTION("AI(""c컬럼의 단어를 활용해서 적절한 예문을 만들어줘. 한글 해석은 줄띄움 후에 작성해줘"")"),"It is important to follow the correct resignation protocol by informing your immediate supervisor before telling any other colleagues.
퇴직 절차를 올바르게 따르기 위해 동료들에게 알리기 전 직속 상사에게 먼저 보고하는 것이 중요합니다.")</f>
        <v>It is important to follow the correct resignation protocol by informing your immediate supervisor before telling any other colleagues.
퇴직 절차를 올바르게 따르기 위해 동료들에게 알리기 전 직속 상사에게 먼저 보고하는 것이 중요합니다.</v>
      </c>
      <c r="F720" s="16" t="s">
        <v>5989</v>
      </c>
      <c r="G720" s="16">
        <v>1</v>
      </c>
    </row>
    <row r="721" spans="1:7" ht="38.25">
      <c r="A721" s="15"/>
      <c r="B721" s="16">
        <v>720</v>
      </c>
      <c r="C721" s="16" t="s">
        <v>5990</v>
      </c>
      <c r="D721" s="16" t="s">
        <v>7210</v>
      </c>
      <c r="E721" s="16" t="str">
        <f ca="1">IFERROR(__xludf.DUMMYFUNCTION("AI(""c컬럼의 단어를 활용해서 적절한 예문을 만들어줘. 한글 해석은 줄띄움 후에 작성해줘"")"),"The international community is calling for a peaceful resolution of the crisis through diplomacy and dialogue.
국제사회는 외교와 대화를 통해 그 위기를 평화적으로 해결할 것을 요구하고 있습니다.")</f>
        <v>The international community is calling for a peaceful resolution of the crisis through diplomacy and dialogue.
국제사회는 외교와 대화를 통해 그 위기를 평화적으로 해결할 것을 요구하고 있습니다.</v>
      </c>
      <c r="F721" s="16" t="s">
        <v>5991</v>
      </c>
      <c r="G721" s="16">
        <v>1</v>
      </c>
    </row>
    <row r="722" spans="1:7" ht="38.25">
      <c r="A722" s="15"/>
      <c r="B722" s="16">
        <v>721</v>
      </c>
      <c r="C722" s="16" t="s">
        <v>5992</v>
      </c>
      <c r="D722" s="16" t="s">
        <v>7211</v>
      </c>
      <c r="E722" s="16" t="str">
        <f ca="1">IFERROR(__xludf.DUMMYFUNCTION("AI(""c컬럼의 단어를 활용해서 적절한 예문을 만들어줘. 한글 해석은 줄띄움 후에 작성해줘"")"),"Medical professionals continuously monitor a patient's respiration rate to detect early signs of physiological distress.
의료진은 생리적 위기의 조기 징후를 감지하기 위해 환자의 호흡률을 지속적으로 모니터링합니다.")</f>
        <v>Medical professionals continuously monitor a patient's respiration rate to detect early signs of physiological distress.
의료진은 생리적 위기의 조기 징후를 감지하기 위해 환자의 호흡률을 지속적으로 모니터링합니다.</v>
      </c>
      <c r="F722" s="16" t="s">
        <v>5993</v>
      </c>
      <c r="G722" s="16">
        <v>1</v>
      </c>
    </row>
    <row r="723" spans="1:7" ht="38.25">
      <c r="A723" s="15"/>
      <c r="B723" s="16">
        <v>722</v>
      </c>
      <c r="C723" s="16" t="s">
        <v>5994</v>
      </c>
      <c r="D723" s="16" t="s">
        <v>7212</v>
      </c>
      <c r="E723" s="16" t="str">
        <f ca="1">IFERROR(__xludf.DUMMYFUNCTION("AI(""c컬럼의 단어를 활용해서 적절한 예문을 만들어줘. 한글 해석은 줄띄움 후에 작성해줘"")"),"Artificial intelligence is considered a revolutionary technology that is reshaping various industries and advancements.
인공지능은 다양한 산업과 발전을 재구성하고 있는 혁명적인 기술로 간주됩니다.")</f>
        <v>Artificial intelligence is considered a revolutionary technology that is reshaping various industries and advancements.
인공지능은 다양한 산업과 발전을 재구성하고 있는 혁명적인 기술로 간주됩니다.</v>
      </c>
      <c r="F723" s="16" t="s">
        <v>5995</v>
      </c>
      <c r="G723" s="16">
        <v>1</v>
      </c>
    </row>
    <row r="724" spans="1:7" ht="25.5">
      <c r="A724" s="15"/>
      <c r="B724" s="16">
        <v>723</v>
      </c>
      <c r="C724" s="16" t="s">
        <v>5996</v>
      </c>
      <c r="D724" s="16" t="s">
        <v>7213</v>
      </c>
      <c r="E724" s="16" t="str">
        <f ca="1">IFERROR(__xludf.DUMMYFUNCTION("AI(""c컬럼의 단어를 활용해서 적절한 예문을 만들어줘. 한글 해석은 줄띄움 후에 작성해줘"")"),"The hikers enjoyed a breathtaking view of the rugged mountains as they reached the summit.
등산객들은 정상에 도달했을 때 험준한 산의 숨막히는 경치를 즐겼습니다.")</f>
        <v>The hikers enjoyed a breathtaking view of the rugged mountains as they reached the summit.
등산객들은 정상에 도달했을 때 험준한 산의 숨막히는 경치를 즐겼습니다.</v>
      </c>
      <c r="F724" s="16" t="s">
        <v>5997</v>
      </c>
      <c r="G724" s="16">
        <v>1</v>
      </c>
    </row>
    <row r="725" spans="1:7" ht="38.25">
      <c r="A725" s="15"/>
      <c r="B725" s="16">
        <v>724</v>
      </c>
      <c r="C725" s="16" t="s">
        <v>5998</v>
      </c>
      <c r="D725" s="16" t="s">
        <v>7214</v>
      </c>
      <c r="E725" s="16" t="str">
        <f ca="1">IFERROR(__xludf.DUMMYFUNCTION("AI(""c컬럼의 단어를 활용해서 적절한 예문을 만들어줘. 한글 해석은 줄띄움 후에 작성해줘"")"),"The government has expanded social safety net programs to protect vulnerable families from the impact of economic shocks.
정부는 경제적 충격의 영향으로부터 취약 계층을 보호하기 위해 사회 안전망 프로그램을 확대했습니다.")</f>
        <v>The government has expanded social safety net programs to protect vulnerable families from the impact of economic shocks.
정부는 경제적 충격의 영향으로부터 취약 계층을 보호하기 위해 사회 안전망 프로그램을 확대했습니다.</v>
      </c>
      <c r="F725" s="16" t="s">
        <v>5999</v>
      </c>
      <c r="G725" s="16">
        <v>1</v>
      </c>
    </row>
    <row r="726" spans="1:7" ht="38.25">
      <c r="A726" s="15"/>
      <c r="B726" s="16">
        <v>725</v>
      </c>
      <c r="C726" s="16" t="s">
        <v>6000</v>
      </c>
      <c r="D726" s="16" t="s">
        <v>7215</v>
      </c>
      <c r="E726" s="16" t="str">
        <f ca="1">IFERROR(__xludf.DUMMYFUNCTION("AI(""c컬럼의 단어를 활용해서 적절한 예문을 만들어줘. 한글 해석은 줄띄움 후에 작성해줘"")"),"It is crucial for landlords to thoroughly screen a tenant to ensure they are reliable and responsible.
임대인이 신뢰할 수 있고 책임감 있는 사람인지 확인하기 위해 세입자를 철저히 심사하는 것은 매우 중요합니다.")</f>
        <v>It is crucial for landlords to thoroughly screen a tenant to ensure they are reliable and responsible.
임대인이 신뢰할 수 있고 책임감 있는 사람인지 확인하기 위해 세입자를 철저히 심사하는 것은 매우 중요합니다.</v>
      </c>
      <c r="F726" s="16" t="s">
        <v>6001</v>
      </c>
      <c r="G726" s="16">
        <v>1</v>
      </c>
    </row>
    <row r="727" spans="1:7" ht="51">
      <c r="A727" s="15"/>
      <c r="B727" s="16">
        <v>726</v>
      </c>
      <c r="C727" s="16" t="s">
        <v>6002</v>
      </c>
      <c r="D727" s="16" t="s">
        <v>7216</v>
      </c>
      <c r="E727" s="16" t="str">
        <f ca="1">IFERROR(__xludf.DUMMYFUNCTION("AI(""c컬럼의 단어를 활용해서 적절한 예문을 만들어줘. 한글 해석은 줄띄움 후에 작성해줘"")"),"Spring brings a profound sense of seasonal renewal as dormant plants begin to bloom and animals emerge from hibernation.
봄은 휴면기의 식물들이 꽃을 피우고 동물들이 겨울잠에서 깨어나면서 깊은 계절적 재생의 감각을 가져옵니다.")</f>
        <v>Spring brings a profound sense of seasonal renewal as dormant plants begin to bloom and animals emerge from hibernation.
봄은 휴면기의 식물들이 꽃을 피우고 동물들이 겨울잠에서 깨어나면서 깊은 계절적 재생의 감각을 가져옵니다.</v>
      </c>
      <c r="F727" s="16" t="s">
        <v>6003</v>
      </c>
      <c r="G727" s="16">
        <v>1</v>
      </c>
    </row>
    <row r="728" spans="1:7" ht="25.5">
      <c r="A728" s="15"/>
      <c r="B728" s="16">
        <v>727</v>
      </c>
      <c r="C728" s="16" t="s">
        <v>6004</v>
      </c>
      <c r="D728" s="16" t="s">
        <v>7217</v>
      </c>
      <c r="E728" s="16" t="str">
        <f ca="1">IFERROR(__xludf.DUMMYFUNCTION("AI(""c컬럼의 단어를 활용해서 적절한 예문을 만들어줘. 한글 해석은 줄띄움 후에 작성해줘"")"),"After the heavy rain, harmful pollutants began to seep into the local river system.
폭우가 내린 후, 해로운 오염 물질들이 지역 하천계로 스며들기 시작했습니다.")</f>
        <v>After the heavy rain, harmful pollutants began to seep into the local river system.
폭우가 내린 후, 해로운 오염 물질들이 지역 하천계로 스며들기 시작했습니다.</v>
      </c>
      <c r="F728" s="16" t="s">
        <v>6005</v>
      </c>
      <c r="G728" s="16">
        <v>1</v>
      </c>
    </row>
    <row r="729" spans="1:7" ht="25.5">
      <c r="A729" s="15"/>
      <c r="B729" s="16">
        <v>728</v>
      </c>
      <c r="C729" s="16" t="s">
        <v>3955</v>
      </c>
      <c r="D729" s="16" t="s">
        <v>7218</v>
      </c>
      <c r="E729" s="16" t="str">
        <f ca="1">IFERROR(__xludf.DUMMYFUNCTION("AI(""c컬럼의 단어를 활용해서 적절한 예문을 만들어줘. 한글 해석은 줄띄움 후에 작성해줘"")"),"The police seized at least $5 million worth of fake luxury goods during the warehouse raid.
경찰은 창고 급습 과정에서 최소 500만 달러 상당의 가짜 명품을 압수했습니다.")</f>
        <v>The police seized at least $5 million worth of fake luxury goods during the warehouse raid.
경찰은 창고 급습 과정에서 최소 500만 달러 상당의 가짜 명품을 압수했습니다.</v>
      </c>
      <c r="F729" s="16" t="s">
        <v>6006</v>
      </c>
      <c r="G729" s="16">
        <v>1</v>
      </c>
    </row>
    <row r="730" spans="1:7" ht="51">
      <c r="A730" s="15"/>
      <c r="B730" s="16">
        <v>729</v>
      </c>
      <c r="C730" s="16" t="s">
        <v>6007</v>
      </c>
      <c r="D730" s="16" t="s">
        <v>7219</v>
      </c>
      <c r="E730" s="16" t="str">
        <f ca="1">IFERROR(__xludf.DUMMYFUNCTION("AI(""c컬럼의 단어를 활용해서 적절한 예문을 만들어줘. 한글 해석은 줄띄움 후에 작성해줘"")"),"Self-directed learning requires students to take ownership of their own learning process by identifying goals and selecting strategies.
자기 주도 학습은 목표를 설정하고 전략을 선택함으로써 학생들이 자신의 학습 과정에 대한 주체성을 가질 것을 요구합니다.")</f>
        <v>Self-directed learning requires students to take ownership of their own learning process by identifying goals and selecting strategies.
자기 주도 학습은 목표를 설정하고 전략을 선택함으로써 학생들이 자신의 학습 과정에 대한 주체성을 가질 것을 요구합니다.</v>
      </c>
      <c r="F730" s="16" t="s">
        <v>6008</v>
      </c>
      <c r="G730" s="16">
        <v>1</v>
      </c>
    </row>
    <row r="731" spans="1:7" ht="25.5">
      <c r="A731" s="15"/>
      <c r="B731" s="16">
        <v>730</v>
      </c>
      <c r="C731" s="16" t="s">
        <v>6009</v>
      </c>
      <c r="D731" s="16" t="s">
        <v>7220</v>
      </c>
      <c r="E731" s="16" t="str">
        <f ca="1">IFERROR(__xludf.DUMMYFUNCTION("AI(""c컬럼의 단어를 활용해서 적절한 예문을 만들어줘. 한글 해석은 줄띄움 후에 작성해줘"")"),"Self-doubt can be a pervasive and crippling force in our lives, inhibiting personal growth and fulfillment.
자기 의심은 우리 삶에 만연하고 치명적인 힘이 되어 개인의 성장과 성취를 저해할 수 있습니다.")</f>
        <v>Self-doubt can be a pervasive and crippling force in our lives, inhibiting personal growth and fulfillment.
자기 의심은 우리 삶에 만연하고 치명적인 힘이 되어 개인의 성장과 성취를 저해할 수 있습니다.</v>
      </c>
      <c r="F731" s="16" t="s">
        <v>6010</v>
      </c>
      <c r="G731" s="16">
        <v>1</v>
      </c>
    </row>
    <row r="732" spans="1:7" ht="38.25">
      <c r="A732" s="15"/>
      <c r="B732" s="16">
        <v>731</v>
      </c>
      <c r="C732" s="16" t="s">
        <v>6011</v>
      </c>
      <c r="D732" s="16" t="s">
        <v>7221</v>
      </c>
      <c r="E732" s="16" t="str">
        <f ca="1">IFERROR(__xludf.DUMMYFUNCTION("AI(""c컬럼의 단어를 활용해서 적절한 예문을 만들어줘. 한글 해석은 줄띄움 후에 작성해줘"")"),"The company organized a grand send-off to honor the manager who was retiring after thirty years of service.
회사는 30년 동안 근무하고 은퇴하는 부장님을 기리기 위해 성대한 송별회를 준비했습니다.")</f>
        <v>The company organized a grand send-off to honor the manager who was retiring after thirty years of service.
회사는 30년 동안 근무하고 은퇴하는 부장님을 기리기 위해 성대한 송별회를 준비했습니다.</v>
      </c>
      <c r="F732" s="16" t="s">
        <v>6012</v>
      </c>
      <c r="G732" s="16">
        <v>1</v>
      </c>
    </row>
    <row r="733" spans="1:7" ht="25.5">
      <c r="A733" s="15"/>
      <c r="B733" s="16">
        <v>732</v>
      </c>
      <c r="C733" s="16" t="s">
        <v>6013</v>
      </c>
      <c r="D733" s="16" t="s">
        <v>7222</v>
      </c>
      <c r="E733" s="16" t="str">
        <f ca="1">IFERROR(__xludf.DUMMYFUNCTION("AI(""c컬럼의 단어를 활용해서 적절한 예문을 만들어줘. 한글 해석은 줄띄움 후에 작성해줘"")"),"The judge will set a date for the sentencing hearing after the defendant is found guilty of the crime.
피고인이 범죄에 대해 유죄 판결을 받은 후 판사는 형량 선고 공청회 날짜를 정할 것입니다.")</f>
        <v>The judge will set a date for the sentencing hearing after the defendant is found guilty of the crime.
피고인이 범죄에 대해 유죄 판결을 받은 후 판사는 형량 선고 공청회 날짜를 정할 것입니다.</v>
      </c>
      <c r="F733" s="16" t="s">
        <v>6014</v>
      </c>
      <c r="G733" s="16">
        <v>1</v>
      </c>
    </row>
    <row r="734" spans="1:7" ht="51">
      <c r="A734" s="15"/>
      <c r="B734" s="16">
        <v>733</v>
      </c>
      <c r="C734" s="16" t="s">
        <v>6015</v>
      </c>
      <c r="D734" s="16" t="s">
        <v>7223</v>
      </c>
      <c r="E734" s="16" t="str">
        <f ca="1">IFERROR(__xludf.DUMMYFUNCTION("AI(""c컬럼의 단어를 활용해서 적절한 예문을 만들어줘. 한글 해석은 줄띄움 후에 작성해줘"")"),"Employers in certain states are required to provide a Separation Notice form to employees upon their departure to inform them of their rights to unemployment benefits.
일부 주에서는 고용주가 근로자 퇴사 시 실업 급여를 신청할 권리를 알리기 위해 퇴사 통지서 양식을 제공해야 할 의무가 있습니다.")</f>
        <v>Employers in certain states are required to provide a Separation Notice form to employees upon their departure to inform them of their rights to unemployment benefits.
일부 주에서는 고용주가 근로자 퇴사 시 실업 급여를 신청할 권리를 알리기 위해 퇴사 통지서 양식을 제공해야 할 의무가 있습니다.</v>
      </c>
      <c r="F734" s="16" t="s">
        <v>6016</v>
      </c>
      <c r="G734" s="16">
        <v>1</v>
      </c>
    </row>
    <row r="735" spans="1:7" ht="51">
      <c r="A735" s="15"/>
      <c r="B735" s="16">
        <v>734</v>
      </c>
      <c r="C735" s="16" t="s">
        <v>6017</v>
      </c>
      <c r="D735" s="16" t="s">
        <v>7224</v>
      </c>
      <c r="E735" s="16" t="str">
        <f ca="1">IFERROR(__xludf.DUMMYFUNCTION("AI(""c컬럼의 단어를 활용해서 적절한 예문을 만들어줘. 한글 해석은 줄띄움 후에 작성해줘"")"),"Despite facing numerous setbacks and obstacles, the team displayed greater resilience and determination than anyone had expected.
수많은 차질과 장애물에 직면했음에도 불구하고, 그 팀은 어느 누구도 예상했던 것보다 더 큰 회복력과 결단력을 보여주었습니다.")</f>
        <v>Despite facing numerous setbacks and obstacles, the team displayed greater resilience and determination than anyone had expected.
수많은 차질과 장애물에 직면했음에도 불구하고, 그 팀은 어느 누구도 예상했던 것보다 더 큰 회복력과 결단력을 보여주었습니다.</v>
      </c>
      <c r="F735" s="16" t="s">
        <v>6018</v>
      </c>
      <c r="G735" s="16">
        <v>2</v>
      </c>
    </row>
    <row r="736" spans="1:7" ht="51">
      <c r="A736" s="15"/>
      <c r="B736" s="16">
        <v>735</v>
      </c>
      <c r="C736" s="16" t="s">
        <v>6019</v>
      </c>
      <c r="D736" s="16" t="s">
        <v>7225</v>
      </c>
      <c r="E736" s="16" t="str">
        <f ca="1">IFERROR(__xludf.DUMMYFUNCTION("AI(""c컬럼의 단어를 활용해서 적절한 예문을 만들어줘. 한글 해석은 줄띄움 후에 작성해줘"")"),"The company is actively working to increase shareholder value by boosting profits and driving up the stock price.
회사는 이익을 증대시키고 주가를 상승시킴으로써 주주 가치를 높이기 위해 적극적으로 노력하고 있습니다.")</f>
        <v>The company is actively working to increase shareholder value by boosting profits and driving up the stock price.
회사는 이익을 증대시키고 주가를 상승시킴으로써 주주 가치를 높이기 위해 적극적으로 노력하고 있습니다.</v>
      </c>
      <c r="F736" s="16" t="s">
        <v>6020</v>
      </c>
      <c r="G736" s="16">
        <v>2</v>
      </c>
    </row>
    <row r="737" spans="1:7" ht="51">
      <c r="A737" s="15"/>
      <c r="B737" s="16">
        <v>736</v>
      </c>
      <c r="C737" s="16" t="s">
        <v>6021</v>
      </c>
      <c r="D737" s="16" t="s">
        <v>7226</v>
      </c>
      <c r="E737" s="16" t="str">
        <f ca="1">IFERROR(__xludf.DUMMYFUNCTION("AI(""c컬럼의 단어를 활용해서 적절한 예문을 만들어줘. 한글 해석은 줄띄움 후에 작성해줘"")"),"Ministers often have an incentive to shift responsibility away from themselves and onto top administrators after major policy failures.
장관들은 주요 정책 실패 후 자신들에게서 고위 관리자들에게로 책임을 돌리려는 유인을 갖는 경우가 많습니다.")</f>
        <v>Ministers often have an incentive to shift responsibility away from themselves and onto top administrators after major policy failures.
장관들은 주요 정책 실패 후 자신들에게서 고위 관리자들에게로 책임을 돌리려는 유인을 갖는 경우가 많습니다.</v>
      </c>
      <c r="F737" s="16" t="s">
        <v>6022</v>
      </c>
      <c r="G737" s="16">
        <v>1</v>
      </c>
    </row>
    <row r="738" spans="1:7" ht="51">
      <c r="A738" s="15"/>
      <c r="B738" s="16">
        <v>737</v>
      </c>
      <c r="C738" s="16" t="s">
        <v>6023</v>
      </c>
      <c r="D738" s="16" t="s">
        <v>7227</v>
      </c>
      <c r="E738" s="16" t="str">
        <f ca="1">IFERROR(__xludf.DUMMYFUNCTION("AI(""c컬럼의 단어를 활용해서 적절한 예문을 만들어줘. 한글 해석은 줄띄움 후에 작성해줘"")"),"Overdraft protection helps cover unexpected cash shortfalls by providing automatic protection against declined transactions.
마이너스 통장 보호는 거절된 거래에 대해 자동 보호를 제공함으로써 예상치 못한 현금 부족분을 충당하는 데 도움이 됩니다.")</f>
        <v>Overdraft protection helps cover unexpected cash shortfalls by providing automatic protection against declined transactions.
마이너스 통장 보호는 거절된 거래에 대해 자동 보호를 제공함으로써 예상치 못한 현금 부족분을 충당하는 데 도움이 됩니다.</v>
      </c>
      <c r="F738" s="16" t="s">
        <v>6024</v>
      </c>
      <c r="G738" s="16">
        <v>1</v>
      </c>
    </row>
    <row r="739" spans="1:7" ht="51">
      <c r="A739" s="15"/>
      <c r="B739" s="16">
        <v>738</v>
      </c>
      <c r="C739" s="16" t="s">
        <v>6025</v>
      </c>
      <c r="D739" s="16" t="s">
        <v>7228</v>
      </c>
      <c r="E739" s="16" t="str">
        <f ca="1">IFERROR(__xludf.DUMMYFUNCTION("AI(""c컬럼의 단어를 활용해서 적절한 예문을 만들어줘. 한글 해석은 줄띄움 후에 작성해줘"")"),"His appointment comes after the Warriors star was sidelined for the remainder of the season following a serious knee injury sustained last month.
그의 임명은 지난달 발생한 심각한 무릎 부상으로 인해 이번 시즌 남은 기간 동안 출전하지 못하게 된 워리어스 스타 선수의 뒤를 이은 것입니다.")</f>
        <v>His appointment comes after the Warriors star was sidelined for the remainder of the season following a serious knee injury sustained last month.
그의 임명은 지난달 발생한 심각한 무릎 부상으로 인해 이번 시즌 남은 기간 동안 출전하지 못하게 된 워리어스 스타 선수의 뒤를 이은 것입니다.</v>
      </c>
      <c r="F739" s="16" t="s">
        <v>6026</v>
      </c>
      <c r="G739" s="16">
        <v>1</v>
      </c>
    </row>
    <row r="740" spans="1:7" ht="25.5">
      <c r="A740" s="15"/>
      <c r="B740" s="16">
        <v>739</v>
      </c>
      <c r="C740" s="16" t="s">
        <v>6027</v>
      </c>
      <c r="D740" s="16" t="s">
        <v>7229</v>
      </c>
      <c r="E740" s="16" t="str">
        <f ca="1">IFERROR(__xludf.DUMMYFUNCTION("AI(""c컬럼의 단어를 활용해서 적절한 예문을 만들어줘. 한글 해석은 줄띄움 후에 작성해줘"")"),"The two major events occurred simultaneously, changing the course of history forever.
두 개의 주요 사건이 동시에 발생하여 역사의 흐름을 영원히 바꿨습니다.")</f>
        <v>The two major events occurred simultaneously, changing the course of history forever.
두 개의 주요 사건이 동시에 발생하여 역사의 흐름을 영원히 바꿨습니다.</v>
      </c>
      <c r="F740" s="16" t="s">
        <v>6028</v>
      </c>
      <c r="G740" s="16">
        <v>1</v>
      </c>
    </row>
    <row r="741" spans="1:7" ht="51">
      <c r="A741" s="15"/>
      <c r="B741" s="16">
        <v>740</v>
      </c>
      <c r="C741" s="16" t="s">
        <v>6029</v>
      </c>
      <c r="D741" s="16" t="s">
        <v>7230</v>
      </c>
      <c r="E741" s="16" t="str">
        <f ca="1">IFERROR(__xludf.DUMMYFUNCTION("AI(""c컬럼의 단어를 활용해서 적절한 예문을 만들어줘. 한글 해석은 줄띄움 후에 작성해줘"")"),"Make it a habit to tell people thank you to express your appreciation, sincerely and without expectation of anything in return.
사람들에게 고마움을 전하는 것을 습관으로 만드세요. 어떤 것도 보답으로 기대하지 말고 진정성 있게 감사를 표현하세요.")</f>
        <v>Make it a habit to tell people thank you to express your appreciation, sincerely and without expectation of anything in return.
사람들에게 고마움을 전하는 것을 습관으로 만드세요. 어떤 것도 보답으로 기대하지 말고 진정성 있게 감사를 표현하세요.</v>
      </c>
      <c r="F741" s="16" t="s">
        <v>6030</v>
      </c>
      <c r="G741" s="16">
        <v>1</v>
      </c>
    </row>
    <row r="742" spans="1:7" ht="51">
      <c r="A742" s="15"/>
      <c r="B742" s="16">
        <v>741</v>
      </c>
      <c r="C742" s="16" t="s">
        <v>6031</v>
      </c>
      <c r="D742" s="16" t="s">
        <v>7231</v>
      </c>
      <c r="E742" s="16" t="str">
        <f ca="1">IFERROR(__xludf.DUMMYFUNCTION("AI(""c컬럼의 단어를 활용해서 적절한 예문을 만들어줘. 한글 해석은 줄띄움 후에 작성해줘"")"),"Living within social bubbles can limit our perspective and lead to increased political polarization in society.
사회적 폐쇄권 안에서 사는 것은 우리의 관점을 제한하고 사회 내의 정치적 양극화 심화를 초래할 수 있습니다.")</f>
        <v>Living within social bubbles can limit our perspective and lead to increased political polarization in society.
사회적 폐쇄권 안에서 사는 것은 우리의 관점을 제한하고 사회 내의 정치적 양극화 심화를 초래할 수 있습니다.</v>
      </c>
      <c r="F742" s="16" t="s">
        <v>6032</v>
      </c>
      <c r="G742" s="16">
        <v>1</v>
      </c>
    </row>
    <row r="743" spans="1:7" ht="25.5">
      <c r="A743" s="15"/>
      <c r="B743" s="16">
        <v>742</v>
      </c>
      <c r="C743" s="16" t="s">
        <v>6033</v>
      </c>
      <c r="D743" s="16" t="s">
        <v>7232</v>
      </c>
      <c r="E743" s="16" t="str">
        <f ca="1">IFERROR(__xludf.DUMMYFUNCTION("AI(""c컬럼의 단어를 활용해서 적절한 예문을 만들어줘. 한글 해석은 줄띄움 후에 작성해줘"")"),"Social norms play a crucial role in maintaining harmony and cooperation within a community.
사회 규범은 공동체 내에서 조화와 협력을 유지하는 데 중요한 역할을 합니다.")</f>
        <v>Social norms play a crucial role in maintaining harmony and cooperation within a community.
사회 규범은 공동체 내에서 조화와 협력을 유지하는 데 중요한 역할을 합니다.</v>
      </c>
      <c r="F743" s="16" t="s">
        <v>6034</v>
      </c>
      <c r="G743" s="16">
        <v>1</v>
      </c>
    </row>
    <row r="744" spans="1:7" ht="25.5">
      <c r="A744" s="15"/>
      <c r="B744" s="16">
        <v>743</v>
      </c>
      <c r="C744" s="16" t="s">
        <v>6035</v>
      </c>
      <c r="D744" s="16" t="s">
        <v>7233</v>
      </c>
      <c r="E744" s="16" t="str">
        <f ca="1">IFERROR(__xludf.DUMMYFUNCTION("AI(""c컬럼의 단어를 활용해서 적절한 예문을 만들어줘. 한글 해석은 줄띄움 후에 작성해줘"")"),"A massive solar flare could disrupt satellite systems, including GPS, over the next several days.
거대한 태양 플레어는 향후 며칠 동안 GPS를 포함한 위성 시스템을 중단시킬 수 있습니다.")</f>
        <v>A massive solar flare could disrupt satellite systems, including GPS, over the next several days.
거대한 태양 플레어는 향후 며칠 동안 GPS를 포함한 위성 시스템을 중단시킬 수 있습니다.</v>
      </c>
      <c r="F744" s="16" t="s">
        <v>6036</v>
      </c>
      <c r="G744" s="16">
        <v>1</v>
      </c>
    </row>
    <row r="745" spans="1:7">
      <c r="A745" s="15"/>
      <c r="B745" s="16">
        <v>744</v>
      </c>
      <c r="C745" s="16" t="s">
        <v>6037</v>
      </c>
      <c r="D745" s="16" t="s">
        <v>7234</v>
      </c>
      <c r="E745" s="16" t="str">
        <f ca="1">IFERROR(__xludf.DUMMYFUNCTION("AI(""c컬럼의 단어를 활용해서 적절한 예문을 만들어줘. 한글 해석은 줄띄움 후에 작성해줘"")"),"문제가 발생했습니다. 다시 시도해 주세요.")</f>
        <v>문제가 발생했습니다. 다시 시도해 주세요.</v>
      </c>
      <c r="F745" s="16" t="s">
        <v>6038</v>
      </c>
      <c r="G745" s="16">
        <v>1</v>
      </c>
    </row>
    <row r="746" spans="1:7" ht="51">
      <c r="A746" s="15"/>
      <c r="B746" s="16">
        <v>745</v>
      </c>
      <c r="C746" s="16" t="s">
        <v>6039</v>
      </c>
      <c r="D746" s="16" t="s">
        <v>7235</v>
      </c>
      <c r="E746" s="16" t="str">
        <f ca="1">IFERROR(__xludf.DUMMYFUNCTION("AI(""c컬럼의 단어를 활용해서 적절한 예문을 만들어줘. 한글 해석은 줄띄움 후에 작성해줘"")"),"Environmentalists and scientists have been sounding alarms about the rapid pace of global biodiversity loss for decades.
환경운동가들과 과학자들은 수십 년 동안 전 세계적인 생물 다양성 손실의 급격한 속도에 대해 경고해 왔습니다.")</f>
        <v>Environmentalists and scientists have been sounding alarms about the rapid pace of global biodiversity loss for decades.
환경운동가들과 과학자들은 수십 년 동안 전 세계적인 생물 다양성 손실의 급격한 속도에 대해 경고해 왔습니다.</v>
      </c>
      <c r="F746" s="16" t="s">
        <v>6040</v>
      </c>
      <c r="G746" s="16">
        <v>1</v>
      </c>
    </row>
    <row r="747" spans="1:7" ht="51">
      <c r="A747" s="15"/>
      <c r="B747" s="16">
        <v>746</v>
      </c>
      <c r="C747" s="16" t="s">
        <v>6041</v>
      </c>
      <c r="D747" s="16" t="s">
        <v>7236</v>
      </c>
      <c r="E747" s="16" t="str">
        <f ca="1">IFERROR(__xludf.DUMMYFUNCTION("AI(""c컬럼의 단어를 활용해서 적절한 예문을 만들어줘. 한글 해석은 줄띄움 후에 작성해줘"")"),"Every year, millions of anadromous fish like salmon swim thousands of miles from the ocean back to freshwater rivers to spawn.
매년 연어와 같은 수백만 마리의 소하성 어류는 산란을 위해 바다에서 민물 강으로 수천 마일을 헤엄쳐 돌아옵니다.")</f>
        <v>Every year, millions of anadromous fish like salmon swim thousands of miles from the ocean back to freshwater rivers to spawn.
매년 연어와 같은 수백만 마리의 소하성 어류는 산란을 위해 바다에서 민물 강으로 수천 마일을 헤엄쳐 돌아옵니다.</v>
      </c>
      <c r="F747" s="16" t="s">
        <v>6042</v>
      </c>
      <c r="G747" s="16">
        <v>1</v>
      </c>
    </row>
    <row r="748" spans="1:7" ht="51">
      <c r="A748" s="15"/>
      <c r="B748" s="16">
        <v>747</v>
      </c>
      <c r="C748" s="16" t="s">
        <v>6043</v>
      </c>
      <c r="D748" s="16" t="s">
        <v>7237</v>
      </c>
      <c r="E748" s="16" t="str">
        <f ca="1">IFERROR(__xludf.DUMMYFUNCTION("AI(""c컬럼의 단어를 활용해서 적절한 예문을 만들어줘. 한글 해석은 줄띄움 후에 작성해줘"")"),"By fostering a culture of psychological safety, companies can encourage even the most introverted employees to speak up and share their innovative ideas.
직장 내 심리적 안전감을 조성함으로써, 기업들은 가장 내향적인 직원들조차 의견을 내고 혁신적인 아이디어를 공유하도록 독려할 수 있습니다.")</f>
        <v>By fostering a culture of psychological safety, companies can encourage even the most introverted employees to speak up and share their innovative ideas.
직장 내 심리적 안전감을 조성함으로써, 기업들은 가장 내향적인 직원들조차 의견을 내고 혁신적인 아이디어를 공유하도록 독려할 수 있습니다.</v>
      </c>
      <c r="F748" s="16" t="s">
        <v>6044</v>
      </c>
      <c r="G748" s="16">
        <v>1</v>
      </c>
    </row>
    <row r="749" spans="1:7" ht="25.5">
      <c r="A749" s="15"/>
      <c r="B749" s="16">
        <v>748</v>
      </c>
      <c r="C749" s="16" t="s">
        <v>6045</v>
      </c>
      <c r="D749" s="16" t="s">
        <v>7238</v>
      </c>
      <c r="E749" s="16" t="str">
        <f ca="1">IFERROR(__xludf.DUMMYFUNCTION("AI(""c컬럼의 단어를 활용해서 적절한 예문을 만들어줘. 한글 해석은 줄띄움 후에 작성해줘"")"),"The new CEO will start spelling out his vision for the company's future during next week's meeting.
새로운 CEO는 다음 주 회의에서 회사의 미래에 대한 비전을 명확히 설명하기 시작할 것입니다.")</f>
        <v>The new CEO will start spelling out his vision for the company's future during next week's meeting.
새로운 CEO는 다음 주 회의에서 회사의 미래에 대한 비전을 명확히 설명하기 시작할 것입니다.</v>
      </c>
      <c r="F749" s="16" t="s">
        <v>6046</v>
      </c>
      <c r="G749" s="16">
        <v>1</v>
      </c>
    </row>
    <row r="750" spans="1:7" ht="51">
      <c r="A750" s="15"/>
      <c r="B750" s="16">
        <v>749</v>
      </c>
      <c r="C750" s="16" t="s">
        <v>6047</v>
      </c>
      <c r="D750" s="16" t="s">
        <v>7239</v>
      </c>
      <c r="E750" s="16" t="str">
        <f ca="1">IFERROR(__xludf.DUMMYFUNCTION("AI(""c컬럼의 단어를 활용해서 적절한 예문을 만들어줘. 한글 해석은 줄띄움 후에 작성해줘"")"),"Spending time apart can strengthen a relationship by allowing each partner to maintain their own identity and personal growth.
떨어져 시간을 보내는 것은 각 파트너가 자신의 정체성과 개인적 성장을 유지할 수 있게 함으로써 관계를 강화할 수 있습니다.")</f>
        <v>Spending time apart can strengthen a relationship by allowing each partner to maintain their own identity and personal growth.
떨어져 시간을 보내는 것은 각 파트너가 자신의 정체성과 개인적 성장을 유지할 수 있게 함으로써 관계를 강화할 수 있습니다.</v>
      </c>
      <c r="F750" s="16" t="s">
        <v>6048</v>
      </c>
      <c r="G750" s="16">
        <v>1</v>
      </c>
    </row>
    <row r="751" spans="1:7" ht="25.5">
      <c r="A751" s="15"/>
      <c r="B751" s="16">
        <v>750</v>
      </c>
      <c r="C751" s="16" t="s">
        <v>6049</v>
      </c>
      <c r="D751" s="16" t="s">
        <v>7240</v>
      </c>
      <c r="E751" s="16" t="str">
        <f ca="1">IFERROR(__xludf.DUMMYFUNCTION("AI(""c컬럼의 단어를 활용해서 적절한 예문을 만들어줘. 한글 해석은 줄띄움 후에 작성해줘"")"),"New government policies are needed to help spur change in the long-established education sector.
오래된 교육 부문의 변화를 촉진하기 위해 새로운 정부 정책이 필요합니다.")</f>
        <v>New government policies are needed to help spur change in the long-established education sector.
오래된 교육 부문의 변화를 촉진하기 위해 새로운 정부 정책이 필요합니다.</v>
      </c>
      <c r="F751" s="16" t="s">
        <v>6050</v>
      </c>
      <c r="G751" s="16">
        <v>1</v>
      </c>
    </row>
    <row r="752" spans="1:7" ht="51">
      <c r="A752" s="15"/>
      <c r="B752" s="16">
        <v>751</v>
      </c>
      <c r="C752" s="16" t="s">
        <v>6051</v>
      </c>
      <c r="D752" s="16" t="s">
        <v>7241</v>
      </c>
      <c r="E752" s="16" t="str">
        <f ca="1">IFERROR(__xludf.DUMMYFUNCTION("AI(""c컬럼의 단어를 활용해서 적절한 예문을 만들어줘. 한글 해석은 줄띄움 후에 작성해줘"")"),"The board of directors decided to stand by a decision to terminate the CEO despite his long tenure and financial success.
이사회는 최고경영자의 오랜 재임 기간과 재정적 성공에도 불구하고 그를 해임하기로 한 결정을 고수하기로 했습니다.")</f>
        <v>The board of directors decided to stand by a decision to terminate the CEO despite his long tenure and financial success.
이사회는 최고경영자의 오랜 재임 기간과 재정적 성공에도 불구하고 그를 해임하기로 한 결정을 고수하기로 했습니다.</v>
      </c>
      <c r="F752" s="16" t="s">
        <v>6052</v>
      </c>
      <c r="G752" s="16">
        <v>1</v>
      </c>
    </row>
    <row r="753" spans="1:7" ht="51">
      <c r="A753" s="15"/>
      <c r="B753" s="16">
        <v>752</v>
      </c>
      <c r="C753" s="16" t="s">
        <v>6053</v>
      </c>
      <c r="D753" s="16" t="s">
        <v>7242</v>
      </c>
      <c r="E753" s="16" t="str">
        <f ca="1">IFERROR(__xludf.DUMMYFUNCTION("AI(""c컬럼의 단어를 활용해서 적절한 예문을 만들어줘. 한글 해석은 줄띄움 후에 작성해줘"")"),"To stand out from the crowd in a competitive job market, you should highlight your unique skills and relevant experiences.
경쟁이 치열한 취업 시장에서 남들보다 돋보이려면 당신만의 고유한 기술과 관련 경험을 강조해야 합니다.")</f>
        <v>To stand out from the crowd in a competitive job market, you should highlight your unique skills and relevant experiences.
경쟁이 치열한 취업 시장에서 남들보다 돋보이려면 당신만의 고유한 기술과 관련 경험을 강조해야 합니다.</v>
      </c>
      <c r="F753" s="16" t="s">
        <v>6054</v>
      </c>
      <c r="G753" s="16">
        <v>1</v>
      </c>
    </row>
    <row r="754" spans="1:7" ht="51">
      <c r="A754" s="15"/>
      <c r="B754" s="16">
        <v>753</v>
      </c>
      <c r="C754" s="16" t="s">
        <v>6055</v>
      </c>
      <c r="D754" s="16" t="s">
        <v>7243</v>
      </c>
      <c r="E754" s="16" t="str">
        <f ca="1">IFERROR(__xludf.DUMMYFUNCTION("AI(""c컬럼의 단어를 활용해서 적절한 예문을 만들어줘. 한글 해석은 줄띄움 후에 작성해줘"")"),"The thriller movie was hardly standard fare, offering a unique and unpredictable plot twist that kept the audience on edge.
그 스릴러 영화는 일반적인 것이 아니었으며, 관객들을 계속 긴장하게 만드는 독특하고 예측 불가능한 반전을 선사했습니다.")</f>
        <v>The thriller movie was hardly standard fare, offering a unique and unpredictable plot twist that kept the audience on edge.
그 스릴러 영화는 일반적인 것이 아니었으며, 관객들을 계속 긴장하게 만드는 독특하고 예측 불가능한 반전을 선사했습니다.</v>
      </c>
      <c r="F754" s="16" t="s">
        <v>6056</v>
      </c>
      <c r="G754" s="16">
        <v>1</v>
      </c>
    </row>
    <row r="755" spans="1:7" ht="51">
      <c r="A755" s="15"/>
      <c r="B755" s="16">
        <v>754</v>
      </c>
      <c r="C755" s="16" t="s">
        <v>6057</v>
      </c>
      <c r="D755" s="16" t="s">
        <v>7244</v>
      </c>
      <c r="E755" s="16" t="str">
        <f ca="1">IFERROR(__xludf.DUMMYFUNCTION("AI(""c컬럼의 단어를 활용해서 적절한 예문을 만들어줘. 한글 해석은 줄띄움 후에 작성해줘"")"),"The proposed high-rise development is moving forward despite staunch opposition from nearby residents and local church leaders.
제안된 고층 개발 사업은 인근 주민들과 지역 교회 지도자들의 강경한 반대에도 불구하고 추진되고 있습니다.")</f>
        <v>The proposed high-rise development is moving forward despite staunch opposition from nearby residents and local church leaders.
제안된 고층 개발 사업은 인근 주민들과 지역 교회 지도자들의 강경한 반대에도 불구하고 추진되고 있습니다.</v>
      </c>
      <c r="F755" s="16" t="s">
        <v>6058</v>
      </c>
      <c r="G755" s="16">
        <v>1</v>
      </c>
    </row>
    <row r="756" spans="1:7" ht="38.25">
      <c r="A756" s="15"/>
      <c r="B756" s="16">
        <v>755</v>
      </c>
      <c r="C756" s="16" t="s">
        <v>6059</v>
      </c>
      <c r="D756" s="16" t="s">
        <v>7245</v>
      </c>
      <c r="E756" s="16" t="str">
        <f ca="1">IFERROR(__xludf.DUMMYFUNCTION("AI(""c컬럼의 단어를 활용해서 적절한 예문을 만들어줘. 한글 해석은 줄띄움 후에 작성해줘"")"),"Many small businesses are struggling to stay afloat due to the prolonged economic recession and rising interest rates.
많은 소상공인들이 장기화된 경기 침체와 금리 인상으로 인해 간신히 버티고 있습니다.")</f>
        <v>Many small businesses are struggling to stay afloat due to the prolonged economic recession and rising interest rates.
많은 소상공인들이 장기화된 경기 침체와 금리 인상으로 인해 간신히 버티고 있습니다.</v>
      </c>
      <c r="F756" s="16" t="s">
        <v>6060</v>
      </c>
      <c r="G756" s="16">
        <v>1</v>
      </c>
    </row>
    <row r="757" spans="1:7" ht="25.5">
      <c r="A757" s="15"/>
      <c r="B757" s="16">
        <v>756</v>
      </c>
      <c r="C757" s="16" t="s">
        <v>6061</v>
      </c>
      <c r="D757" s="16" t="s">
        <v>7246</v>
      </c>
      <c r="E757" s="16" t="str">
        <f ca="1">IFERROR(__xludf.DUMMYFUNCTION("AI(""c컬럼의 단어를 활용해서 적절한 예문을 만들어줘. 한글 해석은 줄띄움 후에 작성해줘"")"),"Use clear and simple language to provide straightforward instructions for the task.
과업을 위해 간단한 지침을 제공할 수 있도록 명확하고 단순한 언어를 사용하세요.")</f>
        <v>Use clear and simple language to provide straightforward instructions for the task.
과업을 위해 간단한 지침을 제공할 수 있도록 명확하고 단순한 언어를 사용하세요.</v>
      </c>
      <c r="F757" s="16" t="s">
        <v>6062</v>
      </c>
      <c r="G757" s="16">
        <v>1</v>
      </c>
    </row>
    <row r="758" spans="1:7" ht="25.5">
      <c r="A758" s="15"/>
      <c r="B758" s="16">
        <v>757</v>
      </c>
      <c r="C758" s="16" t="s">
        <v>6063</v>
      </c>
      <c r="D758" s="16" t="s">
        <v>7247</v>
      </c>
      <c r="E758" s="16" t="str">
        <f ca="1">IFERROR(__xludf.DUMMYFUNCTION("AI(""c컬럼의 단어를 활용해서 적절한 예문을 만들어줘. 한글 해석은 줄띄움 후에 작성해줘"")"),"The general contractor hired a subcontractor to handle the electrical wiring for the new office building.
원괄 시공업자는 새 사무실 건물의 전기 배선 작업을 처리하기 위해 하청업체를 고용했습니다.")</f>
        <v>The general contractor hired a subcontractor to handle the electrical wiring for the new office building.
원괄 시공업자는 새 사무실 건물의 전기 배선 작업을 처리하기 위해 하청업체를 고용했습니다.</v>
      </c>
      <c r="F758" s="16" t="s">
        <v>6064</v>
      </c>
      <c r="G758" s="16">
        <v>1</v>
      </c>
    </row>
    <row r="759" spans="1:7" ht="38.25">
      <c r="A759" s="15"/>
      <c r="B759" s="16">
        <v>758</v>
      </c>
      <c r="C759" s="16" t="s">
        <v>6065</v>
      </c>
      <c r="D759" s="16" t="s">
        <v>7248</v>
      </c>
      <c r="E759" s="16" t="str">
        <f ca="1">IFERROR(__xludf.DUMMYFUNCTION("AI(""c컬럼의 단어를 활용해서 적절한 예문을 만들어줘. 한글 해석은 줄띄움 후에 작성해줘"")"),"The subsequent planning of data collection and statistical analysis often becomes easier after defining research aims.
연구 목적을 정의한 후에는 데이터 수집 및 통계 분석에 대한 그 후의 계획이 종종 더 쉬워집니다.")</f>
        <v>The subsequent planning of data collection and statistical analysis often becomes easier after defining research aims.
연구 목적을 정의한 후에는 데이터 수집 및 통계 분석에 대한 그 후의 계획이 종종 더 쉬워집니다.</v>
      </c>
      <c r="F759" s="16" t="s">
        <v>6066</v>
      </c>
      <c r="G759" s="16">
        <v>1</v>
      </c>
    </row>
    <row r="760" spans="1:7" ht="51">
      <c r="A760" s="15"/>
      <c r="B760" s="16">
        <v>759</v>
      </c>
      <c r="C760" s="16" t="s">
        <v>6067</v>
      </c>
      <c r="D760" s="16" t="s">
        <v>7249</v>
      </c>
      <c r="E760" s="16" t="str">
        <f ca="1">IFERROR(__xludf.DUMMYFUNCTION("AI(""c컬럼의 단어를 활용해서 적절한 예문을 만들어줘. 한글 해석은 줄띄움 후에 작성해줘"")"),"The United States and the European Union reached a five-year ceasefire in their long-running trade war over aircraft subsidies.
미국과 유럽연합은 항공기 보조금에 관한 오랜 무역 전쟁을 중단하기 위해 5년간의 휴전에 합의했습니다.")</f>
        <v>The United States and the European Union reached a five-year ceasefire in their long-running trade war over aircraft subsidies.
미국과 유럽연합은 항공기 보조금에 관한 오랜 무역 전쟁을 중단하기 위해 5년간의 휴전에 합의했습니다.</v>
      </c>
      <c r="F760" s="16" t="s">
        <v>6068</v>
      </c>
      <c r="G760" s="16">
        <v>1</v>
      </c>
    </row>
    <row r="761" spans="1:7" ht="25.5">
      <c r="A761" s="15"/>
      <c r="B761" s="16">
        <v>760</v>
      </c>
      <c r="C761" s="16" t="s">
        <v>6069</v>
      </c>
      <c r="D761" s="16" t="s">
        <v>7250</v>
      </c>
      <c r="E761" s="16" t="str">
        <f ca="1">IFERROR(__xludf.DUMMYFUNCTION("AI(""c컬럼의 단어를 활용해서 적절한 예문을 만들어줘. 한글 해석은 줄띄움 후에 작성해줘"")"),"The technician used a suction-type tool to safely lift the glass screen from the electronic device.
기술자는 전자 기기에서 유리 화면을 안전하게 들어 올리기 위해 흡입식 도구를 사용했습니다.")</f>
        <v>The technician used a suction-type tool to safely lift the glass screen from the electronic device.
기술자는 전자 기기에서 유리 화면을 안전하게 들어 올리기 위해 흡입식 도구를 사용했습니다.</v>
      </c>
      <c r="F761" s="16" t="s">
        <v>6070</v>
      </c>
      <c r="G761" s="16">
        <v>1</v>
      </c>
    </row>
    <row r="762" spans="1:7" ht="51">
      <c r="A762" s="15"/>
      <c r="B762" s="16">
        <v>761</v>
      </c>
      <c r="C762" s="16" t="s">
        <v>6071</v>
      </c>
      <c r="D762" s="16" t="s">
        <v>7251</v>
      </c>
      <c r="E762" s="16" t="str">
        <f ca="1">IFERROR(__xludf.DUMMYFUNCTION("AI(""c컬럼의 단어를 활용해서 적절한 예문을 만들어줘. 한글 해석은 줄띄움 후에 작성해줘"")"),"Critics argued that the newly constructed skyscraper was a supersized eyesore that ruined the city's historic skyline.
비평가들은 새로 지어진 초대형 마천루가 도시의 역사적인 스카이라인을 망치는 흉물이라고 주장했습니다.")</f>
        <v>Critics argued that the newly constructed skyscraper was a supersized eyesore that ruined the city's historic skyline.
비평가들은 새로 지어진 초대형 마천루가 도시의 역사적인 스카이라인을 망치는 흉물이라고 주장했습니다.</v>
      </c>
      <c r="F762" s="16" t="s">
        <v>4904</v>
      </c>
      <c r="G762" s="16">
        <v>1</v>
      </c>
    </row>
    <row r="763" spans="1:7" ht="51">
      <c r="A763" s="15"/>
      <c r="B763" s="16">
        <v>762</v>
      </c>
      <c r="C763" s="16" t="s">
        <v>6072</v>
      </c>
      <c r="D763" s="16" t="s">
        <v>7252</v>
      </c>
      <c r="E763" s="16" t="str">
        <f ca="1">IFERROR(__xludf.DUMMYFUNCTION("AI(""c컬럼의 단어를 활용해서 적절한 예문을 만들어줘. 한글 해석은 줄띄움 후에 작성해줘"")"),"The airline decided to add a fuel surcharge to all international bookings to offset the rising cost of jet fuel.
항공사는 급등하는 항공유 비용을 상쇄하기 위해 모든 국제선 예약에 유류 할증료를 추가하기로 결정했습니다.")</f>
        <v>The airline decided to add a fuel surcharge to all international bookings to offset the rising cost of jet fuel.
항공사는 급등하는 항공유 비용을 상쇄하기 위해 모든 국제선 예약에 유류 할증료를 추가하기로 결정했습니다.</v>
      </c>
      <c r="F763" s="16" t="s">
        <v>6073</v>
      </c>
      <c r="G763" s="16">
        <v>1</v>
      </c>
    </row>
    <row r="764" spans="1:7" ht="25.5">
      <c r="A764" s="15"/>
      <c r="B764" s="16">
        <v>763</v>
      </c>
      <c r="C764" s="16" t="s">
        <v>6074</v>
      </c>
      <c r="D764" s="16" t="s">
        <v>7253</v>
      </c>
      <c r="E764" s="16" t="str">
        <f ca="1">IFERROR(__xludf.DUMMYFUNCTION("AI(""c컬럼의 단어를 활용해서 적절한 예문을 만들어줘. 한글 해석은 줄띄움 후에 작성해줘"")"),"Investing in technology now is a surefire way to guarantee you are prepared for the challenges to come.
현재 기술에 투자하는 것은 다가올 도전에 대비할 수 있는 확실한 성공 방법입니다.")</f>
        <v>Investing in technology now is a surefire way to guarantee you are prepared for the challenges to come.
현재 기술에 투자하는 것은 다가올 도전에 대비할 수 있는 확실한 성공 방법입니다.</v>
      </c>
      <c r="F764" s="16" t="s">
        <v>6075</v>
      </c>
      <c r="G764" s="16">
        <v>1</v>
      </c>
    </row>
    <row r="765" spans="1:7" ht="25.5">
      <c r="A765" s="15"/>
      <c r="B765" s="16">
        <v>764</v>
      </c>
      <c r="C765" s="16" t="s">
        <v>6076</v>
      </c>
      <c r="D765" s="16" t="s">
        <v>7254</v>
      </c>
      <c r="E765" s="16" t="str">
        <f ca="1">IFERROR(__xludf.DUMMYFUNCTION("AI(""c컬럼의 단어를 활용해서 적절한 예문을 만들어줘. 한글 해석은 줄띄움 후에 작성해줘"")"),"China recorded a record trade surplus of nearly 1.2 trillion dollars last year.
중국은 지난해 약 1조 2천억 달러라는 역대 최대 규모의 무역 흑자를 기록했습니다.")</f>
        <v>China recorded a record trade surplus of nearly 1.2 trillion dollars last year.
중국은 지난해 약 1조 2천억 달러라는 역대 최대 규모의 무역 흑자를 기록했습니다.</v>
      </c>
      <c r="F765" s="16" t="s">
        <v>6077</v>
      </c>
      <c r="G765" s="16">
        <v>1</v>
      </c>
    </row>
    <row r="766" spans="1:7" ht="38.25">
      <c r="A766" s="15"/>
      <c r="B766" s="16">
        <v>765</v>
      </c>
      <c r="C766" s="16" t="s">
        <v>6078</v>
      </c>
      <c r="D766" s="16" t="s">
        <v>7255</v>
      </c>
      <c r="E766" s="16" t="str">
        <f ca="1">IFERROR(__xludf.DUMMYFUNCTION("AI(""c컬럼의 단어를 활용해서 적절한 예문을 만들어줘. 한글 해석은 줄띄움 후에 작성해줘"")"),"Children are often more susceptible to infections because their immune systems are not yet fully developed.
어린 아이들은 면역 체계가 아직 완전히 발달하지 않았기 때문에 종종 감염에 더 취약합니다.")</f>
        <v>Children are often more susceptible to infections because their immune systems are not yet fully developed.
어린 아이들은 면역 체계가 아직 완전히 발달하지 않았기 때문에 종종 감염에 더 취약합니다.</v>
      </c>
      <c r="F766" s="16" t="s">
        <v>6079</v>
      </c>
      <c r="G766" s="16">
        <v>1</v>
      </c>
    </row>
    <row r="767" spans="1:7" ht="25.5">
      <c r="A767" s="15"/>
      <c r="B767" s="16">
        <v>766</v>
      </c>
      <c r="C767" s="16" t="s">
        <v>6080</v>
      </c>
      <c r="D767" s="16" t="s">
        <v>7256</v>
      </c>
      <c r="E767" s="16" t="str">
        <f ca="1">IFERROR(__xludf.DUMMYFUNCTION("AI(""c컬럼의 단어를 활용해서 적절한 예문을 만들어줘. 한글 해석은 줄띄움 후에 작성해줘"")"),"We often take our health for granted until we fall ill and realize how precious it truly is.
우리는 종종 병에 걸려 그것이 얼마나 소중한지 깨닫기 전까지는 건강을 당연하게 여깁니다.")</f>
        <v>We often take our health for granted until we fall ill and realize how precious it truly is.
우리는 종종 병에 걸려 그것이 얼마나 소중한지 깨닫기 전까지는 건강을 당연하게 여깁니다.</v>
      </c>
      <c r="F767" s="16" t="s">
        <v>6081</v>
      </c>
      <c r="G767" s="16">
        <v>1</v>
      </c>
    </row>
    <row r="768" spans="1:7" ht="51">
      <c r="A768" s="15"/>
      <c r="B768" s="16">
        <v>767</v>
      </c>
      <c r="C768" s="16" t="s">
        <v>6082</v>
      </c>
      <c r="D768" s="16" t="s">
        <v>7257</v>
      </c>
      <c r="E768" s="16" t="str">
        <f ca="1">IFERROR(__xludf.DUMMYFUNCTION("AI(""c컬럼의 단어를 활용해서 적절한 예문을 만들어줘. 한글 해석은 줄띄움 후에 작성해줘"")"),"The situation often occurs with self-service solutions, which require that employees actively take on the challenge in the new system.
이러한 상황은 셀프 서비스 솔루션에서 자주 발생하며, 이는 직원들이 새로운 시스템 내의 도전에 적극적으로 착수할 것을 요구합니다.")</f>
        <v>The situation often occurs with self-service solutions, which require that employees actively take on the challenge in the new system.
이러한 상황은 셀프 서비스 솔루션에서 자주 발생하며, 이는 직원들이 새로운 시스템 내의 도전에 적극적으로 착수할 것을 요구합니다.</v>
      </c>
      <c r="F768" s="16" t="s">
        <v>6083</v>
      </c>
      <c r="G768" s="16">
        <v>1</v>
      </c>
    </row>
    <row r="769" spans="1:7" ht="38.25">
      <c r="A769" s="15"/>
      <c r="B769" s="16">
        <v>768</v>
      </c>
      <c r="C769" s="16" t="s">
        <v>6084</v>
      </c>
      <c r="D769" s="16" t="s">
        <v>7258</v>
      </c>
      <c r="E769" s="16" t="str">
        <f ca="1">IFERROR(__xludf.DUMMYFUNCTION("AI(""c컬럼의 단어를 활용해서 적절한 예문을 만들어줘. 한글 해석은 줄띄움 후에 작성해줘"")"),"I appreciate your willingness to help, and I would like to take you up on your offer to assist with the project.
당신의 도와주려는 의지에 감사드리며, 프로젝트를 돕겠다는 당신의 제안을 받아들이고 싶습니다.")</f>
        <v>I appreciate your willingness to help, and I would like to take you up on your offer to assist with the project.
당신의 도와주려는 의지에 감사드리며, 프로젝트를 돕겠다는 당신의 제안을 받아들이고 싶습니다.</v>
      </c>
      <c r="F769" s="16" t="s">
        <v>6085</v>
      </c>
      <c r="G769" s="16">
        <v>1</v>
      </c>
    </row>
    <row r="770" spans="1:7" ht="25.5">
      <c r="A770" s="15"/>
      <c r="B770" s="16">
        <v>769</v>
      </c>
      <c r="C770" s="16" t="s">
        <v>847</v>
      </c>
      <c r="D770" s="16" t="s">
        <v>7259</v>
      </c>
      <c r="E770" s="16" t="str">
        <f ca="1">IFERROR(__xludf.DUMMYFUNCTION("AI(""c컬럼의 단어를 활용해서 적절한 예문을 만들어줘. 한글 해석은 줄띄움 후에 작성해줘"")"),"The task was so tedious that it took me three hours to finish it.
그 작업은 너무 지루해서 끝내는 데 세 시간이 걸렸습니다.")</f>
        <v>The task was so tedious that it took me three hours to finish it.
그 작업은 너무 지루해서 끝내는 데 세 시간이 걸렸습니다.</v>
      </c>
      <c r="F770" s="16" t="s">
        <v>6086</v>
      </c>
      <c r="G770" s="16">
        <v>1</v>
      </c>
    </row>
    <row r="771" spans="1:7" ht="38.25">
      <c r="A771" s="15"/>
      <c r="B771" s="16">
        <v>770</v>
      </c>
      <c r="C771" s="16" t="s">
        <v>6087</v>
      </c>
      <c r="D771" s="16" t="s">
        <v>7260</v>
      </c>
      <c r="E771" s="16" t="str">
        <f ca="1">IFERROR(__xludf.DUMMYFUNCTION("AI(""c컬럼의 단어를 활용해서 적절한 예문을 만들어줘. 한글 해석은 줄띄움 후에 작성해줘"")"),"You'll have to pay an early termination fee if you cancel your service before the end of your minimum contract period.
최소 계약 기간이 끝나기 전에 서비스를 취소하면 조기 해지 수수료를 지불해야 합니다.")</f>
        <v>You'll have to pay an early termination fee if you cancel your service before the end of your minimum contract period.
최소 계약 기간이 끝나기 전에 서비스를 취소하면 조기 해지 수수료를 지불해야 합니다.</v>
      </c>
      <c r="F771" s="16" t="s">
        <v>6088</v>
      </c>
      <c r="G771" s="16">
        <v>1</v>
      </c>
    </row>
    <row r="772" spans="1:7" ht="38.25">
      <c r="A772" s="15"/>
      <c r="B772" s="16">
        <v>771</v>
      </c>
      <c r="C772" s="16" t="s">
        <v>6089</v>
      </c>
      <c r="D772" s="16" t="s">
        <v>7261</v>
      </c>
      <c r="E772" s="16" t="str">
        <f ca="1">IFERROR(__xludf.DUMMYFUNCTION("AI(""c컬럼의 단어를 활용해서 적절한 예문을 만들어줘. 한글 해석은 줄띄움 후에 작성해줘"")"),"Each piece of glass in the cathedral's window is a testament to the skilled craftsmanship of the medieval era.
대성당 창문의 유리 한 조각 한 조각은 중세 시대의 숙련된 장인 정신을 보여주는 증거입니다.")</f>
        <v>Each piece of glass in the cathedral's window is a testament to the skilled craftsmanship of the medieval era.
대성당 창문의 유리 한 조각 한 조각은 중세 시대의 숙련된 장인 정신을 보여주는 증거입니다.</v>
      </c>
      <c r="F772" s="16" t="s">
        <v>6090</v>
      </c>
      <c r="G772" s="16">
        <v>1</v>
      </c>
    </row>
    <row r="773" spans="1:7" ht="51">
      <c r="A773" s="15"/>
      <c r="B773" s="16">
        <v>772</v>
      </c>
      <c r="C773" s="16" t="s">
        <v>6091</v>
      </c>
      <c r="D773" s="16" t="s">
        <v>7262</v>
      </c>
      <c r="E773" s="16" t="str">
        <f ca="1">IFERROR(__xludf.DUMMYFUNCTION("AI(""c컬럼의 단어를 활용해서 적절한 예문을 만들어줘. 한글 해석은 줄띄움 후에 작성해줘"")"),"It is important to step back to see the bigger picture because many of us were not taught to think beyond getting our own needs met.
이것은 우리 중 많은 사람들이 자신의 필요를 충족시키는 것 이상으로 생각하도록 배우지 못했기 때문에, 한 걸음 물러나 전체적인 상황을 보는 것이 중요하다는 의미입니다.")</f>
        <v>It is important to step back to see the bigger picture because many of us were not taught to think beyond getting our own needs met.
이것은 우리 중 많은 사람들이 자신의 필요를 충족시키는 것 이상으로 생각하도록 배우지 못했기 때문에, 한 걸음 물러나 전체적인 상황을 보는 것이 중요하다는 의미입니다.</v>
      </c>
      <c r="F773" s="16" t="s">
        <v>6092</v>
      </c>
      <c r="G773" s="16">
        <v>1</v>
      </c>
    </row>
    <row r="774" spans="1:7" ht="25.5">
      <c r="A774" s="15"/>
      <c r="B774" s="16">
        <v>773</v>
      </c>
      <c r="C774" s="16" t="s">
        <v>6093</v>
      </c>
      <c r="D774" s="16" t="s">
        <v>7263</v>
      </c>
      <c r="E774" s="16" t="str">
        <f ca="1">IFERROR(__xludf.DUMMYFUNCTION("AI(""c컬럼의 단어를 활용해서 적절한 예문을 만들어줘. 한글 해석은 줄띄움 후에 작성해줘"")"),"The literary and academic establishment initially dismissed his work as too unconventional.
문학계와 학계의 기성 권력층은 처음에 그의 작품이 너무 파격적이라며 무시했습니다.")</f>
        <v>The literary and academic establishment initially dismissed his work as too unconventional.
문학계와 학계의 기성 권력층은 처음에 그의 작품이 너무 파격적이라며 무시했습니다.</v>
      </c>
      <c r="F774" s="16" t="s">
        <v>6094</v>
      </c>
      <c r="G774" s="16">
        <v>1</v>
      </c>
    </row>
    <row r="775" spans="1:7" ht="25.5">
      <c r="A775" s="15"/>
      <c r="B775" s="16">
        <v>774</v>
      </c>
      <c r="C775" s="16" t="s">
        <v>6095</v>
      </c>
      <c r="D775" s="16" t="s">
        <v>7264</v>
      </c>
      <c r="E775" s="16" t="str">
        <f ca="1">IFERROR(__xludf.DUMMYFUNCTION("AI(""c컬럼의 단어를 활용해서 적절한 예문을 만들어줘. 한글 해석은 줄띄움 후에 작성해줘"")"),"Successfully defending your doctoral dissertation is the final step in earning your degree.
박사 논문을 성공적으로 방어하는 것은 학위를 취득하는 마지막 단계입니다.")</f>
        <v>Successfully defending your doctoral dissertation is the final step in earning your degree.
박사 논문을 성공적으로 방어하는 것은 학위를 취득하는 마지막 단계입니다.</v>
      </c>
      <c r="F775" s="16" t="s">
        <v>6096</v>
      </c>
      <c r="G775" s="16">
        <v>1</v>
      </c>
    </row>
    <row r="776" spans="1:7" ht="25.5">
      <c r="A776" s="15"/>
      <c r="B776" s="16">
        <v>775</v>
      </c>
      <c r="C776" s="16" t="s">
        <v>6097</v>
      </c>
      <c r="D776" s="16" t="s">
        <v>7265</v>
      </c>
      <c r="E776" s="16" t="str">
        <f ca="1">IFERROR(__xludf.DUMMYFUNCTION("AI(""c컬럼의 단어를 활용해서 적절한 예문을 만들어줘. 한글 해석은 줄띄움 후에 작성해줘"")"),"The project was thoughtfully designed to blend in with the surrounding natural landscape.
그 프로젝트는 주변의 자연 경관과 조화를 이루도록 사려 깊게 설계되었습니다.")</f>
        <v>The project was thoughtfully designed to blend in with the surrounding natural landscape.
그 프로젝트는 주변의 자연 경관과 조화를 이루도록 사려 깊게 설계되었습니다.</v>
      </c>
      <c r="F776" s="16" t="s">
        <v>6098</v>
      </c>
      <c r="G776" s="16">
        <v>1</v>
      </c>
    </row>
    <row r="777" spans="1:7" ht="25.5">
      <c r="A777" s="15"/>
      <c r="B777" s="16">
        <v>776</v>
      </c>
      <c r="C777" s="16" t="s">
        <v>6099</v>
      </c>
      <c r="D777" s="16" t="s">
        <v>7266</v>
      </c>
      <c r="E777" s="16" t="str">
        <f ca="1">IFERROR(__xludf.DUMMYFUNCTION("AI(""c컬럼의 단어를 활용해서 적절한 예문을 만들어줘. 한글 해석은 줄띄움 후에 작성해줘"")"),"The police were tipped off about the illegal gambling operation by an anonymous caller.
경찰은 익명의 제보자로부터 불법 도박 운영에 대한 제보를 받았습니다.")</f>
        <v>The police were tipped off about the illegal gambling operation by an anonymous caller.
경찰은 익명의 제보자로부터 불법 도박 운영에 대한 제보를 받았습니다.</v>
      </c>
      <c r="F777" s="16" t="s">
        <v>6100</v>
      </c>
      <c r="G777" s="16">
        <v>1</v>
      </c>
    </row>
    <row r="778" spans="1:7" ht="25.5">
      <c r="A778" s="15"/>
      <c r="B778" s="16">
        <v>777</v>
      </c>
      <c r="C778" s="16" t="s">
        <v>6101</v>
      </c>
      <c r="D778" s="16" t="s">
        <v>7267</v>
      </c>
      <c r="E778" s="16" t="str">
        <f ca="1">IFERROR(__xludf.DUMMYFUNCTION("AI(""c컬럼의 단어를 활용해서 적절한 예문을 만들어줘. 한글 해석은 줄띄움 후에 작성해줘"")"),"The company decided to invest in top-of-the-line equipment to improve its production efficiency.
그 회사는 생산 효율성을 높이기 위해 최고급 설비에 투자하기로 결정했습니다.")</f>
        <v>The company decided to invest in top-of-the-line equipment to improve its production efficiency.
그 회사는 생산 효율성을 높이기 위해 최고급 설비에 투자하기로 결정했습니다.</v>
      </c>
      <c r="F778" s="16" t="s">
        <v>6102</v>
      </c>
      <c r="G778" s="16">
        <v>1</v>
      </c>
    </row>
    <row r="779" spans="1:7" ht="25.5">
      <c r="A779" s="15"/>
      <c r="B779" s="16">
        <v>778</v>
      </c>
      <c r="C779" s="16" t="s">
        <v>6103</v>
      </c>
      <c r="D779" s="16" t="s">
        <v>7268</v>
      </c>
      <c r="E779" s="16" t="str">
        <f ca="1">IFERROR(__xludf.DUMMYFUNCTION("AI(""c컬럼의 단어를 활용해서 적절한 예문을 만들어줘. 한글 해석은 줄띄움 후에 작성해줘"")"),"Workers must wear appropriate respiratory protection to avoid inhaling toxic gases and fumes.
근로자들은 유독 가스와 연기를 흡입하지 않도록 적절한 호흡 보호구를 착용해야 합니다.")</f>
        <v>Workers must wear appropriate respiratory protection to avoid inhaling toxic gases and fumes.
근로자들은 유독 가스와 연기를 흡입하지 않도록 적절한 호흡 보호구를 착용해야 합니다.</v>
      </c>
      <c r="F779" s="16" t="s">
        <v>6104</v>
      </c>
      <c r="G779" s="16">
        <v>1</v>
      </c>
    </row>
    <row r="780" spans="1:7" ht="51">
      <c r="A780" s="15"/>
      <c r="B780" s="16">
        <v>779</v>
      </c>
      <c r="C780" s="16" t="s">
        <v>6105</v>
      </c>
      <c r="D780" s="16" t="s">
        <v>7269</v>
      </c>
      <c r="E780" s="16" t="str">
        <f ca="1">IFERROR(__xludf.DUMMYFUNCTION("AI(""c컬럼의 단어를 활용해서 적절한 예문을 만들어줘. 한글 해석은 줄띄움 후에 작성해줘"")"),"Persistent trade deficits can lead to a larger or more productive economy over the long-term, if spending is for productive investment.
지속적인 무역 적자는 지출이 생산적인 투자를 위한 것이라면 장기적으로 더 크거나 더 생산적인 경제로 이어질 수 있습니다.")</f>
        <v>Persistent trade deficits can lead to a larger or more productive economy over the long-term, if spending is for productive investment.
지속적인 무역 적자는 지출이 생산적인 투자를 위한 것이라면 장기적으로 더 크거나 더 생산적인 경제로 이어질 수 있습니다.</v>
      </c>
      <c r="F780" s="16" t="s">
        <v>6106</v>
      </c>
      <c r="G780" s="16">
        <v>1</v>
      </c>
    </row>
    <row r="781" spans="1:7" ht="51">
      <c r="A781" s="15"/>
      <c r="B781" s="16">
        <v>780</v>
      </c>
      <c r="C781" s="16" t="s">
        <v>6107</v>
      </c>
      <c r="D781" s="16" t="s">
        <v>7270</v>
      </c>
      <c r="E781" s="16" t="str">
        <f ca="1">IFERROR(__xludf.DUMMYFUNCTION("AI(""c컬럼의 단어를 활용해서 적절한 예문을 만들어줘. 한글 해석은 줄띄움 후에 작성해줘"")"),"The persistent trade imbalance between the two nations has led to calls for new tariffs to protect domestic industries.
두 국가 사이의 지속적인 무역 불균형은 국내 산업을 보호하기 위한 새로운 관세 부과 요구로 이어졌습니다.")</f>
        <v>The persistent trade imbalance between the two nations has led to calls for new tariffs to protect domestic industries.
두 국가 사이의 지속적인 무역 불균형은 국내 산업을 보호하기 위한 새로운 관세 부과 요구로 이어졌습니다.</v>
      </c>
      <c r="F781" s="16" t="s">
        <v>6108</v>
      </c>
      <c r="G781" s="16">
        <v>1</v>
      </c>
    </row>
    <row r="782" spans="1:7" ht="38.25">
      <c r="A782" s="15"/>
      <c r="B782" s="16">
        <v>781</v>
      </c>
      <c r="C782" s="16" t="s">
        <v>6109</v>
      </c>
      <c r="D782" s="16" t="s">
        <v>7271</v>
      </c>
      <c r="E782" s="16" t="str">
        <f ca="1">IFERROR(__xludf.DUMMYFUNCTION("AI(""c컬럼의 단어를 활용해서 적절한 예문을 만들어줘. 한글 해석은 줄띄움 후에 작성해줘"")"),"The company decided to trademark its new logo to prevent competitors from using similar designs.
그 회사는 경쟁업체들이 유사한 디자인을 사용하는 것을 방지하기 위해 새로운 로고를 상표 등록하기로 결정했습니다.")</f>
        <v>The company decided to trademark its new logo to prevent competitors from using similar designs.
그 회사는 경쟁업체들이 유사한 디자인을 사용하는 것을 방지하기 위해 새로운 로고를 상표 등록하기로 결정했습니다.</v>
      </c>
      <c r="F782" s="16" t="s">
        <v>6110</v>
      </c>
      <c r="G782" s="16">
        <v>1</v>
      </c>
    </row>
    <row r="783" spans="1:7" ht="25.5">
      <c r="A783" s="15"/>
      <c r="B783" s="16">
        <v>782</v>
      </c>
      <c r="C783" s="16" t="s">
        <v>6111</v>
      </c>
      <c r="D783" s="16" t="s">
        <v>7272</v>
      </c>
      <c r="E783" s="16" t="str">
        <f ca="1">IFERROR(__xludf.DUMMYFUNCTION("AI(""c컬럼의 단어를 활용해서 적절한 예문을 만들어줘. 한글 해석은 줄띄움 후에 작성해줘"")"),"The audience left the theater in tears after the movie's tragic conclusion.
그 영화의 비극적 결말 이후 관객들은 눈물을 흘리며 영화관을 떠났습니다.")</f>
        <v>The audience left the theater in tears after the movie's tragic conclusion.
그 영화의 비극적 결말 이후 관객들은 눈물을 흘리며 영화관을 떠났습니다.</v>
      </c>
      <c r="F783" s="16" t="s">
        <v>6112</v>
      </c>
      <c r="G783" s="16">
        <v>1</v>
      </c>
    </row>
    <row r="784" spans="1:7" ht="38.25">
      <c r="A784" s="15"/>
      <c r="B784" s="16">
        <v>783</v>
      </c>
      <c r="C784" s="16" t="s">
        <v>6113</v>
      </c>
      <c r="D784" s="16" t="s">
        <v>7273</v>
      </c>
      <c r="E784" s="16" t="str">
        <f ca="1">IFERROR(__xludf.DUMMYFUNCTION("AI(""c컬럼의 단어를 활용해서 적절한 예문을 만들어줘. 한글 해석은 줄띄움 후에 작성해줘"")"),"The government has introduced several new policies to increase transparency in the political decision-making process.
정부는 정치적 의사 결정 과정의 투명성을 높이기 위해 몇 가지 새로운 정책을 도입했습니다.")</f>
        <v>The government has introduced several new policies to increase transparency in the political decision-making process.
정부는 정치적 의사 결정 과정의 투명성을 높이기 위해 몇 가지 새로운 정책을 도입했습니다.</v>
      </c>
      <c r="F784" s="16" t="s">
        <v>6114</v>
      </c>
      <c r="G784" s="16">
        <v>1</v>
      </c>
    </row>
    <row r="785" spans="1:7" ht="25.5">
      <c r="A785" s="15"/>
      <c r="B785" s="16">
        <v>784</v>
      </c>
      <c r="C785" s="16" t="s">
        <v>6115</v>
      </c>
      <c r="D785" s="16" t="s">
        <v>7274</v>
      </c>
      <c r="E785" s="16" t="str">
        <f ca="1">IFERROR(__xludf.DUMMYFUNCTION("AI(""c컬럼의 단어를 활용해서 적절한 예문을 만들어줘. 한글 해석은 줄띄움 후에 작성해줘"")"),"Organ transplantation is a life-saving procedure for patients with end-stage organ failure.
장기 이식은 말기 장기 부전 환자들에게 생명을 구하는 절차입니다.")</f>
        <v>Organ transplantation is a life-saving procedure for patients with end-stage organ failure.
장기 이식은 말기 장기 부전 환자들에게 생명을 구하는 절차입니다.</v>
      </c>
      <c r="F785" s="16" t="s">
        <v>6116</v>
      </c>
      <c r="G785" s="16">
        <v>1</v>
      </c>
    </row>
    <row r="786" spans="1:7" ht="25.5">
      <c r="A786" s="15"/>
      <c r="B786" s="16">
        <v>785</v>
      </c>
      <c r="C786" s="16" t="s">
        <v>6117</v>
      </c>
      <c r="D786" s="16" t="s">
        <v>7275</v>
      </c>
      <c r="E786" s="16" t="str">
        <f ca="1">IFERROR(__xludf.DUMMYFUNCTION("AI(""c컬럼의 단어를 활용해서 적절한 예문을 만들어줘. 한글 해석은 줄띄움 후에 작성해줘"")"),"The choice we make today will ultimately determine the success of the entire project.
우리가 오늘 내리는 선택이 결국 프로젝트 전체의 성공을 결정할 것입니다.")</f>
        <v>The choice we make today will ultimately determine the success of the entire project.
우리가 오늘 내리는 선택이 결국 프로젝트 전체의 성공을 결정할 것입니다.</v>
      </c>
      <c r="F786" s="16" t="s">
        <v>6118</v>
      </c>
      <c r="G786" s="16">
        <v>1</v>
      </c>
    </row>
    <row r="787" spans="1:7" ht="25.5">
      <c r="A787" s="15"/>
      <c r="B787" s="16">
        <v>786</v>
      </c>
      <c r="C787" s="16" t="s">
        <v>6119</v>
      </c>
      <c r="D787" s="16" t="s">
        <v>7276</v>
      </c>
      <c r="E787" s="16" t="str">
        <f ca="1">IFERROR(__xludf.DUMMYFUNCTION("AI(""c컬럼의 단어를 활용해서 적절한 예문을 만들어줘. 한글 해석은 줄띄움 후에 작성해줘"")"),"The company's new disclosure rules have gone unchallenged for many years.
회사의 새로운 공시 규정은 수년 동안 반박되지 않은 채 유지되어 왔습니다.")</f>
        <v>The company's new disclosure rules have gone unchallenged for many years.
회사의 새로운 공시 규정은 수년 동안 반박되지 않은 채 유지되어 왔습니다.</v>
      </c>
      <c r="F787" s="16" t="s">
        <v>6120</v>
      </c>
      <c r="G787" s="16">
        <v>1</v>
      </c>
    </row>
    <row r="788" spans="1:7" ht="51">
      <c r="A788" s="15"/>
      <c r="B788" s="16">
        <v>787</v>
      </c>
      <c r="C788" s="16" t="s">
        <v>6121</v>
      </c>
      <c r="D788" s="16" t="s">
        <v>7277</v>
      </c>
      <c r="E788" s="16" t="str">
        <f ca="1">IFERROR(__xludf.DUMMYFUNCTION("AI(""c컬럼의 단어를 활용해서 적절한 예문을 만들어줘. 한글 해석은 줄띄움 후에 작성해줘"")"),"The company announced plans to shutter 32 underperforming stores by the end of the year to improve its overall performance.
그 회사는 전반적인 실적을 개선하기 위해 연말까지 실적이 저저한 매장 32곳을 폐쇄할 계획이라고 발표했습니다.")</f>
        <v>The company announced plans to shutter 32 underperforming stores by the end of the year to improve its overall performance.
그 회사는 전반적인 실적을 개선하기 위해 연말까지 실적이 저저한 매장 32곳을 폐쇄할 계획이라고 발표했습니다.</v>
      </c>
      <c r="F788" s="16" t="s">
        <v>6122</v>
      </c>
      <c r="G788" s="16">
        <v>1</v>
      </c>
    </row>
    <row r="789" spans="1:7" ht="51">
      <c r="A789" s="15"/>
      <c r="B789" s="16">
        <v>788</v>
      </c>
      <c r="C789" s="16" t="s">
        <v>6123</v>
      </c>
      <c r="D789" s="16" t="s">
        <v>7278</v>
      </c>
      <c r="E789" s="16" t="str">
        <f ca="1">IFERROR(__xludf.DUMMYFUNCTION("AI(""c컬럼의 단어를 활용해서 적절한 예문을 만들어줘. 한글 해석은 줄띄움 후에 작성해줘"")"),"The government's proposed reform to airline regulations could lead to unintended consequences, such as increased delays and higher costs for consumers.
정부의 항공 규제 개혁안은 지연 시간 증가와 소비자 비용 상승과 같은 의도치 않은 결과를 초래할 수 있습니다.")</f>
        <v>The government's proposed reform to airline regulations could lead to unintended consequences, such as increased delays and higher costs for consumers.
정부의 항공 규제 개혁안은 지연 시간 증가와 소비자 비용 상승과 같은 의도치 않은 결과를 초래할 수 있습니다.</v>
      </c>
      <c r="F789" s="16" t="s">
        <v>6124</v>
      </c>
      <c r="G789" s="16">
        <v>1</v>
      </c>
    </row>
    <row r="790" spans="1:7" ht="25.5">
      <c r="A790" s="15"/>
      <c r="B790" s="16">
        <v>789</v>
      </c>
      <c r="C790" s="16" t="s">
        <v>6125</v>
      </c>
      <c r="D790" s="16" t="s">
        <v>7279</v>
      </c>
      <c r="E790" s="16" t="str">
        <f ca="1">IFERROR(__xludf.DUMMYFUNCTION("AI(""c컬럼의 단어를 활용해서 적절한 예문을 만들어줘. 한글 해석은 줄띄움 후에 작성해줘"")"),"Unfortunately, fresh fruit is unobtainable in this remote village during the winter months.
불행히도, 겨울철에는 이 외딴 마을에서 신선한 과일을 구할 수 없습니다.")</f>
        <v>Unfortunately, fresh fruit is unobtainable in this remote village during the winter months.
불행히도, 겨울철에는 이 외딴 마을에서 신선한 과일을 구할 수 없습니다.</v>
      </c>
      <c r="F790" s="16" t="s">
        <v>6126</v>
      </c>
      <c r="G790" s="16">
        <v>1</v>
      </c>
    </row>
    <row r="791" spans="1:7" ht="38.25">
      <c r="A791" s="15"/>
      <c r="B791" s="16">
        <v>790</v>
      </c>
      <c r="C791" s="16" t="s">
        <v>6127</v>
      </c>
      <c r="D791" s="16" t="s">
        <v>7280</v>
      </c>
      <c r="E791" s="16" t="str">
        <f ca="1">IFERROR(__xludf.DUMMYFUNCTION("AI(""c컬럼의 단어를 활용해서 적절한 예문을 만들어줘. 한글 해석은 줄띄움 후에 작성해줘"")"),"The world is witnessing an unprecedented wave of technological advancements that are reshaping industries and societies at large.
세상은 산업과 사회 전반을 재편하는 전례 없는 기술 발전의 물결을 목격하고 있습니다.")</f>
        <v>The world is witnessing an unprecedented wave of technological advancements that are reshaping industries and societies at large.
세상은 산업과 사회 전반을 재편하는 전례 없는 기술 발전의 물결을 목격하고 있습니다.</v>
      </c>
      <c r="F791" s="16" t="s">
        <v>6128</v>
      </c>
      <c r="G791" s="16">
        <v>1</v>
      </c>
    </row>
    <row r="792" spans="1:7" ht="25.5">
      <c r="A792" s="15"/>
      <c r="B792" s="16">
        <v>791</v>
      </c>
      <c r="C792" s="16" t="s">
        <v>6129</v>
      </c>
      <c r="D792" s="16" t="s">
        <v>7281</v>
      </c>
      <c r="E792" s="16" t="str">
        <f ca="1">IFERROR(__xludf.DUMMYFUNCTION("AI(""c컬럼의 단어를 활용해서 적절한 예문을 만들어줘. 한글 해석은 줄띄움 후에 작성해줘"")"),"The government decided to provide unrestricted access to the public records to ensure transparency.
정부는 투명성을 보장하기 위해 공공 기록물에 대한 제한 없는 접근을 허용하기로 결정했습니다.")</f>
        <v>The government decided to provide unrestricted access to the public records to ensure transparency.
정부는 투명성을 보장하기 위해 공공 기록물에 대한 제한 없는 접근을 허용하기로 결정했습니다.</v>
      </c>
      <c r="F792" s="16" t="s">
        <v>6130</v>
      </c>
      <c r="G792" s="16">
        <v>1</v>
      </c>
    </row>
    <row r="793" spans="1:7" ht="51">
      <c r="A793" s="15"/>
      <c r="B793" s="16">
        <v>792</v>
      </c>
      <c r="C793" s="16" t="s">
        <v>6131</v>
      </c>
      <c r="D793" s="16" t="s">
        <v>7282</v>
      </c>
      <c r="E793" s="16" t="str">
        <f ca="1">IFERROR(__xludf.DUMMYFUNCTION("AI(""c컬럼의 단어를 활용해서 적절한 예문을 만들어줘. 한글 해석은 줄띄움 후에 작성해줘"")"),"During unstructured play, children need enough time to explore their own interests and ideas and use their imaginations.
비구조화 놀이 동안, 아이들은 자신의 관심사와 아이디어를 탐색하고 상상력을 사용할 충분한 시간이 필요합니다.")</f>
        <v>During unstructured play, children need enough time to explore their own interests and ideas and use their imaginations.
비구조화 놀이 동안, 아이들은 자신의 관심사와 아이디어를 탐색하고 상상력을 사용할 충분한 시간이 필요합니다.</v>
      </c>
      <c r="F793" s="16" t="s">
        <v>6132</v>
      </c>
      <c r="G793" s="16">
        <v>1</v>
      </c>
    </row>
    <row r="794" spans="1:7" ht="25.5">
      <c r="A794" s="15"/>
      <c r="B794" s="16">
        <v>793</v>
      </c>
      <c r="C794" s="16" t="s">
        <v>6133</v>
      </c>
      <c r="D794" s="16" t="s">
        <v>7283</v>
      </c>
      <c r="E794" s="16" t="str">
        <f ca="1">IFERROR(__xludf.DUMMYFUNCTION("AI(""c컬럼의 단어를 활용해서 적절한 예문을 만들어줘. 한글 해석은 줄띄움 후에 작성해줘"")"),"Many economists warn that the current level of government spending is unsustainable in the long run.
많은 경제학자들은 현재의 정부 지출 수준이 장기적으로 지속 불가능하다고 경고합니다.")</f>
        <v>Many economists warn that the current level of government spending is unsustainable in the long run.
많은 경제학자들은 현재의 정부 지출 수준이 장기적으로 지속 불가능하다고 경고합니다.</v>
      </c>
      <c r="F794" s="16" t="s">
        <v>6134</v>
      </c>
      <c r="G794" s="16">
        <v>1</v>
      </c>
    </row>
    <row r="795" spans="1:7" ht="25.5">
      <c r="A795" s="15"/>
      <c r="B795" s="16">
        <v>794</v>
      </c>
      <c r="C795" s="16" t="s">
        <v>6135</v>
      </c>
      <c r="D795" s="16" t="s">
        <v>7284</v>
      </c>
      <c r="E795" s="16" t="str">
        <f ca="1">IFERROR(__xludf.DUMMYFUNCTION("AI(""c컬럼의 단어를 활용해서 적절한 예문을 만들어줘. 한글 해석은 줄띄움 후에 작성해줘"")"),"The technician confirmed that the server is now up and running after the maintenance.
기술자는 점검 후 서버가 현재 정상 운영 중임을 확인했습니다.")</f>
        <v>The technician confirmed that the server is now up and running after the maintenance.
기술자는 점검 후 서버가 현재 정상 운영 중임을 확인했습니다.</v>
      </c>
      <c r="F795" s="16" t="s">
        <v>6136</v>
      </c>
      <c r="G795" s="16">
        <v>1</v>
      </c>
    </row>
    <row r="796" spans="1:7" ht="63.75">
      <c r="A796" s="15"/>
      <c r="B796" s="16">
        <v>795</v>
      </c>
      <c r="C796" s="16" t="s">
        <v>6137</v>
      </c>
      <c r="D796" s="16" t="s">
        <v>7285</v>
      </c>
      <c r="E796" s="16" t="str">
        <f ca="1">IFERROR(__xludf.DUMMYFUNCTION("AI(""c컬럼의 단어를 활용해서 적절한 예문을 만들어줘. 한글 해석은 줄띄움 후에 작성해줘"")"),"Isabel's rural upbringing shaped her strong character and resilience, helping her overcome various adversities in life.
이사벨의 시골에서의 성장 배경은 그녀의 강한 성격과 회복탄력성을 형성했으며, 그녀가 인생의 다양한 역경을 극복하는 데 도움을 주었습니다.")</f>
        <v>Isabel's rural upbringing shaped her strong character and resilience, helping her overcome various adversities in life.
이사벨의 시골에서의 성장 배경은 그녀의 강한 성격과 회복탄력성을 형성했으며, 그녀가 인생의 다양한 역경을 극복하는 데 도움을 주었습니다.</v>
      </c>
      <c r="F796" s="16" t="s">
        <v>6138</v>
      </c>
      <c r="G796" s="16">
        <v>1</v>
      </c>
    </row>
    <row r="797" spans="1:7" ht="51">
      <c r="A797" s="15"/>
      <c r="B797" s="16">
        <v>796</v>
      </c>
      <c r="C797" s="16" t="s">
        <v>6139</v>
      </c>
      <c r="D797" s="16" t="s">
        <v>7286</v>
      </c>
      <c r="E797" s="16" t="str">
        <f ca="1">IFERROR(__xludf.DUMMYFUNCTION("AI(""c컬럼의 단어를 활용해서 적절한 예문을 만들어줘. 한글 해석은 줄띄움 후에 작성해줘"")"),"Our company is committed to compliance with all laws, rules, and regulations that govern our business and expect our employees to uphold the highest ethical standards.
우리 회사는 사업을 규제하는 모든 법률, 규칙 및 규정을 준수하기 위해 최선을 다하고 있으며 직원들이 가장 높은 윤리 기준을 지키기를 기대합니다.")</f>
        <v>Our company is committed to compliance with all laws, rules, and regulations that govern our business and expect our employees to uphold the highest ethical standards.
우리 회사는 사업을 규제하는 모든 법률, 규칙 및 규정을 준수하기 위해 최선을 다하고 있으며 직원들이 가장 높은 윤리 기준을 지키기를 기대합니다.</v>
      </c>
      <c r="F797" s="16" t="s">
        <v>6140</v>
      </c>
      <c r="G797" s="16">
        <v>1</v>
      </c>
    </row>
    <row r="798" spans="1:7" ht="51">
      <c r="A798" s="15"/>
      <c r="B798" s="16">
        <v>797</v>
      </c>
      <c r="C798" s="16" t="s">
        <v>6141</v>
      </c>
      <c r="D798" s="16" t="s">
        <v>7287</v>
      </c>
      <c r="E798" s="16" t="str">
        <f ca="1">IFERROR(__xludf.DUMMYFUNCTION("AI(""c컬럼의 단어를 활용해서 적절한 예문을 만들어줘. 한글 해석은 줄띄움 후에 작성해줘"")"),"It is estimated that every year, over 100,000 human deaths can be attributed to snakebite from the world's 700 venomous snake species.
매년 전 세계 700종의 독이 있는 뱀에 의한 물림으로 10만 명 이상의 인명 피해가 발생하는 것으로 추정됩니다.")</f>
        <v>It is estimated that every year, over 100,000 human deaths can be attributed to snakebite from the world's 700 venomous snake species.
매년 전 세계 700종의 독이 있는 뱀에 의한 물림으로 10만 명 이상의 인명 피해가 발생하는 것으로 추정됩니다.</v>
      </c>
      <c r="F798" s="16" t="s">
        <v>6142</v>
      </c>
      <c r="G798" s="16">
        <v>1</v>
      </c>
    </row>
    <row r="799" spans="1:7" ht="25.5">
      <c r="A799" s="15"/>
      <c r="B799" s="16">
        <v>798</v>
      </c>
      <c r="C799" s="16" t="s">
        <v>4551</v>
      </c>
      <c r="D799" s="16" t="s">
        <v>7288</v>
      </c>
      <c r="E799" s="16" t="str">
        <f ca="1">IFERROR(__xludf.DUMMYFUNCTION("AI(""c컬럼의 단어를 활용해서 적절한 예문을 만들어줘. 한글 해석은 줄띄움 후에 작성해줘"")"),"Children and the elderly are among the populations most vulnerable to extreme temperatures.
어린이와 노인은 극심한 기온에 가장 취약한 인구 집단 중 하나입니다.")</f>
        <v>Children and the elderly are among the populations most vulnerable to extreme temperatures.
어린이와 노인은 극심한 기온에 가장 취약한 인구 집단 중 하나입니다.</v>
      </c>
      <c r="F799" s="16" t="s">
        <v>6143</v>
      </c>
      <c r="G799" s="16">
        <v>1</v>
      </c>
    </row>
    <row r="800" spans="1:7" ht="51">
      <c r="A800" s="15"/>
      <c r="B800" s="16">
        <v>799</v>
      </c>
      <c r="C800" s="16" t="s">
        <v>6144</v>
      </c>
      <c r="D800" s="16" t="s">
        <v>7289</v>
      </c>
      <c r="E800" s="16" t="str">
        <f ca="1">IFERROR(__xludf.DUMMYFUNCTION("AI(""c컬럼의 단어를 활용해서 적절한 예문을 만들어줘. 한글 해석은 줄띄움 후에 작성해줘"")"),"Proper waste disposal is vital to maintaining public health, protecting the environment, and ensuring the sustainability of our communities.
적절한 폐기물 처리는 공중 보건 유지, 환경 보호, 그리고 우리 지역사회의 지속 가능성을 보장하는 데 필수적입니다.")</f>
        <v>Proper waste disposal is vital to maintaining public health, protecting the environment, and ensuring the sustainability of our communities.
적절한 폐기물 처리는 공중 보건 유지, 환경 보호, 그리고 우리 지역사회의 지속 가능성을 보장하는 데 필수적입니다.</v>
      </c>
      <c r="F800" s="16" t="s">
        <v>6145</v>
      </c>
      <c r="G800" s="16">
        <v>1</v>
      </c>
    </row>
    <row r="801" spans="1:7" ht="38.25">
      <c r="A801" s="15"/>
      <c r="B801" s="16">
        <v>800</v>
      </c>
      <c r="C801" s="16" t="s">
        <v>6146</v>
      </c>
      <c r="D801" s="16" t="s">
        <v>7290</v>
      </c>
      <c r="E801" s="16" t="str">
        <f ca="1">IFERROR(__xludf.DUMMYFUNCTION("AI(""c컬럼의 단어를 활용해서 적절한 예문을 만들어줘. 한글 해석은 줄띄움 후에 작성해줘"")"),"Regular maintenance is essential to minimize the wear and tear of industrial machinery and ensure its longevity.
정기적인 유지보수는 산업용 기계의 마모와 손상을 최소화하고 수명을 보장하는 데 필수적입니다.")</f>
        <v>Regular maintenance is essential to minimize the wear and tear of industrial machinery and ensure its longevity.
정기적인 유지보수는 산업용 기계의 마모와 손상을 최소화하고 수명을 보장하는 데 필수적입니다.</v>
      </c>
      <c r="F801" s="16" t="s">
        <v>6147</v>
      </c>
      <c r="G801" s="16">
        <v>1</v>
      </c>
    </row>
    <row r="802" spans="1:7" ht="25.5">
      <c r="A802" s="15"/>
      <c r="B802" s="16">
        <v>801</v>
      </c>
      <c r="C802" s="16" t="s">
        <v>6148</v>
      </c>
      <c r="D802" s="16" t="s">
        <v>7291</v>
      </c>
      <c r="E802" s="16" t="str">
        <f ca="1">IFERROR(__xludf.DUMMYFUNCTION("AI(""c컬럼의 단어를 활용해서 적절한 예문을 만들어줘. 한글 해석은 줄띄움 후에 작성해줘"")"),"Friction is the main reason why machine parts wear down over time.
마찰은 기계 부품이 시간이 지남에 따라 마모되는 주된 이유입니다.")</f>
        <v>Friction is the main reason why machine parts wear down over time.
마찰은 기계 부품이 시간이 지남에 따라 마모되는 주된 이유입니다.</v>
      </c>
      <c r="F802" s="16" t="s">
        <v>6149</v>
      </c>
      <c r="G802" s="16">
        <v>1</v>
      </c>
    </row>
    <row r="803" spans="1:7" ht="51">
      <c r="A803" s="15"/>
      <c r="B803" s="16">
        <v>802</v>
      </c>
      <c r="C803" s="16" t="s">
        <v>6150</v>
      </c>
      <c r="D803" s="16" t="s">
        <v>7292</v>
      </c>
      <c r="E803" s="16" t="str">
        <f ca="1">IFERROR(__xludf.DUMMYFUNCTION("AI(""c컬럼의 단어를 활용해서 적절한 예문을 만들어줘. 한글 해석은 줄띄움 후에 작성해줘"")"),"With just a few basic ingredients from the fridge, she can whip up a delicious pasta dish in less than thirty minutes.
냉장고에 있는 몇 가지 기본 재료만으로 그녀는 30분도 안 되어 맛있는 파스타 요리를 뚝딱 만들어낼 수 있습니다.")</f>
        <v>With just a few basic ingredients from the fridge, she can whip up a delicious pasta dish in less than thirty minutes.
냉장고에 있는 몇 가지 기본 재료만으로 그녀는 30분도 안 되어 맛있는 파스타 요리를 뚝딱 만들어낼 수 있습니다.</v>
      </c>
      <c r="F803" s="16" t="s">
        <v>6151</v>
      </c>
      <c r="G803" s="16">
        <v>1</v>
      </c>
    </row>
    <row r="804" spans="1:7" ht="51">
      <c r="A804" s="15"/>
      <c r="B804" s="16">
        <v>803</v>
      </c>
      <c r="C804" s="16" t="s">
        <v>6152</v>
      </c>
      <c r="D804" s="16" t="s">
        <v>7293</v>
      </c>
      <c r="E804" s="16" t="str">
        <f ca="1">IFERROR(__xludf.DUMMYFUNCTION("AI(""c컬럼의 단어를 활용해서 적절한 예문을 만들어줘. 한글 해석은 줄띄움 후에 작성해줘"")"),"Plants in the desert have developed unique adaptations to withstand harsh conditions, such as storing water in their stems.
사막의 식물들은 줄기에 물을 저장하는 것과 같이 혹독한 조건을 견디기 위한 독특한 적응 방식을 발달시켜 왔습니다.")</f>
        <v>Plants in the desert have developed unique adaptations to withstand harsh conditions, such as storing water in their stems.
사막의 식물들은 줄기에 물을 저장하는 것과 같이 혹독한 조건을 견디기 위한 독특한 적응 방식을 발달시켜 왔습니다.</v>
      </c>
      <c r="F804" s="16" t="s">
        <v>6153</v>
      </c>
      <c r="G804" s="16">
        <v>1</v>
      </c>
    </row>
    <row r="805" spans="1:7" ht="25.5">
      <c r="A805" s="15"/>
      <c r="B805" s="16">
        <v>804</v>
      </c>
      <c r="C805" s="16" t="s">
        <v>6154</v>
      </c>
      <c r="D805" s="16" t="s">
        <v>7294</v>
      </c>
      <c r="E805" s="16" t="str">
        <f ca="1">IFERROR(__xludf.DUMMYFUNCTION("AI(""c컬럼의 단어를 활용해서 적절한 예문을 만들어줘. 한글 해석은 줄띄움 후에 작성해줘"")"),"The predator was waiting to strike its would-be prey from behind the tall grass.
포식자는 키 큰 풀 뒤에서 먹잇감이 될 대상을 덮치기 위해 기다리고 있었습니다.")</f>
        <v>The predator was waiting to strike its would-be prey from behind the tall grass.
포식자는 키 큰 풀 뒤에서 먹잇감이 될 대상을 덮치기 위해 기다리고 있었습니다.</v>
      </c>
      <c r="F805" s="16" t="s">
        <v>6155</v>
      </c>
      <c r="G805" s="16">
        <v>1</v>
      </c>
    </row>
    <row r="806" spans="1:7" ht="38.25">
      <c r="A806" s="15"/>
      <c r="B806" s="16">
        <v>805</v>
      </c>
      <c r="C806" s="16" t="s">
        <v>6156</v>
      </c>
      <c r="D806" s="16" t="s">
        <v>7295</v>
      </c>
      <c r="E806" s="16" t="str">
        <f ca="1">IFERROR(__xludf.DUMMYFUNCTION("AI(""c컬럼의 단어를 활용해서 적절한 예문을 만들어줘. 한글 해석은 줄띄움 후에 작성해줘"")"),"Investigators spent several days documenting and preserved the wreckage of the aircraft at the crash site.
조사관들은 추락 현장에서 수일 동안 항공기 잔해를 기록하고 보존했습니다.")</f>
        <v>Investigators spent several days documenting and preserved the wreckage of the aircraft at the crash site.
조사관들은 추락 현장에서 수일 동안 항공기 잔해를 기록하고 보존했습니다.</v>
      </c>
      <c r="F806" s="16" t="s">
        <v>6157</v>
      </c>
      <c r="G806" s="16">
        <v>1</v>
      </c>
    </row>
    <row r="807" spans="1:7" ht="38.25">
      <c r="A807" s="15"/>
      <c r="B807" s="16">
        <v>806</v>
      </c>
      <c r="C807" s="16" t="s">
        <v>6158</v>
      </c>
      <c r="D807" s="16" t="s">
        <v>7296</v>
      </c>
      <c r="E807" s="16" t="str">
        <f ca="1">IFERROR(__xludf.DUMMYFUNCTION("AI(""c컬럼의 단어를 활용해서 적절한 예문을 만들어줘. 한글 해석은 줄띄움 후에 작성해줘"")"),"Professionals often have to wrestle with complex ethical dilemmas that involve conflicting values or interests.
전문가들은 흔히 상충하는 가치나 이해관계가 포함된 복잡한 윤리적 딜레마를 두고 고심해야 합니다.")</f>
        <v>Professionals often have to wrestle with complex ethical dilemmas that involve conflicting values or interests.
전문가들은 흔히 상충하는 가치나 이해관계가 포함된 복잡한 윤리적 딜레마를 두고 고심해야 합니다.</v>
      </c>
      <c r="F807" s="16" t="s">
        <v>6159</v>
      </c>
      <c r="G807" s="16">
        <v>1</v>
      </c>
    </row>
    <row r="808" spans="1:7" ht="25.5">
      <c r="A808" s="15"/>
      <c r="B808" s="16">
        <v>807</v>
      </c>
      <c r="C808" s="16" t="s">
        <v>6160</v>
      </c>
      <c r="D808" s="16" t="s">
        <v>7297</v>
      </c>
      <c r="E808" s="16" t="str">
        <f ca="1">IFERROR(__xludf.DUMMYFUNCTION("AI(""c컬럼의 단어를 활용해서 적절한 예문을 만들어줘. 한글 해석은 줄띄움 후에 작성해줘"")"),"The farmers focus on increasing crop quality to improve the overall yield of their harvest.
농부들은 수확의 전체적인 산출량을 높이기 위해 작물의 품질을 향상하는 데 집중합니다.")</f>
        <v>The farmers focus on increasing crop quality to improve the overall yield of their harvest.
농부들은 수확의 전체적인 산출량을 높이기 위해 작물의 품질을 향상하는 데 집중합니다.</v>
      </c>
      <c r="F808" s="16" t="s">
        <v>6161</v>
      </c>
      <c r="G808" s="16">
        <v>1</v>
      </c>
    </row>
    <row r="809" spans="1:7" ht="51">
      <c r="A809" s="15"/>
      <c r="B809" s="16">
        <v>808</v>
      </c>
      <c r="C809" s="16" t="s">
        <v>6162</v>
      </c>
      <c r="D809" s="16" t="s">
        <v>7298</v>
      </c>
      <c r="E809" s="16" t="str">
        <f ca="1">IFERROR(__xludf.DUMMYFUNCTION("AI(""c컬럼의 단어를 활용해서 적절한 예문을 만들어줘. 한글 해석은 줄띄움 후에 작성해줘"")"),"Blender's comprehensive array of modeling tools make creating, transforming and editing your models a breeze.
블렌더의 포괄적인 모델링 도구들은 모델을 만들고, 변형하고, 편집하는 것을 식은 죽 먹기로 만들어 줍니다.")</f>
        <v>Blender's comprehensive array of modeling tools make creating, transforming and editing your models a breeze.
블렌더의 포괄적인 모델링 도구들은 모델을 만들고, 변형하고, 편집하는 것을 식은 죽 먹기로 만들어 줍니다.</v>
      </c>
      <c r="F809" s="16" t="s">
        <v>6163</v>
      </c>
      <c r="G809" s="16">
        <v>1</v>
      </c>
    </row>
    <row r="810" spans="1:7" ht="51">
      <c r="A810" s="15"/>
      <c r="B810" s="16">
        <v>809</v>
      </c>
      <c r="C810" s="16" t="s">
        <v>6164</v>
      </c>
      <c r="D810" s="16" t="s">
        <v>7299</v>
      </c>
      <c r="E810" s="16" t="str">
        <f ca="1">IFERROR(__xludf.DUMMYFUNCTION("AI(""c컬럼의 단어를 활용해서 적절한 예문을 만들어줘. 한글 해석은 줄띄움 후에 작성해줘"")"),"Maintaining a positive account balance is an essential part of managing your finances and avoiding unnecessary overdraft fees.
계좌 잔고를 양수로 유지하는 것은 재정을 관리하고 불필요한 초과 인출 수수료를 피하는 데 필수적인 부분입니다.")</f>
        <v>Maintaining a positive account balance is an essential part of managing your finances and avoiding unnecessary overdraft fees.
계좌 잔고를 양수로 유지하는 것은 재정을 관리하고 불필요한 초과 인출 수수료를 피하는 데 필수적인 부분입니다.</v>
      </c>
      <c r="F810" s="16" t="s">
        <v>6165</v>
      </c>
      <c r="G810" s="16">
        <v>1</v>
      </c>
    </row>
    <row r="811" spans="1:7" ht="38.25">
      <c r="A811" s="15"/>
      <c r="B811" s="16">
        <v>810</v>
      </c>
      <c r="C811" s="16" t="s">
        <v>6166</v>
      </c>
      <c r="D811" s="16" t="s">
        <v>7300</v>
      </c>
      <c r="E811" s="16" t="str">
        <f ca="1">IFERROR(__xludf.DUMMYFUNCTION("AI(""c컬럼의 단어를 활용해서 적절한 예문을 만들어줘. 한글 해석은 줄띄움 후에 작성해줘"")"),"The tech giant plans to acquire several promising startups this year to expand its artificial intelligence capabilities.
기술 거물은 인공지능 역량을 확장하기 위해 올해 몇몇 유망한 스타트업을 인수할 계획입니다.")</f>
        <v>The tech giant plans to acquire several promising startups this year to expand its artificial intelligence capabilities.
기술 거물은 인공지능 역량을 확장하기 위해 올해 몇몇 유망한 스타트업을 인수할 계획입니다.</v>
      </c>
      <c r="F811" s="16" t="s">
        <v>6167</v>
      </c>
      <c r="G811" s="16">
        <v>1</v>
      </c>
    </row>
    <row r="812" spans="1:7" ht="51">
      <c r="A812" s="15"/>
      <c r="B812" s="16">
        <v>811</v>
      </c>
      <c r="C812" s="16" t="s">
        <v>6168</v>
      </c>
      <c r="D812" s="16" t="s">
        <v>7301</v>
      </c>
      <c r="E812" s="16" t="str">
        <f ca="1">IFERROR(__xludf.DUMMYFUNCTION("AI(""c컬럼의 단어를 활용해서 적절한 예문을 만들어줘. 한글 해석은 줄띄움 후에 작성해줘"")"),"The project manager decided to remove these additional requirements to speed up the development process.
프로젝트 매니저는 개발 프로세스의 속도를 높이기 위해 이러한 추가 요건들을 제거하기로 결정했습니다.")</f>
        <v>The project manager decided to remove these additional requirements to speed up the development process.
프로젝트 매니저는 개발 프로세스의 속도를 높이기 위해 이러한 추가 요건들을 제거하기로 결정했습니다.</v>
      </c>
      <c r="F812" s="16" t="s">
        <v>6169</v>
      </c>
      <c r="G812" s="16">
        <v>1</v>
      </c>
    </row>
    <row r="813" spans="1:7" ht="38.25">
      <c r="A813" s="15"/>
      <c r="B813" s="16">
        <v>812</v>
      </c>
      <c r="C813" s="16" t="s">
        <v>6170</v>
      </c>
      <c r="D813" s="16" t="s">
        <v>7302</v>
      </c>
      <c r="E813" s="16" t="str">
        <f ca="1">IFERROR(__xludf.DUMMYFUNCTION("AI(""c컬럼의 단어를 활용해서 적절한 예문을 만들어줘. 한글 해석은 줄띄움 후에 작성해줘"")"),"Improvements in farming technologies have led to a significant increase in agricultural production over the past few decades.
지난 몇십 년 동안 농업 기술의 발전은 농업 생산량의 상당한 증가를 가져왔습니다.")</f>
        <v>Improvements in farming technologies have led to a significant increase in agricultural production over the past few decades.
지난 몇십 년 동안 농업 기술의 발전은 농업 생산량의 상당한 증가를 가져왔습니다.</v>
      </c>
      <c r="F813" s="16" t="s">
        <v>6171</v>
      </c>
      <c r="G813" s="16">
        <v>1</v>
      </c>
    </row>
    <row r="814" spans="1:7" ht="25.5">
      <c r="A814" s="15"/>
      <c r="B814" s="16">
        <v>813</v>
      </c>
      <c r="C814" s="16" t="s">
        <v>6172</v>
      </c>
      <c r="D814" s="16" t="s">
        <v>7303</v>
      </c>
      <c r="E814" s="16" t="str">
        <f ca="1">IFERROR(__xludf.DUMMYFUNCTION("AI(""c컬럼의 단어를 활용해서 적절한 예문을 만들어줘. 한글 해석은 줄띄움 후에 작성해줘"")"),"I need to alter my wedding dress because the hem is a bit too long.
밑단이 조금 너무 길어서 웨딩드레스를 수선해야 합니다.")</f>
        <v>I need to alter my wedding dress because the hem is a bit too long.
밑단이 조금 너무 길어서 웨딩드레스를 수선해야 합니다.</v>
      </c>
      <c r="F814" s="16" t="s">
        <v>6173</v>
      </c>
      <c r="G814" s="16">
        <v>1</v>
      </c>
    </row>
    <row r="815" spans="1:7" ht="25.5">
      <c r="A815" s="15"/>
      <c r="B815" s="16">
        <v>814</v>
      </c>
      <c r="C815" s="16" t="s">
        <v>1051</v>
      </c>
      <c r="D815" s="16" t="s">
        <v>7304</v>
      </c>
      <c r="E815" s="16" t="str">
        <f ca="1">IFERROR(__xludf.DUMMYFUNCTION("AI(""c컬럼의 단어를 활용해서 적절한 예문을 만들어줘. 한글 해석은 줄띄움 후에 작성해줘"")"),"We need to consider various solutions and alternatives to solve a problem.
우리는 문제를 해결하기 위해 다양한 해결책과 대안을 고려해야 합니다.")</f>
        <v>We need to consider various solutions and alternatives to solve a problem.
우리는 문제를 해결하기 위해 다양한 해결책과 대안을 고려해야 합니다.</v>
      </c>
      <c r="F815" s="16" t="s">
        <v>6174</v>
      </c>
      <c r="G815" s="16">
        <v>1</v>
      </c>
    </row>
    <row r="816" spans="1:7" ht="25.5">
      <c r="A816" s="15"/>
      <c r="B816" s="16">
        <v>815</v>
      </c>
      <c r="C816" s="16" t="s">
        <v>6175</v>
      </c>
      <c r="D816" s="16" t="s">
        <v>7305</v>
      </c>
      <c r="E816" s="16" t="str">
        <f ca="1">IFERROR(__xludf.DUMMYFUNCTION("AI(""c컬럼의 단어를 활용해서 적절한 예문을 만들어줘. 한글 해석은 줄띄움 후에 작성해줘"")"),"They planned a romantic dinner at a French restaurant to celebrate their 10th wedding anniversary.
그들은 결혼 10주년을 기념하기 위해 프랑스 레스토랑에서 로맨틱한 저녁 식사를 계획했습니다.")</f>
        <v>They planned a romantic dinner at a French restaurant to celebrate their 10th wedding anniversary.
그들은 결혼 10주년을 기념하기 위해 프랑스 레스토랑에서 로맨틱한 저녁 식사를 계획했습니다.</v>
      </c>
      <c r="F816" s="16" t="s">
        <v>6176</v>
      </c>
      <c r="G816" s="16">
        <v>1</v>
      </c>
    </row>
    <row r="817" spans="1:7" ht="38.25">
      <c r="A817" s="15"/>
      <c r="B817" s="16">
        <v>816</v>
      </c>
      <c r="C817" s="16" t="s">
        <v>6177</v>
      </c>
      <c r="D817" s="16" t="s">
        <v>7306</v>
      </c>
      <c r="E817" s="16" t="str">
        <f ca="1">IFERROR(__xludf.DUMMYFUNCTION("AI(""c컬럼의 단어를 활용해서 적절한 예문을 만들어줘. 한글 해석은 줄띄움 후에 작성해줘"")"),"The company's policy requires employees to provide at least two weeks' notice when requesting annual leave.
회사의 규정에 따르면 직원은 연차 휴가를 신청할 때 최소 2주 전에 통보해야 합니다.")</f>
        <v>The company's policy requires employees to provide at least two weeks' notice when requesting annual leave.
회사의 규정에 따르면 직원은 연차 휴가를 신청할 때 최소 2주 전에 통보해야 합니다.</v>
      </c>
      <c r="F817" s="16" t="s">
        <v>6178</v>
      </c>
      <c r="G817" s="16">
        <v>1</v>
      </c>
    </row>
    <row r="818" spans="1:7" ht="38.25">
      <c r="A818" s="15"/>
      <c r="B818" s="16">
        <v>817</v>
      </c>
      <c r="C818" s="16" t="s">
        <v>6179</v>
      </c>
      <c r="D818" s="16" t="s">
        <v>7307</v>
      </c>
      <c r="E818" s="16" t="str">
        <f ca="1">IFERROR(__xludf.DUMMYFUNCTION("AI(""c컬럼의 단어를 활용해서 적절한 예문을 만들어줘. 한글 해석은 줄띄움 후에 작성해줘"")"),"Overuse of antibiotics in recent years has led to the emergence of drug-resistant bacteria known as superbugs.
최근 몇 년 동안 항생제의 과도한 사용은 슈퍼박테리아로 알려진 약물 내성균의 출현을 초래했습니다.")</f>
        <v>Overuse of antibiotics in recent years has led to the emergence of drug-resistant bacteria known as superbugs.
최근 몇 년 동안 항생제의 과도한 사용은 슈퍼박테리아로 알려진 약물 내성균의 출현을 초래했습니다.</v>
      </c>
      <c r="F818" s="16" t="s">
        <v>6180</v>
      </c>
      <c r="G818" s="16">
        <v>1</v>
      </c>
    </row>
    <row r="819" spans="1:7" ht="25.5">
      <c r="A819" s="15"/>
      <c r="B819" s="16">
        <v>818</v>
      </c>
      <c r="C819" s="16" t="s">
        <v>6181</v>
      </c>
      <c r="D819" s="16" t="s">
        <v>7308</v>
      </c>
      <c r="E819" s="16" t="str">
        <f ca="1">IFERROR(__xludf.DUMMYFUNCTION("AI(""c컬럼의 단어를 활용해서 적절한 예문을 만들어줘. 한글 해석은 줄띄움 후에 작성해줘"")"),"Guests are expected to wear formal apparel to the charity gala event.
하객들은 자선 갈라 행사에 격식 있는 의류를 착용해야 합니다.")</f>
        <v>Guests are expected to wear formal apparel to the charity gala event.
하객들은 자선 갈라 행사에 격식 있는 의류를 착용해야 합니다.</v>
      </c>
      <c r="F819" s="16" t="s">
        <v>6182</v>
      </c>
      <c r="G819" s="16">
        <v>1</v>
      </c>
    </row>
    <row r="820" spans="1:7" ht="38.25">
      <c r="A820" s="15"/>
      <c r="B820" s="16">
        <v>819</v>
      </c>
      <c r="C820" s="16" t="s">
        <v>6183</v>
      </c>
      <c r="D820" s="16" t="s">
        <v>7309</v>
      </c>
      <c r="E820" s="16" t="str">
        <f ca="1">IFERROR(__xludf.DUMMYFUNCTION("AI(""c컬럼의 단어를 활용해서 적절한 예문을 만들어줘. 한글 해석은 줄띄움 후에 작성해줘"")"),"The constant evolution of technology has led to many new applications for security in the college market.
기술의 끊임없는 발전은 대학 시장에서 보안을 위한 많은 새로운 적용 사례들로 이어졌습니다.")</f>
        <v>The constant evolution of technology has led to many new applications for security in the college market.
기술의 끊임없는 발전은 대학 시장에서 보안을 위한 많은 새로운 적용 사례들로 이어졌습니다.</v>
      </c>
      <c r="F820" s="16" t="s">
        <v>6184</v>
      </c>
      <c r="G820" s="16">
        <v>1</v>
      </c>
    </row>
    <row r="821" spans="1:7" ht="25.5">
      <c r="A821" s="15"/>
      <c r="B821" s="16">
        <v>820</v>
      </c>
      <c r="C821" s="16" t="s">
        <v>6185</v>
      </c>
      <c r="D821" s="16" t="s">
        <v>7310</v>
      </c>
      <c r="E821" s="16" t="str">
        <f ca="1">IFERROR(__xludf.DUMMYFUNCTION("AI(""c컬럼의 단어를 활용해서 적절한 예문을 만들어줘. 한글 해석은 줄띄움 후에 작성해줘"")"),"Please check your email for your application number once you have submitted your form.
신청서를 제출한 후 지원 번호를 확인하려면 이메일을 확인하십시오.")</f>
        <v>Please check your email for your application number once you have submitted your form.
신청서를 제출한 후 지원 번호를 확인하려면 이메일을 확인하십시오.</v>
      </c>
      <c r="F821" s="16" t="s">
        <v>6186</v>
      </c>
      <c r="G821" s="16">
        <v>1</v>
      </c>
    </row>
    <row r="822" spans="1:7" ht="25.5">
      <c r="A822" s="15"/>
      <c r="B822" s="16">
        <v>821</v>
      </c>
      <c r="C822" s="16" t="s">
        <v>6187</v>
      </c>
      <c r="D822" s="16" t="s">
        <v>7311</v>
      </c>
      <c r="E822" s="16" t="str">
        <f ca="1">IFERROR(__xludf.DUMMYFUNCTION("AI(""c컬럼의 단어를 활용해서 적절한 예문을 만들어줘. 한글 해석은 줄띄움 후에 작성해줘"")"),"The project manager has completed a thorough assessment of the team's overall performance.
프로젝트 매니저는 팀의 전반적인 성과에 대한 철저한 평가를 완료했습니다.")</f>
        <v>The project manager has completed a thorough assessment of the team's overall performance.
프로젝트 매니저는 팀의 전반적인 성과에 대한 철저한 평가를 완료했습니다.</v>
      </c>
      <c r="F822" s="16" t="s">
        <v>6188</v>
      </c>
      <c r="G822" s="16">
        <v>1</v>
      </c>
    </row>
    <row r="823" spans="1:7" ht="25.5">
      <c r="A823" s="15"/>
      <c r="B823" s="16">
        <v>822</v>
      </c>
      <c r="C823" s="16" t="s">
        <v>6189</v>
      </c>
      <c r="D823" s="16" t="s">
        <v>7312</v>
      </c>
      <c r="E823" s="16" t="str">
        <f ca="1">IFERROR(__xludf.DUMMYFUNCTION("AI(""c컬럼의 단어를 활용해서 적절한 예문을 만들어줘. 한글 해석은 줄띄움 후에 작성해줘"")"),"The hiring manager highlighted that your unique skill set makes you a significant asset to the company.
채용 담당자는 당신의 독특한 기술이 회사에 가치 있는 인재가 되게 한다고 강조했습니다.")</f>
        <v>The hiring manager highlighted that your unique skill set makes you a significant asset to the company.
채용 담당자는 당신의 독특한 기술이 회사에 가치 있는 인재가 되게 한다고 강조했습니다.</v>
      </c>
      <c r="F823" s="16" t="s">
        <v>6190</v>
      </c>
      <c r="G823" s="16">
        <v>1</v>
      </c>
    </row>
    <row r="824" spans="1:7" ht="51">
      <c r="A824" s="15"/>
      <c r="B824" s="16">
        <v>823</v>
      </c>
      <c r="C824" s="16" t="s">
        <v>6191</v>
      </c>
      <c r="D824" s="16" t="s">
        <v>7313</v>
      </c>
      <c r="E824" s="16" t="str">
        <f ca="1">IFERROR(__xludf.DUMMYFUNCTION("AI(""c컬럼의 단어를 활용해서 적절한 예문을 만들어줘. 한글 해석은 줄띄움 후에 작성해줘"")"),"Nicolaus Copernicus was a famous Polish astronomer who formulated a model of the universe that placed the Sun at its center.
니콜라우스 코페르니쿠스는 태양을 중심에 두는 우주 모델을 정립한 유명한 폴란드의 천문학자였습니다.")</f>
        <v>Nicolaus Copernicus was a famous Polish astronomer who formulated a model of the universe that placed the Sun at its center.
니콜라우스 코페르니쿠스는 태양을 중심에 두는 우주 모델을 정립한 유명한 폴란드의 천문학자였습니다.</v>
      </c>
      <c r="F824" s="16" t="s">
        <v>6192</v>
      </c>
      <c r="G824" s="16">
        <v>1</v>
      </c>
    </row>
    <row r="825" spans="1:7" ht="25.5">
      <c r="A825" s="15"/>
      <c r="B825" s="16">
        <v>824</v>
      </c>
      <c r="C825" s="16" t="s">
        <v>6193</v>
      </c>
      <c r="D825" s="16" t="s">
        <v>7314</v>
      </c>
      <c r="E825" s="16" t="str">
        <f ca="1">IFERROR(__xludf.DUMMYFUNCTION("AI(""c컬럼의 단어를 활용해서 적절한 예문을 만들어줘. 한글 해석은 줄띄움 후에 작성해줘"")"),"The award-winning designer created a new collection that captivated the fashion world.
그 수상 경력의 디자이너는 패션계를 사로잡은 새로운 컬렉션을 만들었습니다.")</f>
        <v>The award-winning designer created a new collection that captivated the fashion world.
그 수상 경력의 디자이너는 패션계를 사로잡은 새로운 컬렉션을 만들었습니다.</v>
      </c>
      <c r="F825" s="16" t="s">
        <v>6194</v>
      </c>
      <c r="G825" s="16">
        <v>1</v>
      </c>
    </row>
    <row r="826" spans="1:7" ht="51">
      <c r="A826" s="15"/>
      <c r="B826" s="16">
        <v>825</v>
      </c>
      <c r="C826" s="16" t="s">
        <v>6195</v>
      </c>
      <c r="D826" s="16" t="s">
        <v>7315</v>
      </c>
      <c r="E826" s="16" t="str">
        <f ca="1">IFERROR(__xludf.DUMMYFUNCTION("AI(""c컬럼의 단어를 활용해서 적절한 예문을 만들어줘. 한글 해석은 줄띄움 후에 작성해줘"")"),"An integral part of this practice involves regular beehive inspections to ensure the well-being of the colony without causing disruptions.
이 관행의 필수적인 부분은 군집에 혼란을 주지 않으면서 안녕을 보장하기 위해 정기적인 벌집 검사를 수행하는 것입니다.")</f>
        <v>An integral part of this practice involves regular beehive inspections to ensure the well-being of the colony without causing disruptions.
이 관행의 필수적인 부분은 군집에 혼란을 주지 않으면서 안녕을 보장하기 위해 정기적인 벌집 검사를 수행하는 것입니다.</v>
      </c>
      <c r="F826" s="16" t="s">
        <v>6196</v>
      </c>
      <c r="G826" s="16">
        <v>1</v>
      </c>
    </row>
    <row r="827" spans="1:7" ht="51">
      <c r="A827" s="15"/>
      <c r="B827" s="16">
        <v>826</v>
      </c>
      <c r="C827" s="16" t="s">
        <v>6197</v>
      </c>
      <c r="D827" s="16" t="s">
        <v>7316</v>
      </c>
      <c r="E827" s="16" t="str">
        <f ca="1">IFERROR(__xludf.DUMMYFUNCTION("AI(""c컬럼의 단어를 활용해서 적절한 예문을 만들어줘. 한글 해석은 줄띄움 후에 작성해줘"")"),"Many people find that bird-watching in natural environments brings them joy and enriches their ecological knowledge.
자연 환경에서 조류를 관찰하는 것은 많은 사람들에게 즐거움을 주고 생태학적 지식을 풍부하게 해줍니다.")</f>
        <v>Many people find that bird-watching in natural environments brings them joy and enriches their ecological knowledge.
자연 환경에서 조류를 관찰하는 것은 많은 사람들에게 즐거움을 주고 생태학적 지식을 풍부하게 해줍니다.</v>
      </c>
      <c r="F827" s="16" t="s">
        <v>6198</v>
      </c>
      <c r="G827" s="16">
        <v>1</v>
      </c>
    </row>
    <row r="828" spans="1:7" ht="25.5">
      <c r="A828" s="15"/>
      <c r="B828" s="16">
        <v>827</v>
      </c>
      <c r="C828" s="16" t="s">
        <v>6199</v>
      </c>
      <c r="D828" s="16" t="s">
        <v>7317</v>
      </c>
      <c r="E828" s="16" t="str">
        <f ca="1">IFERROR(__xludf.DUMMYFUNCTION("AI(""c컬럼의 단어를 활용해서 적절한 예문을 만들어줘. 한글 해석은 줄띄움 후에 작성해줘"")"),"A large crowd of readers gathered at the bookstore to attend the famous author's book signing.
유명 작가의 사인회에 참석하기 위해 많은 독자들이 서점에 모였습니다.")</f>
        <v>A large crowd of readers gathered at the bookstore to attend the famous author's book signing.
유명 작가의 사인회에 참석하기 위해 많은 독자들이 서점에 모였습니다.</v>
      </c>
      <c r="F828" s="16" t="s">
        <v>6200</v>
      </c>
      <c r="G828" s="16">
        <v>1</v>
      </c>
    </row>
    <row r="829" spans="1:7" ht="25.5">
      <c r="A829" s="15"/>
      <c r="B829" s="16">
        <v>828</v>
      </c>
      <c r="C829" s="16" t="s">
        <v>6201</v>
      </c>
      <c r="D829" s="16" t="s">
        <v>7318</v>
      </c>
      <c r="E829" s="16" t="str">
        <f ca="1">IFERROR(__xludf.DUMMYFUNCTION("AI(""c컬럼의 단어를 활용해서 적절한 예문을 만들어줘. 한글 해석은 줄띄움 후에 작성해줘"")"),"The system is prone to break down if it is not maintained properly.
시스템을 적절히 관리하지 않으면 고장이 나기 쉽습니다.")</f>
        <v>The system is prone to break down if it is not maintained properly.
시스템을 적절히 관리하지 않으면 고장이 나기 쉽습니다.</v>
      </c>
      <c r="F829" s="16" t="s">
        <v>6202</v>
      </c>
      <c r="G829" s="16">
        <v>1</v>
      </c>
    </row>
    <row r="830" spans="1:7" ht="51">
      <c r="A830" s="15"/>
      <c r="B830" s="16">
        <v>829</v>
      </c>
      <c r="C830" s="16" t="s">
        <v>6203</v>
      </c>
      <c r="D830" s="16" t="s">
        <v>7319</v>
      </c>
      <c r="E830" s="16" t="str">
        <f ca="1">IFERROR(__xludf.DUMMYFUNCTION("AI(""c컬럼의 단어를 활용해서 적절한 예문을 만들어줘. 한글 해석은 줄띄움 후에 작성해줘"")"),"The terrace offers a marvelous layout of luxury, perfect for relaxing while overlooking breathtaking scenery of the mountains and lake.
그 테라스는 산과 호수의 숨 막히게 아름다운 경치를 내려다보며 휴식을 취하기에 완벽하고 경이로운 럭셔리한 배치를 제공합니다.")</f>
        <v>The terrace offers a marvelous layout of luxury, perfect for relaxing while overlooking breathtaking scenery of the mountains and lake.
그 테라스는 산과 호수의 숨 막히게 아름다운 경치를 내려다보며 휴식을 취하기에 완벽하고 경이로운 럭셔리한 배치를 제공합니다.</v>
      </c>
      <c r="F830" s="16" t="s">
        <v>6204</v>
      </c>
      <c r="G830" s="16">
        <v>1</v>
      </c>
    </row>
    <row r="831" spans="1:7" ht="38.25">
      <c r="A831" s="15"/>
      <c r="B831" s="16">
        <v>830</v>
      </c>
      <c r="C831" s="16" t="s">
        <v>6205</v>
      </c>
      <c r="D831" s="16" t="s">
        <v>7320</v>
      </c>
      <c r="E831" s="16" t="str">
        <f ca="1">IFERROR(__xludf.DUMMYFUNCTION("AI(""c컬럼의 단어를 활용해서 적절한 예문을 만들어줘. 한글 해석은 줄띄움 후에 작성해줘"")"),"Most airlines allow one carry-on bag and one personal item to be taken into the cabin for free.
대부분의 항공사는 한 개의 기내 수하물과 한 개의 개인 소지품을 무료로 기내에 반입할 수 있도록 허용합니다.")</f>
        <v>Most airlines allow one carry-on bag and one personal item to be taken into the cabin for free.
대부분의 항공사는 한 개의 기내 수하물과 한 개의 개인 소지품을 무료로 기내에 반입할 수 있도록 허용합니다.</v>
      </c>
      <c r="F831" s="16" t="s">
        <v>6206</v>
      </c>
      <c r="G831" s="16">
        <v>1</v>
      </c>
    </row>
    <row r="832" spans="1:7" ht="38.25">
      <c r="A832" s="15"/>
      <c r="B832" s="16">
        <v>831</v>
      </c>
      <c r="C832" s="16" t="s">
        <v>6207</v>
      </c>
      <c r="D832" s="16" t="s">
        <v>7321</v>
      </c>
      <c r="E832" s="16" t="str">
        <f ca="1">IFERROR(__xludf.DUMMYFUNCTION("AI(""c컬럼의 단어를 활용해서 적절한 예문을 만들어줘. 한글 해석은 줄띄움 후에 작성해줘"")"),"Industry certifications play a vital role in professional growth and can provide a competitive advantage in the job market.
업계 인증은 전문적인 성장에 필수적인 역할을 하며 취업 시장에서 경쟁 우위를 제공할 수 있습니다.")</f>
        <v>Industry certifications play a vital role in professional growth and can provide a competitive advantage in the job market.
업계 인증은 전문적인 성장에 필수적인 역할을 하며 취업 시장에서 경쟁 우위를 제공할 수 있습니다.</v>
      </c>
      <c r="F832" s="16" t="s">
        <v>6208</v>
      </c>
      <c r="G832" s="16">
        <v>1</v>
      </c>
    </row>
    <row r="833" spans="1:7" ht="25.5">
      <c r="A833" s="15"/>
      <c r="B833" s="16">
        <v>832</v>
      </c>
      <c r="C833" s="16" t="s">
        <v>6209</v>
      </c>
      <c r="D833" s="16" t="s">
        <v>7322</v>
      </c>
      <c r="E833" s="16" t="str">
        <f ca="1">IFERROR(__xludf.DUMMYFUNCTION("AI(""c컬럼의 단어를 활용해서 적절한 예문을 만들어줘. 한글 해석은 줄띄움 후에 작성해줘"")"),"Coaches must develop and practice an emergency plan to ensure safety in cheerleading.
코치들은 치어리딩의 안전을 보장하기 위해 비상 계획을 수립하고 연습해야 합니다.")</f>
        <v>Coaches must develop and practice an emergency plan to ensure safety in cheerleading.
코치들은 치어리딩의 안전을 보장하기 위해 비상 계획을 수립하고 연습해야 합니다.</v>
      </c>
      <c r="F833" s="16" t="s">
        <v>6210</v>
      </c>
      <c r="G833" s="16">
        <v>1</v>
      </c>
    </row>
    <row r="834" spans="1:7" ht="51">
      <c r="A834" s="15"/>
      <c r="B834" s="16">
        <v>833</v>
      </c>
      <c r="C834" s="16" t="s">
        <v>6211</v>
      </c>
      <c r="D834" s="16" t="s">
        <v>7323</v>
      </c>
      <c r="E834" s="16" t="str">
        <f ca="1">IFERROR(__xludf.DUMMYFUNCTION("AI(""c컬럼의 단어를 활용해서 적절한 예문을 만들어줘. 한글 해석은 줄띄움 후에 작성해줘"")"),"National citizenship is a significant milestone for immigrants, signaling that newcomers take their rights and responsibilities seriously.
국가 시민권은 이민자들에게 중요한 이정표이며, 새로운 거주자들이 자신의 권리와 책임을 진중하게 받아들인다는 신호입니다.")</f>
        <v>National citizenship is a significant milestone for immigrants, signaling that newcomers take their rights and responsibilities seriously.
국가 시민권은 이민자들에게 중요한 이정표이며, 새로운 거주자들이 자신의 권리와 책임을 진중하게 받아들인다는 신호입니다.</v>
      </c>
      <c r="F834" s="16" t="s">
        <v>6212</v>
      </c>
      <c r="G834" s="16">
        <v>1</v>
      </c>
    </row>
    <row r="835" spans="1:7" ht="25.5">
      <c r="A835" s="15"/>
      <c r="B835" s="16">
        <v>834</v>
      </c>
      <c r="C835" s="16" t="s">
        <v>6213</v>
      </c>
      <c r="D835" s="16" t="s">
        <v>7324</v>
      </c>
      <c r="E835" s="16" t="str">
        <f ca="1">IFERROR(__xludf.DUMMYFUNCTION("AI(""c컬럼의 단어를 활용해서 적절한 예문을 만들어줘. 한글 해석은 줄띄움 후에 작성해줘"")"),"The baby monkeys were seen clinging to their mother's fur as she moved through the trees.
아기 원숭이들이 나무 사이를 이동하는 어미의 털에 매달려 있는 모습이 목격되었습니다.")</f>
        <v>The baby monkeys were seen clinging to their mother's fur as she moved through the trees.
아기 원숭이들이 나무 사이를 이동하는 어미의 털에 매달려 있는 모습이 목격되었습니다.</v>
      </c>
      <c r="F835" s="16" t="s">
        <v>6214</v>
      </c>
      <c r="G835" s="16">
        <v>1</v>
      </c>
    </row>
    <row r="836" spans="1:7" ht="25.5">
      <c r="A836" s="15"/>
      <c r="B836" s="16">
        <v>835</v>
      </c>
      <c r="C836" s="16" t="s">
        <v>6215</v>
      </c>
      <c r="D836" s="16" t="s">
        <v>7325</v>
      </c>
      <c r="E836" s="16" t="str">
        <f ca="1">IFERROR(__xludf.DUMMYFUNCTION("AI(""c컬럼의 단어를 활용해서 적절한 예문을 만들어줘. 한글 해석은 줄띄움 후에 작성해줘"")"),"A columnist argues that a proposed economic policy will lead to significant job losses.
한 칼럼니스트는 제안된 경제 정책이 상당한 일자리 손실을 초래할 것이라고 주장합니다.")</f>
        <v>A columnist argues that a proposed economic policy will lead to significant job losses.
한 칼럼니스트는 제안된 경제 정책이 상당한 일자리 손실을 초래할 것이라고 주장합니다.</v>
      </c>
      <c r="F836" s="16" t="s">
        <v>6216</v>
      </c>
      <c r="G836" s="16">
        <v>1</v>
      </c>
    </row>
    <row r="837" spans="1:7" ht="38.25">
      <c r="A837" s="15"/>
      <c r="B837" s="16">
        <v>836</v>
      </c>
      <c r="C837" s="16" t="s">
        <v>6217</v>
      </c>
      <c r="D837" s="16" t="s">
        <v>7326</v>
      </c>
      <c r="E837" s="16" t="str">
        <f ca="1">IFERROR(__xludf.DUMMYFUNCTION("AI(""c컬럼의 단어를 활용해서 적절한 예문을 만들어줘. 한글 해석은 줄띄움 후에 작성해줘"")"),"I stumbled across a rare first edition of the novel while browsing through a used bookstore.
중고 서점에서 책을 구경하다가 그 소설의 희귀한 초판본을 우연히 발견했습니다.")</f>
        <v>I stumbled across a rare first edition of the novel while browsing through a used bookstore.
중고 서점에서 책을 구경하다가 그 소설의 희귀한 초판본을 우연히 발견했습니다.</v>
      </c>
      <c r="F837" s="16" t="s">
        <v>6218</v>
      </c>
      <c r="G837" s="16">
        <v>1</v>
      </c>
    </row>
    <row r="838" spans="1:7" ht="25.5">
      <c r="A838" s="15"/>
      <c r="B838" s="16">
        <v>837</v>
      </c>
      <c r="C838" s="16" t="s">
        <v>6219</v>
      </c>
      <c r="D838" s="16" t="s">
        <v>7327</v>
      </c>
      <c r="E838" s="16" t="str">
        <f ca="1">IFERROR(__xludf.DUMMYFUNCTION("AI(""c컬럼의 단어를 활용해서 적절한 예문을 만들어줘. 한글 해석은 줄띄움 후에 작성해줘"")"),"The company announced a commitment to reduce its carbon emissions by 50% by 2030.
그 회사는 2030년까지 탄소 배출량을 50% 줄이겠다는 약속을 발표했습니다.")</f>
        <v>The company announced a commitment to reduce its carbon emissions by 50% by 2030.
그 회사는 2030년까지 탄소 배출량을 50% 줄이겠다는 약속을 발표했습니다.</v>
      </c>
      <c r="F838" s="16" t="s">
        <v>6220</v>
      </c>
      <c r="G838" s="16">
        <v>1</v>
      </c>
    </row>
    <row r="839" spans="1:7" ht="38.25">
      <c r="A839" s="15"/>
      <c r="B839" s="16">
        <v>838</v>
      </c>
      <c r="C839" s="16" t="s">
        <v>6221</v>
      </c>
      <c r="D839" s="16" t="s">
        <v>7328</v>
      </c>
      <c r="E839" s="16" t="str">
        <f ca="1">IFERROR(__xludf.DUMMYFUNCTION("AI(""c컬럼의 단어를 활용해서 적절한 예문을 만들어줘. 한글 해석은 줄띄움 후에 작성해줘"")"),"The search committee reviews every application to identify the most qualified candidates for the position.
검색 위원회는 해당 직책에 가장 적합한 후보자를 식별하기 위해 모든 지원서를 검토합니다.")</f>
        <v>The search committee reviews every application to identify the most qualified candidates for the position.
검색 위원회는 해당 직책에 가장 적합한 후보자를 식별하기 위해 모든 지원서를 검토합니다.</v>
      </c>
      <c r="F839" s="16" t="s">
        <v>6222</v>
      </c>
      <c r="G839" s="16">
        <v>1</v>
      </c>
    </row>
    <row r="840" spans="1:7" ht="38.25">
      <c r="A840" s="15"/>
      <c r="B840" s="16">
        <v>839</v>
      </c>
      <c r="C840" s="16" t="s">
        <v>6223</v>
      </c>
      <c r="D840" s="16" t="s">
        <v>7329</v>
      </c>
      <c r="E840" s="16" t="str">
        <f ca="1">IFERROR(__xludf.DUMMYFUNCTION("AI(""c컬럼의 단어를 활용해서 적절한 예문을 만들어줘. 한글 해석은 줄띄움 후에 작성해줘"")"),"Living in a small town can be advantageous because housing costs are often comparatively low compared to major cities.
주요 도시에 비해 주거 비용이 상대적으로 낮기 때문에 소도시에서 사는 것은 유리할 수 있습니다.")</f>
        <v>Living in a small town can be advantageous because housing costs are often comparatively low compared to major cities.
주요 도시에 비해 주거 비용이 상대적으로 낮기 때문에 소도시에서 사는 것은 유리할 수 있습니다.</v>
      </c>
      <c r="F840" s="16" t="s">
        <v>6224</v>
      </c>
      <c r="G840" s="16">
        <v>1</v>
      </c>
    </row>
    <row r="841" spans="1:7" ht="38.25">
      <c r="A841" s="15"/>
      <c r="B841" s="16">
        <v>840</v>
      </c>
      <c r="C841" s="16" t="s">
        <v>6225</v>
      </c>
      <c r="D841" s="16" t="s">
        <v>7330</v>
      </c>
      <c r="E841" s="16" t="str">
        <f ca="1">IFERROR(__xludf.DUMMYFUNCTION("AI(""c컬럼의 단어를 활용해서 적절한 예문을 만들어줘. 한글 해석은 줄띄움 후에 작성해줘"")"),"The potential for interoperability with other computerized systems is a key advantage of electronic health records.
다른 전산화된 시스템과의 상호 운용성 가능성은 전자 건강 기록의 주요 장점입니다.")</f>
        <v>The potential for interoperability with other computerized systems is a key advantage of electronic health records.
다른 전산화된 시스템과의 상호 운용성 가능성은 전자 건강 기록의 주요 장점입니다.</v>
      </c>
      <c r="F841" s="16" t="s">
        <v>6226</v>
      </c>
      <c r="G841" s="16">
        <v>1</v>
      </c>
    </row>
    <row r="842" spans="1:7" ht="38.25">
      <c r="A842" s="15"/>
      <c r="B842" s="16">
        <v>841</v>
      </c>
      <c r="C842" s="16" t="s">
        <v>6227</v>
      </c>
      <c r="D842" s="16" t="s">
        <v>7331</v>
      </c>
      <c r="E842" s="16" t="str">
        <f ca="1">IFERROR(__xludf.DUMMYFUNCTION("AI(""c컬럼의 단어를 활용해서 적절한 예문을 만들어줘. 한글 해석은 줄띄움 후에 작성해줘"")"),"The team has won three consecutive championships, establishing a legendary dynasty in sports history.
그 팀은 3회 연속 우승을 차지하며 스포츠 역사에 전설적인 왕조를 세웠습니다.")</f>
        <v>The team has won three consecutive championships, establishing a legendary dynasty in sports history.
그 팀은 3회 연속 우승을 차지하며 스포츠 역사에 전설적인 왕조를 세웠습니다.</v>
      </c>
      <c r="F842" s="16" t="s">
        <v>6228</v>
      </c>
      <c r="G842" s="16">
        <v>1</v>
      </c>
    </row>
    <row r="843" spans="1:7" ht="51">
      <c r="A843" s="15"/>
      <c r="B843" s="16">
        <v>842</v>
      </c>
      <c r="C843" s="16" t="s">
        <v>6229</v>
      </c>
      <c r="D843" s="16" t="s">
        <v>7332</v>
      </c>
      <c r="E843" s="16" t="str">
        <f ca="1">IFERROR(__xludf.DUMMYFUNCTION("AI(""c컬럼의 단어를 활용해서 적절한 예문을 만들어줘. 한글 해석은 줄띄움 후에 작성해줘"")"),"The company decided to cut its marketing budget due to the economic downturn; consequently, the planned advertising campaign was cancelled.
그 회사는 경기 침체로 인해 마케팅 예산을 삭감하기로 결정했으며, 그 결과 계획된 광고 캠페인이 취소되었습니다.")</f>
        <v>The company decided to cut its marketing budget due to the economic downturn; consequently, the planned advertising campaign was cancelled.
그 회사는 경기 침체로 인해 마케팅 예산을 삭감하기로 결정했으며, 그 결과 계획된 광고 캠페인이 취소되었습니다.</v>
      </c>
      <c r="F843" s="16" t="s">
        <v>6230</v>
      </c>
      <c r="G843" s="16">
        <v>1</v>
      </c>
    </row>
    <row r="844" spans="1:7" ht="51">
      <c r="A844" s="15"/>
      <c r="B844" s="16">
        <v>843</v>
      </c>
      <c r="C844" s="16" t="s">
        <v>6231</v>
      </c>
      <c r="D844" s="16" t="s">
        <v>7333</v>
      </c>
      <c r="E844" s="16" t="str">
        <f ca="1">IFERROR(__xludf.DUMMYFUNCTION("AI(""c컬럼의 단어를 활용해서 적절한 예문을 만들어줘. 한글 해석은 줄띄움 후에 작성해줘"")"),"The scientist's conservative estimate of the project's cost was still much higher than what the government had budgeted.
그 과학자의 프로젝트 비용에 대한 보수적인 추정치는 정부가 예산으로 책정한 것보다 여전히 훨씬 높았습니다.")</f>
        <v>The scientist's conservative estimate of the project's cost was still much higher than what the government had budgeted.
그 과학자의 프로젝트 비용에 대한 보수적인 추정치는 정부가 예산으로 책정한 것보다 여전히 훨씬 높았습니다.</v>
      </c>
      <c r="F844" s="16" t="s">
        <v>6232</v>
      </c>
      <c r="G844" s="16">
        <v>2</v>
      </c>
    </row>
    <row r="845" spans="1:7" ht="51">
      <c r="A845" s="15"/>
      <c r="B845" s="16">
        <v>844</v>
      </c>
      <c r="C845" s="16" t="s">
        <v>6233</v>
      </c>
      <c r="D845" s="16" t="s">
        <v>7334</v>
      </c>
      <c r="E845" s="16" t="str">
        <f ca="1">IFERROR(__xludf.DUMMYFUNCTION("AI(""c컬럼의 단어를 활용해서 적절한 예문을 만들어줘. 한글 해석은 줄띄움 후에 작성해줘"")"),"All procurement shall be undertaken with proper planning to ensure sound decisions, taking into consideration various factors.
모든 조달은 신중한 결정을 보장하기 위해 다양한 요소를 고려하여 적절한 계획 하에 수행되어야 합니다.")</f>
        <v>All procurement shall be undertaken with proper planning to ensure sound decisions, taking into consideration various factors.
모든 조달은 신중한 결정을 보장하기 위해 다양한 요소를 고려하여 적절한 계획 하에 수행되어야 합니다.</v>
      </c>
      <c r="F845" s="16" t="s">
        <v>6234</v>
      </c>
      <c r="G845" s="16">
        <v>1</v>
      </c>
    </row>
    <row r="846" spans="1:7" ht="51">
      <c r="A846" s="15"/>
      <c r="B846" s="16">
        <v>845</v>
      </c>
      <c r="C846" s="16" t="s">
        <v>6235</v>
      </c>
      <c r="D846" s="16" t="s">
        <v>7335</v>
      </c>
      <c r="E846" s="16" t="str">
        <f ca="1">IFERROR(__xludf.DUMMYFUNCTION("AI(""c컬럼의 단어를 활용해서 적절한 예문을 만들어줘. 한글 해석은 줄띄움 후에 작성해줘"")"),"The city plans to construct a new public library to provide residents with better access to educational resources and modern learning spaces.
시 당국은 주민들에게 교육 자원과 현대적인 학습 공간에 대한 더 나은 접근성을 제공하기 위해 새로운 공공도서관을 건설할 계획입니다.")</f>
        <v>The city plans to construct a new public library to provide residents with better access to educational resources and modern learning spaces.
시 당국은 주민들에게 교육 자원과 현대적인 학습 공간에 대한 더 나은 접근성을 제공하기 위해 새로운 공공도서관을 건설할 계획입니다.</v>
      </c>
      <c r="F846" s="16" t="s">
        <v>6236</v>
      </c>
      <c r="G846" s="16">
        <v>1</v>
      </c>
    </row>
    <row r="847" spans="1:7" ht="25.5">
      <c r="A847" s="15"/>
      <c r="B847" s="16">
        <v>846</v>
      </c>
      <c r="C847" s="16" t="s">
        <v>6237</v>
      </c>
      <c r="D847" s="16" t="s">
        <v>7336</v>
      </c>
      <c r="E847" s="16" t="str">
        <f ca="1">IFERROR(__xludf.DUMMYFUNCTION("AI(""c컬럼의 단어를 활용해서 적절한 예문을 만들어줘. 한글 해석은 줄띄움 후에 작성해줘"")"),"The gallery is known for its extensive collection of contemporary art by local artists.
그 갤러리는 지역 예술가들의 방대한 현대 미술 컬렉션으로 유명합니다.")</f>
        <v>The gallery is known for its extensive collection of contemporary art by local artists.
그 갤러리는 지역 예술가들의 방대한 현대 미술 컬렉션으로 유명합니다.</v>
      </c>
      <c r="F847" s="16" t="s">
        <v>6238</v>
      </c>
      <c r="G847" s="16">
        <v>1</v>
      </c>
    </row>
    <row r="848" spans="1:7" ht="25.5">
      <c r="A848" s="15"/>
      <c r="B848" s="16">
        <v>847</v>
      </c>
      <c r="C848" s="16" t="s">
        <v>6239</v>
      </c>
      <c r="D848" s="16" t="s">
        <v>7337</v>
      </c>
      <c r="E848" s="16" t="str">
        <f ca="1">IFERROR(__xludf.DUMMYFUNCTION("AI(""c컬럼의 단어를 활용해서 적절한 예문을 만들어줘. 한글 해석은 줄띄움 후에 작성해줘"")"),"The scientist received numerous accolades for her significant contributions to the field of science.
그 과학자는 과학 분야에 대한 중대한 기여로 수많은 찬사를 받았습니다.")</f>
        <v>The scientist received numerous accolades for her significant contributions to the field of science.
그 과학자는 과학 분야에 대한 중대한 기여로 수많은 찬사를 받았습니다.</v>
      </c>
      <c r="F848" s="16" t="s">
        <v>6240</v>
      </c>
      <c r="G848" s="16">
        <v>1</v>
      </c>
    </row>
    <row r="849" spans="1:7" ht="51">
      <c r="A849" s="15"/>
      <c r="B849" s="16">
        <v>848</v>
      </c>
      <c r="C849" s="16" t="s">
        <v>6241</v>
      </c>
      <c r="D849" s="16" t="s">
        <v>7338</v>
      </c>
      <c r="E849" s="16" t="str">
        <f ca="1">IFERROR(__xludf.DUMMYFUNCTION("AI(""c컬럼의 단어를 활용해서 적절한 예문을 만들어줘. 한글 해석은 줄띄움 후에 작성해줘"")"),"Detailed cost estimates are crucial for owners and contractors to determine whether a renovation project is feasible.
상세한 비용 견적은 건축주와 계약자가 리노베이션 프로젝트의 실현 가능 여부를 판단하는 데 매우 중요합니다.")</f>
        <v>Detailed cost estimates are crucial for owners and contractors to determine whether a renovation project is feasible.
상세한 비용 견적은 건축주와 계약자가 리노베이션 프로젝트의 실현 가능 여부를 판단하는 데 매우 중요합니다.</v>
      </c>
      <c r="F849" s="16" t="s">
        <v>6241</v>
      </c>
      <c r="G849" s="16">
        <v>1</v>
      </c>
    </row>
    <row r="850" spans="1:7" ht="25.5">
      <c r="A850" s="15"/>
      <c r="B850" s="16">
        <v>849</v>
      </c>
      <c r="C850" s="16" t="s">
        <v>6242</v>
      </c>
      <c r="D850" s="16" t="s">
        <v>7339</v>
      </c>
      <c r="E850" s="16" t="str">
        <f ca="1">IFERROR(__xludf.DUMMYFUNCTION("AI(""c컬럼의 단어를 활용해서 적절한 예문을 만들어줘. 한글 해석은 줄띄움 후에 작성해줘"")"),"The customer presented a discount coupon at the checkout to get 15% off his total purchase.
그 고객은 전체 구매 금액에서 15%를 할인받기 위해 계산대에서 할인 쿠폰을 제시했습니다.")</f>
        <v>The customer presented a discount coupon at the checkout to get 15% off his total purchase.
그 고객은 전체 구매 금액에서 15%를 할인받기 위해 계산대에서 할인 쿠폰을 제시했습니다.</v>
      </c>
      <c r="F850" s="16" t="s">
        <v>6243</v>
      </c>
      <c r="G850" s="16">
        <v>1</v>
      </c>
    </row>
    <row r="851" spans="1:7" ht="51">
      <c r="A851" s="15"/>
      <c r="B851" s="16">
        <v>850</v>
      </c>
      <c r="C851" s="16" t="s">
        <v>6244</v>
      </c>
      <c r="D851" s="16" t="s">
        <v>7340</v>
      </c>
      <c r="E851" s="16" t="str">
        <f ca="1">IFERROR(__xludf.DUMMYFUNCTION("AI(""c컬럼의 단어를 활용해서 적절한 예문을 만들어줘. 한글 해석은 줄띄움 후에 작성해줘"")"),"Understanding the broader environmental factors is crucial for making informed project planning decisions.
프로젝트 계획에 관한 정보에 근거한 결정을 내리기 위해서는 더 넓은 환경적 요인을 이해하는 것이 매우 중요합니다.")</f>
        <v>Understanding the broader environmental factors is crucial for making informed project planning decisions.
프로젝트 계획에 관한 정보에 근거한 결정을 내리기 위해서는 더 넓은 환경적 요인을 이해하는 것이 매우 중요합니다.</v>
      </c>
      <c r="F851" s="16" t="s">
        <v>6245</v>
      </c>
      <c r="G851" s="16">
        <v>1</v>
      </c>
    </row>
    <row r="852" spans="1:7" ht="25.5">
      <c r="A852" s="15"/>
      <c r="B852" s="16">
        <v>851</v>
      </c>
      <c r="C852" s="16" t="s">
        <v>6246</v>
      </c>
      <c r="D852" s="16" t="s">
        <v>7341</v>
      </c>
      <c r="E852" s="16" t="str">
        <f ca="1">IFERROR(__xludf.DUMMYFUNCTION("AI(""c컬럼의 단어를 활용해서 적절한 예문을 만들어줘. 한글 해석은 줄띄움 후에 작성해줘"")"),"The initial design and construction of the temple date back to the first half of the 12th century.
그 사원의 초기 설계와 건립은 12세기 전반까지 거슬러 올라갑니다.")</f>
        <v>The initial design and construction of the temple date back to the first half of the 12th century.
그 사원의 초기 설계와 건립은 12세기 전반까지 거슬러 올라갑니다.</v>
      </c>
      <c r="F852" s="16" t="s">
        <v>6247</v>
      </c>
      <c r="G852" s="16">
        <v>1</v>
      </c>
    </row>
    <row r="853" spans="1:7" ht="25.5">
      <c r="A853" s="15"/>
      <c r="B853" s="16">
        <v>852</v>
      </c>
      <c r="C853" s="16" t="s">
        <v>6248</v>
      </c>
      <c r="D853" s="16" t="s">
        <v>7342</v>
      </c>
      <c r="E853" s="16" t="str">
        <f ca="1">IFERROR(__xludf.DUMMYFUNCTION("AI(""c컬럼의 단어를 활용해서 적절한 예문을 만들어줘. 한글 해석은 줄띄움 후에 작성해줘"")"),"Her debut novel became an immediate success and was praised by critics for its narrative power.
그녀의 데뷔 소설은 즉각적인 성공을 거두었으며 서사적 힘으로 평론가들에게 찬사를 받았습니다.")</f>
        <v>Her debut novel became an immediate success and was praised by critics for its narrative power.
그녀의 데뷔 소설은 즉각적인 성공을 거두었으며 서사적 힘으로 평론가들에게 찬사를 받았습니다.</v>
      </c>
      <c r="F853" s="16" t="s">
        <v>6249</v>
      </c>
      <c r="G853" s="16">
        <v>1</v>
      </c>
    </row>
    <row r="854" spans="1:7" ht="38.25">
      <c r="A854" s="15"/>
      <c r="B854" s="16">
        <v>853</v>
      </c>
      <c r="C854" s="16" t="s">
        <v>6250</v>
      </c>
      <c r="D854" s="16" t="s">
        <v>7343</v>
      </c>
      <c r="E854" s="16" t="str">
        <f ca="1">IFERROR(__xludf.DUMMYFUNCTION("AI(""c컬럼의 단어를 활용해서 적절한 예문을 만들어줘. 한글 해석은 줄띄움 후에 작성해줘"")"),"The customs officer asked the traveler to complete the official declaration form before entering the country.
세관 직원은 여행자에게 입국 전 공식 신고서를 작성해 달라고 요청했습니다.")</f>
        <v>The customs officer asked the traveler to complete the official declaration form before entering the country.
세관 직원은 여행자에게 입국 전 공식 신고서를 작성해 달라고 요청했습니다.</v>
      </c>
      <c r="F854" s="16" t="s">
        <v>6251</v>
      </c>
      <c r="G854" s="16">
        <v>1</v>
      </c>
    </row>
    <row r="855" spans="1:7" ht="38.25">
      <c r="A855" s="15"/>
      <c r="B855" s="16">
        <v>854</v>
      </c>
      <c r="C855" s="16" t="s">
        <v>6252</v>
      </c>
      <c r="D855" s="16" t="s">
        <v>7344</v>
      </c>
      <c r="E855" s="16" t="str">
        <f ca="1">IFERROR(__xludf.DUMMYFUNCTION("AI(""c컬럼의 단어를 활용해서 적절한 예문을 만들어줘. 한글 해석은 줄띄움 후에 작성해줘"")"),"Despite facing numerous obstacles, she remained resilient and determined to achieve her goals.
수많은 장애물에 직면했음에도 불구하고, 그녀는 목표를 달성하기 위해 회복탄력성을 유지하고 결의를 다졌습니다.")</f>
        <v>Despite facing numerous obstacles, she remained resilient and determined to achieve her goals.
수많은 장애물에 직면했음에도 불구하고, 그녀는 목표를 달성하기 위해 회복탄력성을 유지하고 결의를 다졌습니다.</v>
      </c>
      <c r="F855" s="16" t="s">
        <v>6253</v>
      </c>
      <c r="G855" s="16">
        <v>1</v>
      </c>
    </row>
    <row r="856" spans="1:7" ht="51">
      <c r="A856" s="15"/>
      <c r="B856" s="16">
        <v>855</v>
      </c>
      <c r="C856" s="16" t="s">
        <v>6254</v>
      </c>
      <c r="D856" s="16" t="s">
        <v>7345</v>
      </c>
      <c r="E856" s="16" t="str">
        <f ca="1">IFERROR(__xludf.DUMMYFUNCTION("AI(""c컬럼의 단어를 활용해서 적절한 예문을 만들어줘. 한글 해석은 줄띄움 후에 작성해줘"")"),"Researchers conducted several experiments to determine how failed tests can affect subsequent learning and long-term memory.
연구원들은 실패한 테스트가 이후의 학습과 장기 기억에 어떤 영향을 미치는지 알아내기 위해 여러 차례 실험을 수행했습니다.")</f>
        <v>Researchers conducted several experiments to determine how failed tests can affect subsequent learning and long-term memory.
연구원들은 실패한 테스트가 이후의 학습과 장기 기억에 어떤 영향을 미치는지 알아내기 위해 여러 차례 실험을 수행했습니다.</v>
      </c>
      <c r="F856" s="16" t="s">
        <v>6255</v>
      </c>
      <c r="G856" s="16">
        <v>1</v>
      </c>
    </row>
    <row r="857" spans="1:7" ht="25.5">
      <c r="A857" s="15"/>
      <c r="B857" s="16">
        <v>856</v>
      </c>
      <c r="C857" s="16" t="s">
        <v>6256</v>
      </c>
      <c r="D857" s="16" t="s">
        <v>7346</v>
      </c>
      <c r="E857" s="16" t="str">
        <f ca="1">IFERROR(__xludf.DUMMYFUNCTION("AI(""c컬럼의 단어를 활용해서 적절한 예문을 만들어줘. 한글 해석은 줄띄움 후에 작성해줘"")"),"Some states are imposing bans or fees to discourage the use of plastic bags altogether.
일부 주에서는 비닐봉지 사용을 완전히 억제하기 위해 금지 조치나 수수료를 부과하고 있습니다.")</f>
        <v>Some states are imposing bans or fees to discourage the use of plastic bags altogether.
일부 주에서는 비닐봉지 사용을 완전히 억제하기 위해 금지 조치나 수수료를 부과하고 있습니다.</v>
      </c>
      <c r="F857" s="16" t="s">
        <v>6257</v>
      </c>
      <c r="G857" s="16">
        <v>1</v>
      </c>
    </row>
    <row r="858" spans="1:7" ht="38.25">
      <c r="A858" s="15"/>
      <c r="B858" s="16">
        <v>857</v>
      </c>
      <c r="C858" s="16" t="s">
        <v>6258</v>
      </c>
      <c r="D858" s="16" t="s">
        <v>7347</v>
      </c>
      <c r="E858" s="16" t="str">
        <f ca="1">IFERROR(__xludf.DUMMYFUNCTION("AI(""c컬럼의 단어를 활용해서 적절한 예문을 만들어줘. 한글 해석은 줄띄움 후에 작성해줘"")"),"The company implemented a blind recruitment process to prevent any form of discrimination based on a candidate's background.
회사는 지원자의 배경에 따른 어떠한 형태의 차별도 방지하기 위해 블라인드 채용 절차를 시행했습니다.")</f>
        <v>The company implemented a blind recruitment process to prevent any form of discrimination based on a candidate's background.
회사는 지원자의 배경에 따른 어떠한 형태의 차별도 방지하기 위해 블라인드 채용 절차를 시행했습니다.</v>
      </c>
      <c r="F858" s="16" t="s">
        <v>5000</v>
      </c>
      <c r="G858" s="16">
        <v>1</v>
      </c>
    </row>
    <row r="859" spans="1:7" ht="38.25">
      <c r="A859" s="15"/>
      <c r="B859" s="16">
        <v>858</v>
      </c>
      <c r="C859" s="16" t="s">
        <v>6259</v>
      </c>
      <c r="D859" s="16" t="s">
        <v>7348</v>
      </c>
      <c r="E859" s="16" t="str">
        <f ca="1">IFERROR(__xludf.DUMMYFUNCTION("AI(""c컬럼의 단어를 활용해서 적절한 예문을 만들어줘. 한글 해석은 줄띄움 후에 작성해줘"")"),"It is often difficult to distinguish organic produce from conventionally grown items just by looking at them.
유기농 농산물과 일반 재배 품목을 겉모습만 보고 구별하는 것은 종종 어렵습니다.")</f>
        <v>It is often difficult to distinguish organic produce from conventionally grown items just by looking at them.
유기농 농산물과 일반 재배 품목을 겉모습만 보고 구별하는 것은 종종 어렵습니다.</v>
      </c>
      <c r="F859" s="16" t="s">
        <v>6260</v>
      </c>
      <c r="G859" s="16">
        <v>1</v>
      </c>
    </row>
    <row r="860" spans="1:7" ht="25.5">
      <c r="A860" s="15"/>
      <c r="B860" s="16">
        <v>859</v>
      </c>
      <c r="C860" s="16" t="s">
        <v>6261</v>
      </c>
      <c r="D860" s="16" t="s">
        <v>7349</v>
      </c>
      <c r="E860" s="16" t="str">
        <f ca="1">IFERROR(__xludf.DUMMYFUNCTION("AI(""c컬럼의 단어를 활용해서 적절한 예문을 만들어줘. 한글 해석은 줄띄움 후에 작성해줘"")"),"To create a focused study environment, it is crucial to minimize digital distractions.
집중적인 학습 환경을 조성하기 위해서는 디지털 주의 산만 요인을 최소화하는 것이 중요합니다.")</f>
        <v>To create a focused study environment, it is crucial to minimize digital distractions.
집중적인 학습 환경을 조성하기 위해서는 디지털 주의 산만 요인을 최소화하는 것이 중요합니다.</v>
      </c>
      <c r="F860" s="16" t="s">
        <v>6262</v>
      </c>
      <c r="G860" s="16">
        <v>1</v>
      </c>
    </row>
    <row r="861" spans="1:7" ht="51">
      <c r="A861" s="15"/>
      <c r="B861" s="16">
        <v>860</v>
      </c>
      <c r="C861" s="16" t="s">
        <v>6263</v>
      </c>
      <c r="D861" s="16" t="s">
        <v>7350</v>
      </c>
      <c r="E861" s="16" t="str">
        <f ca="1">IFERROR(__xludf.DUMMYFUNCTION("AI(""c컬럼의 단어를 활용해서 적절한 예문을 만들어줘. 한글 해석은 줄띄움 후에 작성해줘"")"),"The company has a strict dress code that requires employees to wear business formal attire for all client meetings.
회사는 모든 고객 회의에서 직원들이 비즈니스 정장을 착용하도록 요구하는 엄격한 복장 규정을 가지고 있습니다.")</f>
        <v>The company has a strict dress code that requires employees to wear business formal attire for all client meetings.
회사는 모든 고객 회의에서 직원들이 비즈니스 정장을 착용하도록 요구하는 엄격한 복장 규정을 가지고 있습니다.</v>
      </c>
      <c r="F861" s="16" t="s">
        <v>6264</v>
      </c>
      <c r="G861" s="16">
        <v>1</v>
      </c>
    </row>
    <row r="862" spans="1:7" ht="25.5">
      <c r="A862" s="15"/>
      <c r="B862" s="16">
        <v>861</v>
      </c>
      <c r="C862" s="16" t="s">
        <v>6265</v>
      </c>
      <c r="D862" s="16" t="s">
        <v>7351</v>
      </c>
      <c r="E862" s="16" t="str">
        <f ca="1">IFERROR(__xludf.DUMMYFUNCTION("AI(""c컬럼의 단어를 활용해서 적절한 예문을 만들어줘. 한글 해석은 줄띄움 후에 작성해줘"")"),"I'll drop by your office this afternoon to discuss the new project.
오늘 오후에 새 프로젝트를 논의하러 당신의 사무실에 잠깐 들를게요.")</f>
        <v>I'll drop by your office this afternoon to discuss the new project.
오늘 오후에 새 프로젝트를 논의하러 당신의 사무실에 잠깐 들를게요.</v>
      </c>
      <c r="F862" s="16" t="s">
        <v>6266</v>
      </c>
      <c r="G862" s="16">
        <v>1</v>
      </c>
    </row>
    <row r="863" spans="1:7" ht="51">
      <c r="A863" s="15"/>
      <c r="B863" s="16">
        <v>862</v>
      </c>
      <c r="C863" s="16" t="s">
        <v>6267</v>
      </c>
      <c r="D863" s="16" t="s">
        <v>7352</v>
      </c>
      <c r="E863" s="16" t="str">
        <f ca="1">IFERROR(__xludf.DUMMYFUNCTION("AI(""c컬럼의 단어를 활용해서 적절한 예문을 만들어줘. 한글 해석은 줄띄움 후에 작성해줘"")"),"The percentage of areas affected by severe droughts has increased in recent decades due to human activity and climate change.
심각한 가뭄의 영향을 받는 지역의 비율은 인간 활동과 기후 변화로 인해 최근 수십 년 동안 증가해 왔습니다.")</f>
        <v>The percentage of areas affected by severe droughts has increased in recent decades due to human activity and climate change.
심각한 가뭄의 영향을 받는 지역의 비율은 인간 활동과 기후 변화로 인해 최근 수십 년 동안 증가해 왔습니다.</v>
      </c>
      <c r="F863" s="16" t="s">
        <v>6268</v>
      </c>
      <c r="G863" s="16">
        <v>1</v>
      </c>
    </row>
    <row r="864" spans="1:7" ht="38.25">
      <c r="A864" s="15"/>
      <c r="B864" s="16">
        <v>863</v>
      </c>
      <c r="C864" s="16" t="s">
        <v>6269</v>
      </c>
      <c r="D864" s="16" t="s">
        <v>7353</v>
      </c>
      <c r="E864" s="16" t="str">
        <f ca="1">IFERROR(__xludf.DUMMYFUNCTION("AI(""c컬럼의 단어를 활용해서 적절한 예문을 만들어줘. 한글 해석은 줄띄움 후에 작성해줘"")"),"He is a dynamic individual who is always looking for new ways to solve complex problems and harmonize his team.
그는 복잡한 문제를 해결하고 팀을 조화롭게 이끌 새로운 방법을 항상 모색하는 역동적인 사람입니다.")</f>
        <v>He is a dynamic individual who is always looking for new ways to solve complex problems and harmonize his team.
그는 복잡한 문제를 해결하고 팀을 조화롭게 이끌 새로운 방법을 항상 모색하는 역동적인 사람입니다.</v>
      </c>
      <c r="F864" s="16" t="s">
        <v>6270</v>
      </c>
      <c r="G864" s="16">
        <v>1</v>
      </c>
    </row>
    <row r="865" spans="1:7" ht="63.75">
      <c r="A865" s="15"/>
      <c r="B865" s="16">
        <v>864</v>
      </c>
      <c r="C865" s="16" t="s">
        <v>6271</v>
      </c>
      <c r="D865" s="16" t="s">
        <v>7354</v>
      </c>
      <c r="E865" s="16" t="str">
        <f ca="1">IFERROR(__xludf.DUMMYFUNCTION("AI(""c컬럼의 단어를 활용해서 적절한 예문을 만들어줘. 한글 해석은 줄띄움 후에 작성해줘"")"),"The school's new educational program is designed to enhance students' critical thinking and problem-solving skills.
학교의 새로운 교육 프로그램은 학생들의 비판적 사고와 문제 해결 능력을 향상시키기 위해 설계되었습니다.")</f>
        <v>The school's new educational program is designed to enhance students' critical thinking and problem-solving skills.
학교의 새로운 교육 프로그램은 학생들의 비판적 사고와 문제 해결 능력을 향상시키기 위해 설계되었습니다.</v>
      </c>
      <c r="F865" s="16" t="s">
        <v>6272</v>
      </c>
      <c r="G865" s="16">
        <v>1</v>
      </c>
    </row>
    <row r="866" spans="1:7" ht="25.5">
      <c r="A866" s="15"/>
      <c r="B866" s="16">
        <v>865</v>
      </c>
      <c r="C866" s="16" t="s">
        <v>6273</v>
      </c>
      <c r="D866" s="16" t="s">
        <v>7355</v>
      </c>
      <c r="E866" s="16" t="str">
        <f ca="1">IFERROR(__xludf.DUMMYFUNCTION("AI(""c컬럼의 단어를 활용해서 적절한 예문을 만들어줘. 한글 해석은 줄띄움 후에 작성해줘"")"),"Please find the signed contract enclosed in the envelope.
서명된 계약서를 봉투에 동봉하였으니 확인해 주시기 바랍니다.")</f>
        <v>Please find the signed contract enclosed in the envelope.
서명된 계약서를 봉투에 동봉하였으니 확인해 주시기 바랍니다.</v>
      </c>
      <c r="F866" s="16" t="s">
        <v>6274</v>
      </c>
      <c r="G866" s="16">
        <v>1</v>
      </c>
    </row>
    <row r="867" spans="1:7" ht="25.5">
      <c r="A867" s="15"/>
      <c r="B867" s="16">
        <v>866</v>
      </c>
      <c r="C867" s="16" t="s">
        <v>6275</v>
      </c>
      <c r="D867" s="16" t="s">
        <v>7356</v>
      </c>
      <c r="E867" s="16" t="str">
        <f ca="1">IFERROR(__xludf.DUMMYFUNCTION("AI(""c컬럼의 단어를 활용해서 적절한 예문을 만들어줘. 한글 해석은 줄띄움 후에 작성해줘"")"),"The author published a thought-provoking article entitled The Future of Artificial Intelligence.
그 작가는 인공지능의 미래라는 제목의 시사점 많은 기사를 발표했습니다.")</f>
        <v>The author published a thought-provoking article entitled The Future of Artificial Intelligence.
그 작가는 인공지능의 미래라는 제목의 시사점 많은 기사를 발표했습니다.</v>
      </c>
      <c r="F867" s="16" t="s">
        <v>6276</v>
      </c>
      <c r="G867" s="16">
        <v>1</v>
      </c>
    </row>
    <row r="868" spans="1:7" ht="38.25">
      <c r="A868" s="15"/>
      <c r="B868" s="16">
        <v>867</v>
      </c>
      <c r="C868" s="16" t="s">
        <v>6277</v>
      </c>
      <c r="D868" s="16" t="s">
        <v>7357</v>
      </c>
      <c r="E868" s="16" t="str">
        <f ca="1">IFERROR(__xludf.DUMMYFUNCTION("AI(""c컬럼의 단어를 활용해서 적절한 예문을 만들어줘. 한글 해석은 줄띄움 후에 작성해줘"")"),"The eruption of the Kilauea volcano sent molten lava through forests and forced the evacuation of about 1,500 people.
킬라우에아 화산의 폭발로 용암이 숲을 가로질러 흘러갔고 약 1,500명의 주민들이 대피해야 했습니다.")</f>
        <v>The eruption of the Kilauea volcano sent molten lava through forests and forced the evacuation of about 1,500 people.
킬라우에아 화산의 폭발로 용암이 숲을 가로질러 흘러갔고 약 1,500명의 주민들이 대피해야 했습니다.</v>
      </c>
      <c r="F868" s="16" t="s">
        <v>6278</v>
      </c>
      <c r="G868" s="16">
        <v>1</v>
      </c>
    </row>
    <row r="869" spans="1:7" ht="51">
      <c r="A869" s="15"/>
      <c r="B869" s="16">
        <v>868</v>
      </c>
      <c r="C869" s="16" t="s">
        <v>354</v>
      </c>
      <c r="D869" s="16" t="s">
        <v>7358</v>
      </c>
      <c r="E869" s="16" t="str">
        <f ca="1">IFERROR(__xludf.DUMMYFUNCTION("AI(""c컬럼의 단어를 활용해서 적절한 예문을 만들어줘. 한글 해석은 줄띄움 후에 작성해줘"")"),"To ensure the nation's energy security, the federal government should establish a national network of regionally-based energy discovery-innovation institutes.
국가 에너지 안보를 보장하기 위해 연방 정부는 지역 기반의 에너지 발견 혁신 연구소 전국망을 수립해야 합니다.")</f>
        <v>To ensure the nation's energy security, the federal government should establish a national network of regionally-based energy discovery-innovation institutes.
국가 에너지 안보를 보장하기 위해 연방 정부는 지역 기반의 에너지 발견 혁신 연구소 전국망을 수립해야 합니다.</v>
      </c>
      <c r="F869" s="16" t="s">
        <v>6279</v>
      </c>
      <c r="G869" s="16">
        <v>1</v>
      </c>
    </row>
    <row r="870" spans="1:7" ht="51">
      <c r="A870" s="15"/>
      <c r="B870" s="16">
        <v>869</v>
      </c>
      <c r="C870" s="16" t="s">
        <v>6280</v>
      </c>
      <c r="D870" s="16" t="s">
        <v>7359</v>
      </c>
      <c r="E870" s="16" t="str">
        <f ca="1">IFERROR(__xludf.DUMMYFUNCTION("AI(""c컬럼의 단어를 활용해서 적절한 예문을 만들어줘. 한글 해석은 줄띄움 후에 작성해줘"")"),"If your company is able to meet or exceed the stretch forecast by the end of the period, it should also be able to achieve all of the previously discussed forecast scenarios.
만약 회사가 기간 말까지 공격적인 예측치를 달성하거나 초과할 수 있다면, 이전에 논의된 모든 예측 시나리오 또한 달성할 수 있을 것입니다.")</f>
        <v>If your company is able to meet or exceed the stretch forecast by the end of the period, it should also be able to achieve all of the previously discussed forecast scenarios.
만약 회사가 기간 말까지 공격적인 예측치를 달성하거나 초과할 수 있다면, 이전에 논의된 모든 예측 시나리오 또한 달성할 수 있을 것입니다.</v>
      </c>
      <c r="F870" s="16" t="s">
        <v>6281</v>
      </c>
      <c r="G870" s="16">
        <v>1</v>
      </c>
    </row>
    <row r="871" spans="1:7" ht="25.5">
      <c r="A871" s="15"/>
      <c r="B871" s="16">
        <v>870</v>
      </c>
      <c r="C871" s="16" t="s">
        <v>6282</v>
      </c>
      <c r="D871" s="16" t="s">
        <v>7360</v>
      </c>
      <c r="E871" s="16" t="str">
        <f ca="1">IFERROR(__xludf.DUMMYFUNCTION("AI(""c컬럼의 단어를 활용해서 적절한 예문을 만들어줘. 한글 해석은 줄띄움 후에 작성해줘"")"),"The club hosted an exclusive event to celebrate its 75th anniversary with loyal members.
그 클럽은 충성도 높은 회원들과 함께 75주년을 기념하기 위한 독점 행사를 개최했습니다.")</f>
        <v>The club hosted an exclusive event to celebrate its 75th anniversary with loyal members.
그 클럽은 충성도 높은 회원들과 함께 75주년을 기념하기 위한 독점 행사를 개최했습니다.</v>
      </c>
      <c r="F871" s="16" t="s">
        <v>6283</v>
      </c>
      <c r="G871" s="16">
        <v>1</v>
      </c>
    </row>
    <row r="872" spans="1:7" ht="25.5">
      <c r="A872" s="15"/>
      <c r="B872" s="16">
        <v>871</v>
      </c>
      <c r="C872" s="16" t="s">
        <v>6284</v>
      </c>
      <c r="D872" s="16" t="s">
        <v>7361</v>
      </c>
      <c r="E872" s="16" t="str">
        <f ca="1">IFERROR(__xludf.DUMMYFUNCTION("AI(""c컬럼의 단어를 활용해서 적절한 예문을 만들어줘. 한글 해석은 줄띄움 후에 작성해줘"")"),"The museum plans to host a special photography exhibit featuring iconic 20th-century images.
박물관은 20세기의 상징적인 이미지들을 선보이는 특별 사진 전시회를 개최할 계획입니다.")</f>
        <v>The museum plans to host a special photography exhibit featuring iconic 20th-century images.
박물관은 20세기의 상징적인 이미지들을 선보이는 특별 사진 전시회를 개최할 계획입니다.</v>
      </c>
      <c r="F872" s="16" t="s">
        <v>6285</v>
      </c>
      <c r="G872" s="16">
        <v>1</v>
      </c>
    </row>
    <row r="873" spans="1:7" ht="38.25">
      <c r="A873" s="15"/>
      <c r="B873" s="16">
        <v>872</v>
      </c>
      <c r="C873" s="16" t="s">
        <v>6286</v>
      </c>
      <c r="D873" s="16" t="s">
        <v>7362</v>
      </c>
      <c r="E873" s="16" t="str">
        <f ca="1">IFERROR(__xludf.DUMMYFUNCTION("AI(""c컬럼의 단어를 활용해서 적절한 예문을 만들어줘. 한글 해석은 줄띄움 후에 작성해줘"")"),"The doctor suggested that the patient might access the experimental treatment through a compassionate-use program.
의사는 환자가 인도적 차원의 사용 프로그램을 통해 실험적인 치료를 받을 수도 있다고 제안했습니다.")</f>
        <v>The doctor suggested that the patient might access the experimental treatment through a compassionate-use program.
의사는 환자가 인도적 차원의 사용 프로그램을 통해 실험적인 치료를 받을 수도 있다고 제안했습니다.</v>
      </c>
      <c r="F873" s="16" t="s">
        <v>6287</v>
      </c>
      <c r="G873" s="16">
        <v>1</v>
      </c>
    </row>
    <row r="874" spans="1:7" ht="38.25">
      <c r="A874" s="15"/>
      <c r="B874" s="16">
        <v>873</v>
      </c>
      <c r="C874" s="16" t="s">
        <v>6288</v>
      </c>
      <c r="D874" s="16" t="s">
        <v>7363</v>
      </c>
      <c r="E874" s="16" t="str">
        <f ca="1">IFERROR(__xludf.DUMMYFUNCTION("AI(""c컬럼의 단어를 활용해서 적절한 예문을 만들어줘. 한글 해석은 줄띄움 후에 작성해줘"")"),"The company is looking for a consultant with deep expertise in international trade and customs regulations.
그 회사는 국제 무역 및 통관 규정에 대한 깊은 전문 지식을 갖춘 컨설턴트를 찾고 있습니다.")</f>
        <v>The company is looking for a consultant with deep expertise in international trade and customs regulations.
그 회사는 국제 무역 및 통관 규정에 대한 깊은 전문 지식을 갖춘 컨설턴트를 찾고 있습니다.</v>
      </c>
      <c r="F874" s="16" t="s">
        <v>6289</v>
      </c>
      <c r="G874" s="16">
        <v>1</v>
      </c>
    </row>
    <row r="875" spans="1:7" ht="25.5">
      <c r="A875" s="15"/>
      <c r="B875" s="16">
        <v>874</v>
      </c>
      <c r="C875" s="16" t="s">
        <v>6290</v>
      </c>
      <c r="D875" s="16" t="s">
        <v>7364</v>
      </c>
      <c r="E875" s="16" t="str">
        <f ca="1">IFERROR(__xludf.DUMMYFUNCTION("AI(""c컬럼의 단어를 활용해서 적절한 예문을 만들어줘. 한글 해석은 줄띄움 후에 작성해줘"")"),"The United States is the world's largest nation in terms of agricultural product exports.
미국은 농산물 수출 측면에서 세계 최대 국가입니다.")</f>
        <v>The United States is the world's largest nation in terms of agricultural product exports.
미국은 농산물 수출 측면에서 세계 최대 국가입니다.</v>
      </c>
      <c r="F875" s="16" t="s">
        <v>6291</v>
      </c>
      <c r="G875" s="16">
        <v>1</v>
      </c>
    </row>
    <row r="876" spans="1:7" ht="25.5">
      <c r="A876" s="15"/>
      <c r="B876" s="16">
        <v>875</v>
      </c>
      <c r="C876" s="16" t="s">
        <v>6292</v>
      </c>
      <c r="D876" s="16" t="s">
        <v>7365</v>
      </c>
      <c r="E876" s="16" t="str">
        <f ca="1">IFERROR(__xludf.DUMMYFUNCTION("AI(""c컬럼의 단어를 활용해서 적절한 예문을 만들어줘. 한글 해석은 줄띄움 후에 작성해줘"")"),"Without consistent study habits, students can easily fall behind in their academic workload.
꾸준한 학습 습관이 없으면, 학생들은 학업량에서 쉽게 뒤처질 수 있습니다.")</f>
        <v>Without consistent study habits, students can easily fall behind in their academic workload.
꾸준한 학습 습관이 없으면, 학생들은 학업량에서 쉽게 뒤처질 수 있습니다.</v>
      </c>
      <c r="F876" s="16" t="s">
        <v>6293</v>
      </c>
      <c r="G876" s="16">
        <v>1</v>
      </c>
    </row>
    <row r="877" spans="1:7" ht="25.5">
      <c r="A877" s="15"/>
      <c r="B877" s="16">
        <v>876</v>
      </c>
      <c r="C877" s="16" t="s">
        <v>6294</v>
      </c>
      <c r="D877" s="16" t="s">
        <v>7366</v>
      </c>
      <c r="E877" s="16" t="str">
        <f ca="1">IFERROR(__xludf.DUMMYFUNCTION("AI(""c컬럼의 단어를 활용해서 적절한 예문을 만들어줘. 한글 해석은 줄띄움 후에 작성해줘"")"),"The historic castle served as a filming location for the popular period drama series.
역사적인 성은 인기 시대극 드라마 시리즈의 촬영 장소로 사용되었습니다.")</f>
        <v>The historic castle served as a filming location for the popular period drama series.
역사적인 성은 인기 시대극 드라마 시리즈의 촬영 장소로 사용되었습니다.</v>
      </c>
      <c r="F877" s="16" t="s">
        <v>6295</v>
      </c>
      <c r="G877" s="16">
        <v>1</v>
      </c>
    </row>
    <row r="878" spans="1:7" ht="51">
      <c r="A878" s="15"/>
      <c r="B878" s="16">
        <v>877</v>
      </c>
      <c r="C878" s="16" t="s">
        <v>6296</v>
      </c>
      <c r="D878" s="16" t="s">
        <v>7367</v>
      </c>
      <c r="E878" s="16" t="str">
        <f ca="1">IFERROR(__xludf.DUMMYFUNCTION("AI(""c컬럼의 단어를 활용해서 적절한 예문을 만들어줘. 한글 해석은 줄띄움 후에 작성해줘"")"),"Achieving financial freedom requires hard work, dedication, and the willingness to make significant sacrifices.
경제적 자유를 얻는 것은 열심히 일하는 것, 헌신, 그리고 상당한 희생을 감수하려는 의지를 필요로 합니다.")</f>
        <v>Achieving financial freedom requires hard work, dedication, and the willingness to make significant sacrifices.
경제적 자유를 얻는 것은 열심히 일하는 것, 헌신, 그리고 상당한 희생을 감수하려는 의지를 필요로 합니다.</v>
      </c>
      <c r="F878" s="16" t="s">
        <v>5435</v>
      </c>
      <c r="G878" s="16">
        <v>1</v>
      </c>
    </row>
    <row r="879" spans="1:7" ht="38.25">
      <c r="A879" s="15"/>
      <c r="B879" s="16">
        <v>878</v>
      </c>
      <c r="C879" s="16" t="s">
        <v>6297</v>
      </c>
      <c r="D879" s="16" t="s">
        <v>7368</v>
      </c>
      <c r="E879" s="16" t="str">
        <f ca="1">IFERROR(__xludf.DUMMYFUNCTION("AI(""c컬럼의 단어를 활용해서 적절한 예문을 만들어줘. 한글 해석은 줄띄움 후에 작성해줘"")"),"The local government issued an emergency evacuation order for residents living near the river due to a severe flooding incident.
심각한 침수 사고로 인해 지방 정부는 강 인근에 거주하는 주민들에게 비상 대피 명령을 내렸습니다.")</f>
        <v>The local government issued an emergency evacuation order for residents living near the river due to a severe flooding incident.
심각한 침수 사고로 인해 지방 정부는 강 인근에 거주하는 주민들에게 비상 대피 명령을 내렸습니다.</v>
      </c>
      <c r="F879" s="16" t="s">
        <v>6298</v>
      </c>
      <c r="G879" s="16">
        <v>1</v>
      </c>
    </row>
    <row r="880" spans="1:7" ht="25.5">
      <c r="A880" s="15"/>
      <c r="B880" s="16">
        <v>879</v>
      </c>
      <c r="C880" s="16" t="s">
        <v>6299</v>
      </c>
      <c r="D880" s="16" t="s">
        <v>7369</v>
      </c>
      <c r="E880" s="16" t="str">
        <f ca="1">IFERROR(__xludf.DUMMYFUNCTION("AI(""c컬럼의 단어를 활용해서 적절한 예문을 만들어줘. 한글 해석은 줄띄움 후에 작성해줘"")"),"The latest report indicates that real GDP growth is forecast to pick up to 1.3% in 2026.
최신 보고서에 따르면 2026년 실질 GDP 성장률은 1.3%로 높아질 것으로 예측됩니다.")</f>
        <v>The latest report indicates that real GDP growth is forecast to pick up to 1.3% in 2026.
최신 보고서에 따르면 2026년 실질 GDP 성장률은 1.3%로 높아질 것으로 예측됩니다.</v>
      </c>
      <c r="F880" s="16" t="s">
        <v>6300</v>
      </c>
      <c r="G880" s="16">
        <v>1</v>
      </c>
    </row>
    <row r="881" spans="1:7" ht="51">
      <c r="A881" s="15"/>
      <c r="B881" s="16">
        <v>880</v>
      </c>
      <c r="C881" s="16" t="s">
        <v>6301</v>
      </c>
      <c r="D881" s="16" t="s">
        <v>7370</v>
      </c>
      <c r="E881" s="16" t="str">
        <f ca="1">IFERROR(__xludf.DUMMYFUNCTION("AI(""c컬럼의 단어를 활용해서 적절한 예문을 만들어줘. 한글 해석은 줄띄움 후에 작성해줘"")"),"The company’s former CEO was sentenced to prison for leading a massive credit card fraud scheme that resulted in millions of dollars in losses.
그 회사의 전 CEO는 수백만 달러의 손실을 초래한 대규모 신용카드 사기 수법을 주도한 혐의로 교도소행을 선고받았습니다.")</f>
        <v>The company’s former CEO was sentenced to prison for leading a massive credit card fraud scheme that resulted in millions of dollars in losses.
그 회사의 전 CEO는 수백만 달러의 손실을 초래한 대규모 신용카드 사기 수법을 주도한 혐의로 교도소행을 선고받았습니다.</v>
      </c>
      <c r="F881" s="16" t="s">
        <v>6302</v>
      </c>
      <c r="G881" s="16">
        <v>1</v>
      </c>
    </row>
    <row r="882" spans="1:7" ht="51">
      <c r="A882" s="15"/>
      <c r="B882" s="16">
        <v>881</v>
      </c>
      <c r="C882" s="16" t="s">
        <v>6303</v>
      </c>
      <c r="D882" s="16" t="s">
        <v>7371</v>
      </c>
      <c r="E882" s="16" t="str">
        <f ca="1">IFERROR(__xludf.DUMMYFUNCTION("AI(""c컬럼의 단어를 활용해서 적절한 예문을 만들어줘. 한글 해석은 줄띄움 후에 작성해줘"")"),"After spending several years with the same team, the star player decided to become a free agent to explore new opportunities.
같은 팀에서 수년간 활동한 끝에, 그 스타 선수는 새로운 기회를 찾기 위해 자유계약 선수가 되기로 결정했습니다.")</f>
        <v>After spending several years with the same team, the star player decided to become a free agent to explore new opportunities.
같은 팀에서 수년간 활동한 끝에, 그 스타 선수는 새로운 기회를 찾기 위해 자유계약 선수가 되기로 결정했습니다.</v>
      </c>
      <c r="F882" s="16" t="s">
        <v>6304</v>
      </c>
      <c r="G882" s="16">
        <v>1</v>
      </c>
    </row>
    <row r="883" spans="1:7" ht="51">
      <c r="A883" s="15"/>
      <c r="B883" s="16">
        <v>882</v>
      </c>
      <c r="C883" s="16" t="s">
        <v>6305</v>
      </c>
      <c r="D883" s="16" t="s">
        <v>7372</v>
      </c>
      <c r="E883" s="16" t="str">
        <f ca="1">IFERROR(__xludf.DUMMYFUNCTION("AI(""c컬럼의 단어를 활용해서 적절한 예문을 만들어줘. 한글 해석은 줄띄움 후에 작성해줘"")"),"The First Amendment protects the right to free speech, allowing individuals to express their opinions without fear of government interference.
제1회 수정헌법은 표현의 자유를 보호하여 개인이 정부의 간섭에 대한 두려움 없이 자신의 의견을 표현할 수 있도록 합니다.")</f>
        <v>The First Amendment protects the right to free speech, allowing individuals to express their opinions without fear of government interference.
제1회 수정헌법은 표현의 자유를 보호하여 개인이 정부의 간섭에 대한 두려움 없이 자신의 의견을 표현할 수 있도록 합니다.</v>
      </c>
      <c r="F883" s="16" t="s">
        <v>6306</v>
      </c>
      <c r="G883" s="16">
        <v>1</v>
      </c>
    </row>
    <row r="884" spans="1:7" ht="25.5">
      <c r="A884" s="15"/>
      <c r="B884" s="16">
        <v>883</v>
      </c>
      <c r="C884" s="16" t="s">
        <v>6307</v>
      </c>
      <c r="D884" s="16" t="s">
        <v>7373</v>
      </c>
      <c r="E884" s="16" t="str">
        <f ca="1">IFERROR(__xludf.DUMMYFUNCTION("AI(""c컬럼의 단어를 활용해서 적절한 예문을 만들어줘. 한글 해석은 줄띄움 후에 작성해줘"")"),"Many people value the flexibility and control that comes with freelance work.
많은 사람들은 프리랜서 일이 제공하는 유연성과 통제력을 가치 있게 여깁니다.")</f>
        <v>Many people value the flexibility and control that comes with freelance work.
많은 사람들은 프리랜서 일이 제공하는 유연성과 통제력을 가치 있게 여깁니다.</v>
      </c>
      <c r="F884" s="16" t="s">
        <v>6308</v>
      </c>
      <c r="G884" s="16">
        <v>1</v>
      </c>
    </row>
    <row r="885" spans="1:7" ht="25.5">
      <c r="A885" s="15"/>
      <c r="B885" s="16">
        <v>884</v>
      </c>
      <c r="C885" s="16" t="s">
        <v>6309</v>
      </c>
      <c r="D885" s="16" t="s">
        <v>7374</v>
      </c>
      <c r="E885" s="16" t="str">
        <f ca="1">IFERROR(__xludf.DUMMYFUNCTION("AI(""c컬럼의 단어를 활용해서 적절한 예문을 만들어줘. 한글 해석은 줄띄움 후에 작성해줘"")"),"Our school is planning to organize a fund-raising event to support the local orphanage.
우리 학교는 지역 고아원을 돕기 위한 모금 행사를 계획하고 있습니다.")</f>
        <v>Our school is planning to organize a fund-raising event to support the local orphanage.
우리 학교는 지역 고아원을 돕기 위한 모금 행사를 계획하고 있습니다.</v>
      </c>
      <c r="F885" s="16" t="s">
        <v>6310</v>
      </c>
      <c r="G885" s="16">
        <v>1</v>
      </c>
    </row>
    <row r="886" spans="1:7" ht="25.5">
      <c r="A886" s="15"/>
      <c r="B886" s="16">
        <v>885</v>
      </c>
      <c r="C886" s="16" t="s">
        <v>6311</v>
      </c>
      <c r="D886" s="16" t="s">
        <v>7375</v>
      </c>
      <c r="E886" s="16" t="str">
        <f ca="1">IFERROR(__xludf.DUMMYFUNCTION("AI(""c컬럼의 단어를 활용해서 적절한 예문을 만들어줘. 한글 해석은 줄띄움 후에 작성해줘"")"),"Tailors take detailed measurements and adjust garments to fit your body perfectly.
재단사는 상세하게 치수를 재고 옷이 당신의 몸에 완벽하게 맞도록 조절합니다.")</f>
        <v>Tailors take detailed measurements and adjust garments to fit your body perfectly.
재단사는 상세하게 치수를 재고 옷이 당신의 몸에 완벽하게 맞도록 조절합니다.</v>
      </c>
      <c r="F886" s="16" t="s">
        <v>6312</v>
      </c>
      <c r="G886" s="16">
        <v>1</v>
      </c>
    </row>
    <row r="887" spans="1:7" ht="25.5">
      <c r="A887" s="15"/>
      <c r="B887" s="16">
        <v>886</v>
      </c>
      <c r="C887" s="16" t="s">
        <v>6313</v>
      </c>
      <c r="D887" s="16" t="s">
        <v>7376</v>
      </c>
      <c r="E887" s="16" t="str">
        <f ca="1">IFERROR(__xludf.DUMMYFUNCTION("AI(""c컬럼의 단어를 활용해서 적절한 예문을 만들어줘. 한글 해석은 줄띄움 후에 작성해줘"")"),"When a recession hits, a small business can be highly profitable on paper and still go bankrupt.
경제가 위축될 때, 소규모 기업은 서류상으로는 높은 수익을 낼 수 있지만 여전히 파산할 수 있습니다.")</f>
        <v>When a recession hits, a small business can be highly profitable on paper and still go bankrupt.
경제가 위축될 때, 소규모 기업은 서류상으로는 높은 수익을 낼 수 있지만 여전히 파산할 수 있습니다.</v>
      </c>
      <c r="F887" s="16" t="s">
        <v>6314</v>
      </c>
      <c r="G887" s="16">
        <v>1</v>
      </c>
    </row>
    <row r="888" spans="1:7">
      <c r="A888" s="15"/>
      <c r="B888" s="16">
        <v>887</v>
      </c>
      <c r="C888" s="16" t="s">
        <v>6315</v>
      </c>
      <c r="D888" s="16" t="s">
        <v>7377</v>
      </c>
      <c r="E888" s="16" t="str">
        <f ca="1">IFERROR(__xludf.DUMMYFUNCTION("AI(""c컬럼의 단어를 활용해서 적절한 예문을 만들어줘. 한글 해석은 줄띄움 후에 작성해줘"")"),"문제가 발생했습니다. 다시 시도해 주세요.")</f>
        <v>문제가 발생했습니다. 다시 시도해 주세요.</v>
      </c>
      <c r="F888" s="16" t="s">
        <v>6316</v>
      </c>
      <c r="G888" s="16">
        <v>1</v>
      </c>
    </row>
    <row r="889" spans="1:7" ht="25.5">
      <c r="A889" s="15"/>
      <c r="B889" s="16">
        <v>888</v>
      </c>
      <c r="C889" s="16" t="s">
        <v>6317</v>
      </c>
      <c r="D889" s="16" t="s">
        <v>7378</v>
      </c>
      <c r="E889" s="16" t="str">
        <f ca="1">IFERROR(__xludf.DUMMYFUNCTION("AI(""c컬럼의 단어를 활용해서 적절한 예문을 만들어줘. 한글 해석은 줄띄움 후에 작성해줘"")"),"Volunteers will hand out brochures to visitors at the entrance of the museum.
자원봉사자들이 박물관 입구에서 방문객들에게 소책자를 나누어 줄 것입니다.")</f>
        <v>Volunteers will hand out brochures to visitors at the entrance of the museum.
자원봉사자들이 박물관 입구에서 방문객들에게 소책자를 나누어 줄 것입니다.</v>
      </c>
      <c r="F889" s="16" t="s">
        <v>6318</v>
      </c>
      <c r="G889" s="16">
        <v>1</v>
      </c>
    </row>
    <row r="890" spans="1:7" ht="51">
      <c r="A890" s="15"/>
      <c r="B890" s="16">
        <v>889</v>
      </c>
      <c r="C890" s="16" t="s">
        <v>6319</v>
      </c>
      <c r="D890" s="16" t="s">
        <v>7379</v>
      </c>
      <c r="E890" s="16" t="str">
        <f ca="1">IFERROR(__xludf.DUMMYFUNCTION("AI(""c컬럼의 단어를 활용해서 적절한 예문을 만들어줘. 한글 해석은 줄띄움 후에 작성해줘"")"),"Samsung’s latest smart TVs deliver stunning high-definition video to ensure an immersive viewing experience.
삼성전자의 최신 스마트 TV는 몰입감 넘치는 시청 경험을 보장하기 위해 생생한 고해상도 영상을 제공합니다.")</f>
        <v>Samsung’s latest smart TVs deliver stunning high-definition video to ensure an immersive viewing experience.
삼성전자의 최신 스마트 TV는 몰입감 넘치는 시청 경험을 보장하기 위해 생생한 고해상도 영상을 제공합니다.</v>
      </c>
      <c r="F890" s="16" t="s">
        <v>6320</v>
      </c>
      <c r="G890" s="16">
        <v>1</v>
      </c>
    </row>
    <row r="891" spans="1:7" ht="25.5">
      <c r="A891" s="15"/>
      <c r="B891" s="16">
        <v>890</v>
      </c>
      <c r="C891" s="16" t="s">
        <v>6321</v>
      </c>
      <c r="D891" s="16" t="s">
        <v>7380</v>
      </c>
      <c r="E891" s="16" t="str">
        <f ca="1">IFERROR(__xludf.DUMMYFUNCTION("AI(""c컬럼의 단어를 활용해서 적절한 예문을 만들어줘. 한글 해석은 줄띄움 후에 작성해줘"")"),"I'll have a hamburger, and could you hold the onions, please?
햄버거 하나 주시는데, 양파는 빼 주실 수 있나요?")</f>
        <v>I'll have a hamburger, and could you hold the onions, please?
햄버거 하나 주시는데, 양파는 빼 주실 수 있나요?</v>
      </c>
      <c r="F891" s="16" t="s">
        <v>6322</v>
      </c>
      <c r="G891" s="16">
        <v>1</v>
      </c>
    </row>
    <row r="892" spans="1:7" ht="25.5">
      <c r="A892" s="15"/>
      <c r="B892" s="16">
        <v>891</v>
      </c>
      <c r="C892" s="16" t="s">
        <v>6323</v>
      </c>
      <c r="D892" s="16" t="s">
        <v>7381</v>
      </c>
      <c r="E892" s="16" t="str">
        <f ca="1">IFERROR(__xludf.DUMMYFUNCTION("AI(""c컬럼의 단어를 활용해서 적절한 예문을 만들어줘. 한글 해석은 줄띄움 후에 작성해줘"")"),"The local charity provides essential support and temporary shelter for homeless families in the city.
지역 자선 단체는 도시 내 노숙인 가족들에게 필수적인 지원과 임시 거처를 제공합니다.")</f>
        <v>The local charity provides essential support and temporary shelter for homeless families in the city.
지역 자선 단체는 도시 내 노숙인 가족들에게 필수적인 지원과 임시 거처를 제공합니다.</v>
      </c>
      <c r="F892" s="16" t="s">
        <v>6324</v>
      </c>
      <c r="G892" s="16">
        <v>1</v>
      </c>
    </row>
    <row r="893" spans="1:7" ht="51">
      <c r="A893" s="15"/>
      <c r="B893" s="16">
        <v>892</v>
      </c>
      <c r="C893" s="16" t="s">
        <v>6325</v>
      </c>
      <c r="D893" s="16" t="s">
        <v>7382</v>
      </c>
      <c r="E893" s="16" t="str">
        <f ca="1">IFERROR(__xludf.DUMMYFUNCTION("AI(""c컬럼의 단어를 활용해서 적절한 예문을 만들어줘. 한글 해석은 줄띄움 후에 작성해줘"")"),"High humidity makes it harder for sweat to evaporate, which can make a hot day feel even more oppressive.
높은 습도는 땀이 증발하는 것을 더 어렵게 만들어, 더운 날을 훨씬 더 후텁지근하게 느끼게 만들 수 있습니다.[_cite: 8, 9, 11]")</f>
        <v>High humidity makes it harder for sweat to evaporate, which can make a hot day feel even more oppressive.
높은 습도는 땀이 증발하는 것을 더 어렵게 만들어, 더운 날을 훨씬 더 후텁지근하게 느끼게 만들 수 있습니다.[_cite: 8, 9, 11]</v>
      </c>
      <c r="F893" s="16" t="s">
        <v>6326</v>
      </c>
      <c r="G893" s="16">
        <v>1</v>
      </c>
    </row>
    <row r="894" spans="1:7" ht="25.5">
      <c r="A894" s="15"/>
      <c r="B894" s="16">
        <v>893</v>
      </c>
      <c r="C894" s="16" t="s">
        <v>6327</v>
      </c>
      <c r="D894" s="16" t="s">
        <v>7383</v>
      </c>
      <c r="E894" s="16" t="str">
        <f ca="1">IFERROR(__xludf.DUMMYFUNCTION("AI(""c컬럼의 단어를 활용해서 적절한 예문을 만들어줘. 한글 해석은 줄띄움 후에 작성해줘"")"),"Please find the documents attached as requested.
제 요청대로 서류를 첨부하였으니 확인해 주시기 바랍니다.")</f>
        <v>Please find the documents attached as requested.
제 요청대로 서류를 첨부하였으니 확인해 주시기 바랍니다.</v>
      </c>
      <c r="F894" s="16" t="s">
        <v>6328</v>
      </c>
      <c r="G894" s="16">
        <v>1</v>
      </c>
    </row>
    <row r="895" spans="1:7" ht="51">
      <c r="A895" s="15"/>
      <c r="B895" s="16">
        <v>894</v>
      </c>
      <c r="C895" s="16" t="s">
        <v>6329</v>
      </c>
      <c r="D895" s="16" t="s">
        <v>7384</v>
      </c>
      <c r="E895" s="16" t="str">
        <f ca="1">IFERROR(__xludf.DUMMYFUNCTION("AI(""c컬럼의 단어를 활용해서 적절한 예문을 만들어줘. 한글 해석은 줄띄움 후에 작성해줘"")"),"Many companies prefer to train their in-house staff rather than outsourcing projects to external consultants.
많은 기업들이 프로젝트를 외부 컨설턴트에게 아웃소싱하기보다 사내 직원을 교육하는 것을 선호합니다.")</f>
        <v>Many companies prefer to train their in-house staff rather than outsourcing projects to external consultants.
많은 기업들이 프로젝트를 외부 컨설턴트에게 아웃소싱하기보다 사내 직원을 교육하는 것을 선호합니다.</v>
      </c>
      <c r="F895" s="16" t="s">
        <v>6330</v>
      </c>
      <c r="G895" s="16">
        <v>1</v>
      </c>
    </row>
    <row r="896" spans="1:7" ht="38.25">
      <c r="A896" s="15"/>
      <c r="B896" s="16">
        <v>895</v>
      </c>
      <c r="C896" s="16" t="s">
        <v>6331</v>
      </c>
      <c r="D896" s="16" t="s">
        <v>7385</v>
      </c>
      <c r="E896" s="16" t="str">
        <f ca="1">IFERROR(__xludf.DUMMYFUNCTION("AI(""c컬럼의 단어를 활용해서 적절한 예문을 만들어줘. 한글 해석은 줄띄움 후에 작성해줘"")"),"After more than sixty years of British colonial rule, Uganda gained independence from Britain on October 9, 1962.
60년 이상의 영국 식민 통치 이후, 우간다는 1962년 10월 9일 영국으로부터 독립을 쟁취했습니다.")</f>
        <v>After more than sixty years of British colonial rule, Uganda gained independence from Britain on October 9, 1962.
60년 이상의 영국 식민 통치 이후, 우간다는 1962년 10월 9일 영국으로부터 독립을 쟁취했습니다.</v>
      </c>
      <c r="F896" s="16" t="s">
        <v>6332</v>
      </c>
      <c r="G896" s="16">
        <v>1</v>
      </c>
    </row>
    <row r="897" spans="1:7" ht="25.5">
      <c r="A897" s="15"/>
      <c r="B897" s="16">
        <v>896</v>
      </c>
      <c r="C897" s="16" t="s">
        <v>2835</v>
      </c>
      <c r="D897" s="16" t="s">
        <v>7386</v>
      </c>
      <c r="E897" s="16" t="str">
        <f ca="1">IFERROR(__xludf.DUMMYFUNCTION("AI(""c컬럼의 단어를 활용해서 적절한 예문을 만들어줘. 한글 해석은 줄띄움 후에 작성해줘"")"),"Flour is the most important ingredient in traditional baking as it builds the structure of baked goods.
전통적인 베이킹에서 밀가루는 구운 과자의 구조를 형성하는 가장 중요한 재료입니다.")</f>
        <v>Flour is the most important ingredient in traditional baking as it builds the structure of baked goods.
전통적인 베이킹에서 밀가루는 구운 과자의 구조를 형성하는 가장 중요한 재료입니다.</v>
      </c>
      <c r="F897" s="16" t="s">
        <v>6333</v>
      </c>
      <c r="G897" s="16">
        <v>1</v>
      </c>
    </row>
    <row r="898" spans="1:7" ht="25.5">
      <c r="A898" s="15"/>
      <c r="B898" s="16">
        <v>897</v>
      </c>
      <c r="C898" s="16" t="s">
        <v>6334</v>
      </c>
      <c r="D898" s="16" t="s">
        <v>7387</v>
      </c>
      <c r="E898" s="16" t="str">
        <f ca="1">IFERROR(__xludf.DUMMYFUNCTION("AI(""c컬럼의 단어를 활용해서 적절한 예문을 만들어줘. 한글 해석은 줄띄움 후에 작성해줘"")"),"A customer called the store to inquire about the availability of the new product.
고객이 신제품의 재고 여부를 문의하기 위해 매장에 전화했습니다.")</f>
        <v>A customer called the store to inquire about the availability of the new product.
고객이 신제품의 재고 여부를 문의하기 위해 매장에 전화했습니다.</v>
      </c>
      <c r="F898" s="16" t="s">
        <v>6335</v>
      </c>
      <c r="G898" s="16">
        <v>1</v>
      </c>
    </row>
    <row r="899" spans="1:7" ht="51">
      <c r="A899" s="15"/>
      <c r="B899" s="16">
        <v>898</v>
      </c>
      <c r="C899" s="16" t="s">
        <v>6336</v>
      </c>
      <c r="D899" s="16" t="s">
        <v>7388</v>
      </c>
      <c r="E899" s="16" t="str">
        <f ca="1">IFERROR(__xludf.DUMMYFUNCTION("AI(""c컬럼의 단어를 활용해서 적절한 예문을 만들어줘. 한글 해석은 줄띄움 후에 작성해줘"")"),"With the Home Connect app, you can control your internet-enabled appliances remotely via your mobile phone or tablet.
홈 커넥트 앱을 사용하면 스마트폰이나 태블릿을 통해 인터넷 사용이 가능한 가전제품을 원격으로 제어할 수 있습니다.")</f>
        <v>With the Home Connect app, you can control your internet-enabled appliances remotely via your mobile phone or tablet.
홈 커넥트 앱을 사용하면 스마트폰이나 태블릿을 통해 인터넷 사용이 가능한 가전제품을 원격으로 제어할 수 있습니다.</v>
      </c>
      <c r="F899" s="16" t="s">
        <v>6337</v>
      </c>
      <c r="G899" s="16">
        <v>1</v>
      </c>
    </row>
    <row r="900" spans="1:7" ht="38.25">
      <c r="A900" s="15"/>
      <c r="B900" s="16">
        <v>899</v>
      </c>
      <c r="C900" s="16" t="s">
        <v>6338</v>
      </c>
      <c r="D900" s="16" t="s">
        <v>7389</v>
      </c>
      <c r="E900" s="16" t="str">
        <f ca="1">IFERROR(__xludf.DUMMYFUNCTION("AI(""c컬럼의 단어를 활용해서 적절한 예문을 만들어줘. 한글 해석은 줄띄움 후에 작성해줘"")"),"The historical consensus is not static, as historians begin to interpret old evidence in new ways.
역사적 합의는 정체되어 있지 않으며, 역사학자들이 오래된 증거를 새로운 방식으로 해석하기 시작함에 따라 변화합니다.")</f>
        <v>The historical consensus is not static, as historians begin to interpret old evidence in new ways.
역사적 합의는 정체되어 있지 않으며, 역사학자들이 오래된 증거를 새로운 방식으로 해석하기 시작함에 따라 변화합니다.</v>
      </c>
      <c r="F900" s="16" t="s">
        <v>6339</v>
      </c>
      <c r="G900" s="16">
        <v>1</v>
      </c>
    </row>
    <row r="901" spans="1:7" ht="25.5">
      <c r="A901" s="15"/>
      <c r="B901" s="16">
        <v>900</v>
      </c>
      <c r="C901" s="16" t="s">
        <v>6340</v>
      </c>
      <c r="D901" s="16" t="s">
        <v>7390</v>
      </c>
      <c r="E901" s="16" t="str">
        <f ca="1">IFERROR(__xludf.DUMMYFUNCTION("AI(""c컬럼의 단어를 활용해서 적절한 예문을 만들어줘. 한글 해석은 줄띄움 후에 작성해줘"")"),"Before moving on to advanced physics, students must first complete the introductory course.
고급 물리학으로 넘어가기 전에 학생들은 먼저 입문 과정을 완료해야 합니다.")</f>
        <v>Before moving on to advanced physics, students must first complete the introductory course.
고급 물리학으로 넘어가기 전에 학생들은 먼저 입문 과정을 완료해야 합니다.</v>
      </c>
      <c r="F901" s="16" t="s">
        <v>6341</v>
      </c>
      <c r="G901" s="16">
        <v>1</v>
      </c>
    </row>
    <row r="902" spans="1:7" ht="25.5">
      <c r="A902" s="15"/>
      <c r="B902" s="16">
        <v>901</v>
      </c>
      <c r="C902" s="16" t="s">
        <v>6342</v>
      </c>
      <c r="D902" s="16" t="s">
        <v>7098</v>
      </c>
      <c r="E902" s="16" t="str">
        <f ca="1">IFERROR(__xludf.DUMMYFUNCTION("AI(""c컬럼의 단어를 활용해서 적절한 예문을 만들어줘. 한글 해석은 줄띄움 후에 작성해줘"")"),"The police have launched a thorough investigation to establish the circumstances of the incident.
경찰은 사건의 경위를 규명하기 위해 철저한 조사를 시작했습니다.")</f>
        <v>The police have launched a thorough investigation to establish the circumstances of the incident.
경찰은 사건의 경위를 규명하기 위해 철저한 조사를 시작했습니다.</v>
      </c>
      <c r="F902" s="16" t="s">
        <v>6343</v>
      </c>
      <c r="G902" s="16">
        <v>1</v>
      </c>
    </row>
    <row r="903" spans="1:7" ht="51">
      <c r="A903" s="15"/>
      <c r="B903" s="16">
        <v>902</v>
      </c>
      <c r="C903" s="16" t="s">
        <v>6344</v>
      </c>
      <c r="D903" s="16" t="s">
        <v>7391</v>
      </c>
      <c r="E903" s="16" t="str">
        <f ca="1">IFERROR(__xludf.DUMMYFUNCTION("AI(""c컬럼의 단어를 활용해서 적절한 예문을 만들어줘. 한글 해석은 줄띄움 후에 작성해줘"")"),"Carefully reviewing the job posting can help you tailor your resume to the specific requirements of the role.
채용 공고를 면밀히 검토하면 해당 직무의 특정 요구 사항에 맞춰 이력서를 조정하는 데 도움이 될 수 있습니다.")</f>
        <v>Carefully reviewing the job posting can help you tailor your resume to the specific requirements of the role.
채용 공고를 면밀히 검토하면 해당 직무의 특정 요구 사항에 맞춰 이력서를 조정하는 데 도움이 될 수 있습니다.</v>
      </c>
      <c r="F903" s="16" t="s">
        <v>6345</v>
      </c>
      <c r="G903" s="16">
        <v>1</v>
      </c>
    </row>
    <row r="904" spans="1:7" ht="25.5">
      <c r="A904" s="15"/>
      <c r="B904" s="16">
        <v>903</v>
      </c>
      <c r="C904" s="16" t="s">
        <v>6346</v>
      </c>
      <c r="D904" s="16" t="s">
        <v>7392</v>
      </c>
      <c r="E904" s="16" t="str">
        <f ca="1">IFERROR(__xludf.DUMMYFUNCTION("AI(""c컬럼의 단어를 활용해서 적절한 예문을 만들어줘. 한글 해석은 줄띄움 후에 작성해줘"")"),"The excited kindergartener was ready for the first day of school with a colorful backpack.
그 흥분한 유치원생은 색동 책가방을 메고 학교 첫 날을 맞이할 준비가 되었습니다.")</f>
        <v>The excited kindergartener was ready for the first day of school with a colorful backpack.
그 흥분한 유치원생은 색동 책가방을 메고 학교 첫 날을 맞이할 준비가 되었습니다.</v>
      </c>
      <c r="F904" s="16" t="s">
        <v>6347</v>
      </c>
      <c r="G904" s="16">
        <v>1</v>
      </c>
    </row>
    <row r="905" spans="1:7" ht="38.25">
      <c r="A905" s="15"/>
      <c r="B905" s="16">
        <v>904</v>
      </c>
      <c r="C905" s="16" t="s">
        <v>6348</v>
      </c>
      <c r="D905" s="16" t="s">
        <v>7393</v>
      </c>
      <c r="E905" s="16" t="str">
        <f ca="1">IFERROR(__xludf.DUMMYFUNCTION("AI(""c컬럼의 단어를 활용해서 적절한 예문을 만들어줘. 한글 해석은 줄띄움 후에 작성해줘"")"),"Advances in modern medicine and public health have significantly increased the average human life span over the past century.
현대 의학과 공중 보건의 발전은 지난 한 세기 동안 인간의 평균 수명을 크게 연장시켰습니다.")</f>
        <v>Advances in modern medicine and public health have significantly increased the average human life span over the past century.
현대 의학과 공중 보건의 발전은 지난 한 세기 동안 인간의 평균 수명을 크게 연장시켰습니다.</v>
      </c>
      <c r="F905" s="16" t="s">
        <v>6349</v>
      </c>
      <c r="G905" s="16">
        <v>1</v>
      </c>
    </row>
    <row r="906" spans="1:7" ht="51">
      <c r="A906" s="15"/>
      <c r="B906" s="16">
        <v>905</v>
      </c>
      <c r="C906" s="16" t="s">
        <v>6350</v>
      </c>
      <c r="D906" s="16" t="s">
        <v>7394</v>
      </c>
      <c r="E906" s="16" t="str">
        <f ca="1">IFERROR(__xludf.DUMMYFUNCTION("AI(""c컬럼의 단어를 활용해서 적절한 예문을 만들어줘. 한글 해석은 줄띄움 후에 작성해줘"")"),"For families with demanding work schedules, hiring a live-in nanny provides the flexibility and consistent care needed for their children.
바쁜 업무 일정을 가진 가족들에게 입주 보모를 고용하는 것은 아이들에게 필요한 유연성과 일관된 보살핌을 제공합니다.")</f>
        <v>For families with demanding work schedules, hiring a live-in nanny provides the flexibility and consistent care needed for their children.
바쁜 업무 일정을 가진 가족들에게 입주 보모를 고용하는 것은 아이들에게 필요한 유연성과 일관된 보살핌을 제공합니다.</v>
      </c>
      <c r="F906" s="16" t="s">
        <v>6351</v>
      </c>
      <c r="G906" s="16">
        <v>1</v>
      </c>
    </row>
    <row r="907" spans="1:7" ht="38.25">
      <c r="A907" s="15"/>
      <c r="B907" s="16">
        <v>906</v>
      </c>
      <c r="C907" s="16" t="s">
        <v>6352</v>
      </c>
      <c r="D907" s="16" t="s">
        <v>7395</v>
      </c>
      <c r="E907" s="16" t="str">
        <f ca="1">IFERROR(__xludf.DUMMYFUNCTION("AI(""c컬럼의 단어를 활용해서 적절한 예문을 만들어줘. 한글 해석은 줄띄움 후에 작성해줘"")"),"Proper nutrition is the most important aspect in keeping livestock healthy and able to produce.
가장 중요한 점은 가축을 건강하게 유지하고 생산할 수 있도록 적절하고 영양가 있는 식단을 제공하는 것입니다.")</f>
        <v>Proper nutrition is the most important aspect in keeping livestock healthy and able to produce.
가장 중요한 점은 가축을 건강하게 유지하고 생산할 수 있도록 적절하고 영양가 있는 식단을 제공하는 것입니다.</v>
      </c>
      <c r="F907" s="16" t="s">
        <v>6353</v>
      </c>
      <c r="G907" s="16">
        <v>1</v>
      </c>
    </row>
    <row r="908" spans="1:7" ht="25.5">
      <c r="A908" s="15"/>
      <c r="B908" s="16">
        <v>907</v>
      </c>
      <c r="C908" s="16" t="s">
        <v>6354</v>
      </c>
      <c r="D908" s="16" t="s">
        <v>7396</v>
      </c>
      <c r="E908" s="16" t="str">
        <f ca="1">IFERROR(__xludf.DUMMYFUNCTION("AI(""c컬럼의 단어를 활용해서 적절한 예문을 만들어줘. 한글 해석은 줄띄움 후에 작성해줘"")"),"The committee decided to look into the matter further before making a final decision.
위원회는 최종 결정을 내리기 전에 그 문제를 더 조사해 보기로 결정했습니다.")</f>
        <v>The committee decided to look into the matter further before making a final decision.
위원회는 최종 결정을 내리기 전에 그 문제를 더 조사해 보기로 결정했습니다.</v>
      </c>
      <c r="F908" s="16" t="s">
        <v>6355</v>
      </c>
      <c r="G908" s="16">
        <v>1</v>
      </c>
    </row>
    <row r="909" spans="1:7" ht="38.25">
      <c r="A909" s="15"/>
      <c r="B909" s="16">
        <v>908</v>
      </c>
      <c r="C909" s="16" t="s">
        <v>6356</v>
      </c>
      <c r="D909" s="16" t="s">
        <v>7397</v>
      </c>
      <c r="E909" s="16" t="str">
        <f ca="1">IFERROR(__xludf.DUMMYFUNCTION("AI(""c컬럼의 단어를 활용해서 적절한 예문을 만들어줘. 한글 해석은 줄띄움 후에 작성해줘"")"),"If you are looking for a high-quality pre-owned watch, look no further than our collection.
고품질의 중고 시계를 찾고 계신다면, 저희 컬렉션보다 더 나은 곳은 없습니다.")</f>
        <v>If you are looking for a high-quality pre-owned watch, look no further than our collection.
고품질의 중고 시계를 찾고 계신다면, 저희 컬렉션보다 더 나은 곳은 없습니다.</v>
      </c>
      <c r="F909" s="16" t="s">
        <v>6357</v>
      </c>
      <c r="G909" s="16">
        <v>1</v>
      </c>
    </row>
    <row r="910" spans="1:7" ht="25.5">
      <c r="A910" s="15"/>
      <c r="B910" s="16">
        <v>909</v>
      </c>
      <c r="C910" s="16" t="s">
        <v>6358</v>
      </c>
      <c r="D910" s="16" t="s">
        <v>7398</v>
      </c>
      <c r="E910" s="16" t="str">
        <f ca="1">IFERROR(__xludf.DUMMYFUNCTION("AI(""c컬럼의 단어를 활용해서 적절한 예문을 만들어줘. 한글 해석은 줄띄움 후에 작성해줘"")"),"The team finally won a match today, ending their ten-game losing streak.
그 팀은 오늘 경기에서 승리하며 마침내 10연패의 늪에서 벗어났습니다.")</f>
        <v>The team finally won a match today, ending their ten-game losing streak.
그 팀은 오늘 경기에서 승리하며 마침내 10연패의 늪에서 벗어났습니다.</v>
      </c>
      <c r="F910" s="16" t="s">
        <v>6359</v>
      </c>
      <c r="G910" s="16">
        <v>1</v>
      </c>
    </row>
    <row r="911" spans="1:7" ht="38.25">
      <c r="A911" s="15"/>
      <c r="B911" s="16">
        <v>910</v>
      </c>
      <c r="C911" s="16" t="s">
        <v>3054</v>
      </c>
      <c r="D911" s="16" t="s">
        <v>7399</v>
      </c>
      <c r="E911" s="16" t="str">
        <f ca="1">IFERROR(__xludf.DUMMYFUNCTION("AI(""c컬럼의 단어를 활용해서 적절한 예문을 만들어줘. 한글 해석은 줄띄움 후에 작성해줘"")"),"The advent of the internet has democratized the spread of knowledge by making information easily accessible to the masses.
인터넷의 도래는 정보가 대중에게 쉽게 접근 가능하도록 함으로써 지식의 확산을 민주화했습니다.")</f>
        <v>The advent of the internet has democratized the spread of knowledge by making information easily accessible to the masses.
인터넷의 도래는 정보가 대중에게 쉽게 접근 가능하도록 함으로써 지식의 확산을 민주화했습니다.</v>
      </c>
      <c r="F911" s="16" t="s">
        <v>6360</v>
      </c>
      <c r="G911" s="16">
        <v>1</v>
      </c>
    </row>
    <row r="912" spans="1:7" ht="38.25">
      <c r="A912" s="15"/>
      <c r="B912" s="16">
        <v>911</v>
      </c>
      <c r="C912" s="16" t="s">
        <v>6361</v>
      </c>
      <c r="D912" s="16" t="s">
        <v>7400</v>
      </c>
      <c r="E912" s="16" t="str">
        <f ca="1">IFERROR(__xludf.DUMMYFUNCTION("AI(""c컬럼의 단어를 활용해서 적절한 예문을 만들어줘. 한글 해석은 줄띄움 후에 작성해줘"")"),"The Great Gatsby is widely considered to be a literary masterpiece and a contender for the title of the Great American Novel.
위대한 개츠비는 문학적 걸작이자 위대한 미국 소설이라는 칭호의 강력한 후보로 널리 간주됩니다.")</f>
        <v>The Great Gatsby is widely considered to be a literary masterpiece and a contender for the title of the Great American Novel.
위대한 개츠비는 문학적 걸작이자 위대한 미국 소설이라는 칭호의 강력한 후보로 널리 간주됩니다.</v>
      </c>
      <c r="F912" s="16" t="s">
        <v>6362</v>
      </c>
      <c r="G912" s="16">
        <v>1</v>
      </c>
    </row>
    <row r="913" spans="1:7" ht="25.5">
      <c r="A913" s="15"/>
      <c r="B913" s="16">
        <v>912</v>
      </c>
      <c r="C913" s="16" t="s">
        <v>6363</v>
      </c>
      <c r="D913" s="16" t="s">
        <v>7401</v>
      </c>
      <c r="E913" s="16" t="str">
        <f ca="1">IFERROR(__xludf.DUMMYFUNCTION("AI(""c컬럼의 단어를 활용해서 적절한 예문을 만들어줘. 한글 해석은 줄띄움 후에 작성해줘"")"),"Money is often seen as a means of achieving personal goals rather than an end in itself.
돈은 그 자체로 목적이라기보다는 개인적인 목표를 달성하기 위한 수단으로 여겨집니다.")</f>
        <v>Money is often seen as a means of achieving personal goals rather than an end in itself.
돈은 그 자체로 목적이라기보다는 개인적인 목표를 달성하기 위한 수단으로 여겨집니다.</v>
      </c>
      <c r="F913" s="16" t="s">
        <v>6364</v>
      </c>
      <c r="G913" s="16">
        <v>1</v>
      </c>
    </row>
    <row r="914" spans="1:7" ht="51">
      <c r="A914" s="15"/>
      <c r="B914" s="16">
        <v>913</v>
      </c>
      <c r="C914" s="16" t="s">
        <v>6365</v>
      </c>
      <c r="D914" s="16" t="s">
        <v>7402</v>
      </c>
      <c r="E914" s="16" t="str">
        <f ca="1">IFERROR(__xludf.DUMMYFUNCTION("AI(""c컬럼의 단어를 활용해서 적절한 예문을 만들어줘. 한글 해석은 줄띄움 후에 작성해줘"")"),"The restaurant decided to include more meatless dishes on its menu to cater to health-conscious customers.
그 식당은 건강에 관심이 많은 고객들을 위해 메뉴에 더 많은 고기 없는 요리를 포함시키기로 결정했습니다.")</f>
        <v>The restaurant decided to include more meatless dishes on its menu to cater to health-conscious customers.
그 식당은 건강에 관심이 많은 고객들을 위해 메뉴에 더 많은 고기 없는 요리를 포함시키기로 결정했습니다.</v>
      </c>
      <c r="F914" s="16" t="s">
        <v>6366</v>
      </c>
      <c r="G914" s="16">
        <v>1</v>
      </c>
    </row>
    <row r="915" spans="1:7" ht="25.5">
      <c r="A915" s="15"/>
      <c r="B915" s="16">
        <v>914</v>
      </c>
      <c r="C915" s="16" t="s">
        <v>6367</v>
      </c>
      <c r="D915" s="16" t="s">
        <v>7403</v>
      </c>
      <c r="E915" s="16" t="str">
        <f ca="1">IFERROR(__xludf.DUMMYFUNCTION("AI(""c컬럼의 단어를 활용해서 적절한 예문을 만들어줘. 한글 해석은 줄띄움 후에 작성해줘"")"),"The company decided to expand its operations into new markets to increase its customer base.
그 회사는 고객층을 늘리기 위해 새로운 시장으로 사업 운영을 확장하기로 결정했습니다.")</f>
        <v>The company decided to expand its operations into new markets to increase its customer base.
그 회사는 고객층을 늘리기 위해 새로운 시장으로 사업 운영을 확장하기로 결정했습니다.</v>
      </c>
      <c r="F915" s="16" t="s">
        <v>6368</v>
      </c>
      <c r="G915" s="16">
        <v>1</v>
      </c>
    </row>
    <row r="916" spans="1:7" ht="51">
      <c r="A916" s="15"/>
      <c r="B916" s="16">
        <v>915</v>
      </c>
      <c r="C916" s="16" t="s">
        <v>6369</v>
      </c>
      <c r="D916" s="16" t="s">
        <v>7404</v>
      </c>
      <c r="E916" s="16" t="str">
        <f ca="1">IFERROR(__xludf.DUMMYFUNCTION("AI(""c컬럼의 단어를 활용해서 적절한 예문을 만들어줘. 한글 해석은 줄띄움 후에 작성해줘"")"),"The integration of artificial intelligence into daily cognitive tasks has the potential to reshape human mental capacity over time.
인공지능을 일상적인 인지 업무에 통합하는 것은 시간이 흐름에 따라 인간의 지적 능력을 재형성할 잠재력을 가지고 있습니다.")</f>
        <v>The integration of artificial intelligence into daily cognitive tasks has the potential to reshape human mental capacity over time.
인공지능을 일상적인 인지 업무에 통합하는 것은 시간이 흐름에 따라 인간의 지적 능력을 재형성할 잠재력을 가지고 있습니다.</v>
      </c>
      <c r="F916" s="16" t="s">
        <v>6370</v>
      </c>
      <c r="G916" s="16">
        <v>1</v>
      </c>
    </row>
    <row r="917" spans="1:7" ht="51">
      <c r="A917" s="15"/>
      <c r="B917" s="16">
        <v>916</v>
      </c>
      <c r="C917" s="16" t="s">
        <v>6371</v>
      </c>
      <c r="D917" s="16" t="s">
        <v>7405</v>
      </c>
      <c r="E917" s="16" t="str">
        <f ca="1">IFERROR(__xludf.DUMMYFUNCTION("AI(""c컬럼의 단어를 활용해서 적절한 예문을 만들어줘. 한글 해석은 줄띄움 후에 작성해줘"")"),"The government announced new tax policies designed to lower costs and improve the quality of life for middle-class families.
정부는 중산층 가구의 비용을 낮추고 삶의 질을 향상시키기 위해 설계된 새로운 세금 정책을 발표했습니다.")</f>
        <v>The government announced new tax policies designed to lower costs and improve the quality of life for middle-class families.
정부는 중산층 가구의 비용을 낮추고 삶의 질을 향상시키기 위해 설계된 새로운 세금 정책을 발표했습니다.</v>
      </c>
      <c r="F917" s="16" t="s">
        <v>6372</v>
      </c>
      <c r="G917" s="16">
        <v>1</v>
      </c>
    </row>
    <row r="918" spans="1:7" ht="25.5">
      <c r="A918" s="15"/>
      <c r="B918" s="16">
        <v>917</v>
      </c>
      <c r="C918" s="16" t="s">
        <v>6373</v>
      </c>
      <c r="D918" s="16" t="s">
        <v>7406</v>
      </c>
      <c r="E918" s="16" t="str">
        <f ca="1">IFERROR(__xludf.DUMMYFUNCTION("AI(""c컬럼의 단어를 활용해서 적절한 예문을 만들어줘. 한글 해석은 줄띄움 후에 작성해줘"")"),"A water molecule consists of two hydrogen atoms bonded to one oxygen atom.
물 분자는 한 개의 산소 원자에 결합된 두 개의 수소 원자로 구성됩니다.")</f>
        <v>A water molecule consists of two hydrogen atoms bonded to one oxygen atom.
물 분자는 한 개의 산소 원자에 결합된 두 개의 수소 원자로 구성됩니다.</v>
      </c>
      <c r="F918" s="16" t="s">
        <v>6374</v>
      </c>
      <c r="G918" s="16">
        <v>1</v>
      </c>
    </row>
    <row r="919" spans="1:7" ht="25.5">
      <c r="A919" s="15"/>
      <c r="B919" s="16">
        <v>918</v>
      </c>
      <c r="C919" s="16" t="s">
        <v>6375</v>
      </c>
      <c r="D919" s="16" t="s">
        <v>7407</v>
      </c>
      <c r="E919" s="16" t="str">
        <f ca="1">IFERROR(__xludf.DUMMYFUNCTION("AI(""c컬럼의 단어를 활용해서 적절한 예문을 만들어줘. 한글 해석은 줄띄움 후에 작성해줘"")"),"The security cameras remain mounted in key areas including the parking lots to deter criminal activity.
감시 카메라가 범죄 활동을 억제하기 위해 주차장을 포함한 주요 구역에 장착되어 있습니다.")</f>
        <v>The security cameras remain mounted in key areas including the parking lots to deter criminal activity.
감시 카메라가 범죄 활동을 억제하기 위해 주차장을 포함한 주요 구역에 장착되어 있습니다.</v>
      </c>
      <c r="F919" s="16" t="s">
        <v>6376</v>
      </c>
      <c r="G919" s="16">
        <v>1</v>
      </c>
    </row>
    <row r="920" spans="1:7" ht="25.5">
      <c r="A920" s="15"/>
      <c r="B920" s="16">
        <v>919</v>
      </c>
      <c r="C920" s="16" t="s">
        <v>6377</v>
      </c>
      <c r="D920" s="16" t="s">
        <v>7408</v>
      </c>
      <c r="E920" s="16" t="str">
        <f ca="1">IFERROR(__xludf.DUMMYFUNCTION("AI(""c컬럼의 단어를 활용해서 적절한 예문을 만들어줘. 한글 해석은 줄띄움 후에 작성해줘"")"),"The chef prepared a mouthwatering feast for the guests.
그 요리사는 손님들을 위해 군침 도는 진찬을 준비했습니다.")</f>
        <v>The chef prepared a mouthwatering feast for the guests.
그 요리사는 손님들을 위해 군침 도는 진찬을 준비했습니다.</v>
      </c>
      <c r="F920" s="16" t="s">
        <v>6378</v>
      </c>
      <c r="G920" s="16">
        <v>1</v>
      </c>
    </row>
    <row r="921" spans="1:7" ht="38.25">
      <c r="A921" s="15"/>
      <c r="B921" s="16">
        <v>920</v>
      </c>
      <c r="C921" s="16" t="s">
        <v>6379</v>
      </c>
      <c r="D921" s="16" t="s">
        <v>7409</v>
      </c>
      <c r="E921" s="16" t="str">
        <f ca="1">IFERROR(__xludf.DUMMYFUNCTION("AI(""c컬럼의 단어를 활용해서 적절한 예문을 만들어줘. 한글 해석은 줄띄움 후에 작성해줘"")"),"The nominating committee will evaluate each nominee based on their professional experience and leadership skills.
공천위원회는 각 후보자의 전문 경력과 리더십 기술을 바탕으로 그들을 평가할 것입니다.")</f>
        <v>The nominating committee will evaluate each nominee based on their professional experience and leadership skills.
공천위원회는 각 후보자의 전문 경력과 리더십 기술을 바탕으로 그들을 평가할 것입니다.</v>
      </c>
      <c r="F921" s="16" t="s">
        <v>6380</v>
      </c>
      <c r="G921" s="16">
        <v>1</v>
      </c>
    </row>
    <row r="922" spans="1:7" ht="38.25">
      <c r="A922" s="15"/>
      <c r="B922" s="16">
        <v>921</v>
      </c>
      <c r="C922" s="16" t="s">
        <v>6381</v>
      </c>
      <c r="D922" s="16" t="s">
        <v>7410</v>
      </c>
      <c r="E922" s="16" t="str">
        <f ca="1">IFERROR(__xludf.DUMMYFUNCTION("AI(""c컬럼의 단어를 활용해서 적절한 예문을 만들어줘. 한글 해석은 줄띄움 후에 작성해줘"")"),"Watching online streams of your favorite creators is a popular way to unwind after a long day at work.
좋아하는 크리에이터의 온라인 방송을 시청하는 것은 직장에서 긴 하루를 보낸 후 긴장을 푸는 인기 있는 방법입니다.")</f>
        <v>Watching online streams of your favorite creators is a popular way to unwind after a long day at work.
좋아하는 크리에이터의 온라인 방송을 시청하는 것은 직장에서 긴 하루를 보낸 후 긴장을 푸는 인기 있는 방법입니다.</v>
      </c>
      <c r="F922" s="16" t="s">
        <v>6382</v>
      </c>
      <c r="G922" s="16">
        <v>1</v>
      </c>
    </row>
    <row r="923" spans="1:7" ht="51">
      <c r="A923" s="15"/>
      <c r="B923" s="16">
        <v>922</v>
      </c>
      <c r="C923" s="16" t="s">
        <v>6383</v>
      </c>
      <c r="D923" s="16" t="s">
        <v>7411</v>
      </c>
      <c r="E923" s="16" t="str">
        <f ca="1">IFERROR(__xludf.DUMMYFUNCTION("AI(""c컬럼의 단어를 활용해서 적절한 예문을 만들어줘. 한글 해석은 줄띄움 후에 작성해줘"")"),"The city council announced that temporary parking restrictions will be in place during the music festival to ensure public safety.
시의회는 공공 안전을 보장하기 위해 음악 축제 기간 동안 임시 주차 제한이 시행될 것이라고 발표했습니다.")</f>
        <v>The city council announced that temporary parking restrictions will be in place during the music festival to ensure public safety.
시의회는 공공 안전을 보장하기 위해 음악 축제 기간 동안 임시 주차 제한이 시행될 것이라고 발표했습니다.</v>
      </c>
      <c r="F923" s="16" t="s">
        <v>6384</v>
      </c>
      <c r="G923" s="16">
        <v>1</v>
      </c>
    </row>
    <row r="924" spans="1:7" ht="51">
      <c r="A924" s="15"/>
      <c r="B924" s="16">
        <v>923</v>
      </c>
      <c r="C924" s="16" t="s">
        <v>6385</v>
      </c>
      <c r="D924" s="16" t="s">
        <v>7412</v>
      </c>
      <c r="E924" s="16" t="str">
        <f ca="1">IFERROR(__xludf.DUMMYFUNCTION("AI(""c컬럼의 단어를 활용해서 적절한 예문을 만들어줘. 한글 해석은 줄띄움 후에 작성해줘"")"),"Participating in community service projects can help individuals develop valuable skills and strengthen local connections.
지역 사회 봉사 프로젝트에 참여하는 것은 개인들이 가중한 기술을 개발하고 지역 사회의 유대를 강화하는 데 도움을 줄 수 있습니다.")</f>
        <v>Participating in community service projects can help individuals develop valuable skills and strengthen local connections.
지역 사회 봉사 프로젝트에 참여하는 것은 개인들이 가중한 기술을 개발하고 지역 사회의 유대를 강화하는 데 도움을 줄 수 있습니다.</v>
      </c>
      <c r="F924" s="16" t="s">
        <v>6386</v>
      </c>
      <c r="G924" s="16">
        <v>1</v>
      </c>
    </row>
    <row r="925" spans="1:7" ht="38.25">
      <c r="A925" s="15"/>
      <c r="B925" s="16">
        <v>924</v>
      </c>
      <c r="C925" s="16" t="s">
        <v>6387</v>
      </c>
      <c r="D925" s="16" t="s">
        <v>7413</v>
      </c>
      <c r="E925" s="16" t="str">
        <f ca="1">IFERROR(__xludf.DUMMYFUNCTION("AI(""c컬럼의 단어를 활용해서 적절한 예문을 만들어줘. 한글 해석은 줄띄움 후에 작성해줘"")"),"Just make sure to periodically check your software update settings to ensure your system remains secure and up to date.
시스템을 안전하고 최신 상태로 유지하기 위해 소프트웨어 업데이트 설정을 주기적으로 확인하십시오.")</f>
        <v>Just make sure to periodically check your software update settings to ensure your system remains secure and up to date.
시스템을 안전하고 최신 상태로 유지하기 위해 소프트웨어 업데이트 설정을 주기적으로 확인하십시오.</v>
      </c>
      <c r="F925" s="16" t="s">
        <v>6388</v>
      </c>
      <c r="G925" s="16">
        <v>1</v>
      </c>
    </row>
    <row r="926" spans="1:7" ht="25.5">
      <c r="A926" s="15"/>
      <c r="B926" s="16">
        <v>925</v>
      </c>
      <c r="C926" s="16" t="s">
        <v>6389</v>
      </c>
      <c r="D926" s="16" t="s">
        <v>7013</v>
      </c>
      <c r="E926" s="16" t="str">
        <f ca="1">IFERROR(__xludf.DUMMYFUNCTION("AI(""c컬럼의 단어를 활용해서 적절한 예문을 만들어줘. 한글 해석은 줄띄움 후에 작성해줘"")"),"Arthur Miller is widely regarded as one of the greatest American playwrights of the 20th century.
아서 밀러는 20세기 가장 위대한 미국의 극작가 중 한 명으로 널리 간주됩니다.")</f>
        <v>Arthur Miller is widely regarded as one of the greatest American playwrights of the 20th century.
아서 밀러는 20세기 가장 위대한 미국의 극작가 중 한 명으로 널리 간주됩니다.</v>
      </c>
      <c r="F926" s="16" t="s">
        <v>6390</v>
      </c>
      <c r="G926" s="16">
        <v>1</v>
      </c>
    </row>
    <row r="927" spans="1:7" ht="38.25">
      <c r="A927" s="15"/>
      <c r="B927" s="16">
        <v>926</v>
      </c>
      <c r="C927" s="16" t="s">
        <v>6391</v>
      </c>
      <c r="D927" s="16" t="s">
        <v>7414</v>
      </c>
      <c r="E927" s="16" t="str">
        <f ca="1">IFERROR(__xludf.DUMMYFUNCTION("AI(""c컬럼의 단어를 활용해서 적절한 예문을 만들어줘. 한글 해석은 줄띄움 후에 작성해줘"")"),"The rapid population growth in major cities often leads to significant challenges such as housing shortages and infrastructure strain.
주요 도시의 급격한 인구 증가는 종종 주택 부족 및 인프라 압박과 같은 중대한 문제로 이어집니다.")</f>
        <v>The rapid population growth in major cities often leads to significant challenges such as housing shortages and infrastructure strain.
주요 도시의 급격한 인구 증가는 종종 주택 부족 및 인프라 압박과 같은 중대한 문제로 이어집니다.</v>
      </c>
      <c r="F927" s="16" t="s">
        <v>6392</v>
      </c>
      <c r="G927" s="16">
        <v>1</v>
      </c>
    </row>
    <row r="928" spans="1:7" ht="51">
      <c r="A928" s="15"/>
      <c r="B928" s="16">
        <v>927</v>
      </c>
      <c r="C928" s="16" t="s">
        <v>6393</v>
      </c>
      <c r="D928" s="16" t="s">
        <v>7415</v>
      </c>
      <c r="E928" s="16" t="str">
        <f ca="1">IFERROR(__xludf.DUMMYFUNCTION("AI(""c컬럼의 단어를 활용해서 적절한 예문을 만들어줘. 한글 해석은 줄띄움 후에 작성해줘"")"),"The marketing team spent weeks designing promotional materials to attract more attendees to the trade show booth.
마케팅 팀은 무역 박람회 부스에 더 많은 참가자를 유인하기 위해 홍보용 자료를 디자인하는 데 수주를 보냈습니다.")</f>
        <v>The marketing team spent weeks designing promotional materials to attract more attendees to the trade show booth.
마케팅 팀은 무역 박람회 부스에 더 많은 참가자를 유인하기 위해 홍보용 자료를 디자인하는 데 수주를 보냈습니다.</v>
      </c>
      <c r="F928" s="16" t="s">
        <v>6394</v>
      </c>
      <c r="G928" s="16">
        <v>1</v>
      </c>
    </row>
    <row r="929" spans="1:7" ht="38.25">
      <c r="A929" s="15"/>
      <c r="B929" s="16">
        <v>928</v>
      </c>
      <c r="C929" s="16" t="s">
        <v>6395</v>
      </c>
      <c r="D929" s="16" t="s">
        <v>7416</v>
      </c>
      <c r="E929" s="16" t="str">
        <f ca="1">IFERROR(__xludf.DUMMYFUNCTION("AI(""c컬럼의 단어를 활용해서 적절한 예문을 만들어줘. 한글 해석은 줄띄움 후에 작성해줘"")"),"Property investment remains one of the most effective ways to build long-term wealth and financial security.
부동산 투자는 장기적인 부와 재정적 안정을 쌓는 가장 효과적인 방법 중 하나로 남아 있습니다.")</f>
        <v>Property investment remains one of the most effective ways to build long-term wealth and financial security.
부동산 투자는 장기적인 부와 재정적 안정을 쌓는 가장 효과적인 방법 중 하나로 남아 있습니다.</v>
      </c>
      <c r="F929" s="16" t="s">
        <v>6396</v>
      </c>
      <c r="G929" s="16">
        <v>1</v>
      </c>
    </row>
    <row r="930" spans="1:7" ht="51">
      <c r="A930" s="15"/>
      <c r="B930" s="16">
        <v>929</v>
      </c>
      <c r="C930" s="16" t="s">
        <v>6397</v>
      </c>
      <c r="D930" s="16" t="s">
        <v>7417</v>
      </c>
      <c r="E930" s="16" t="str">
        <f ca="1">IFERROR(__xludf.DUMMYFUNCTION("AI(""c컬럼의 단어를 활용해서 적절한 예문을 만들어줘. 한글 해석은 줄띄움 후에 작성해줘"")"),"Living under constant surveillance can have significant psychological effects on an individual's sense of privacy and freedom.
지속적인 감시 하에 사는 것은 개인의 사생활과 자유에 대한 인식에 상당한 심리적인 영향을 미칠 수 있습니다.")</f>
        <v>Living under constant surveillance can have significant psychological effects on an individual's sense of privacy and freedom.
지속적인 감시 하에 사는 것은 개인의 사생활과 자유에 대한 인식에 상당한 심리적인 영향을 미칠 수 있습니다.</v>
      </c>
      <c r="F930" s="16" t="s">
        <v>6398</v>
      </c>
      <c r="G930" s="16">
        <v>1</v>
      </c>
    </row>
    <row r="931" spans="1:7" ht="25.5">
      <c r="A931" s="15"/>
      <c r="B931" s="16">
        <v>930</v>
      </c>
      <c r="C931" s="16" t="s">
        <v>6399</v>
      </c>
      <c r="D931" s="16" t="s">
        <v>7418</v>
      </c>
      <c r="E931" s="16" t="str">
        <f ca="1">IFERROR(__xludf.DUMMYFUNCTION("AI(""c컬럼의 단어를 활용해서 적절한 예문을 만들어줘. 한글 해석은 줄띄움 후에 작성해줘"")"),"The property will be sold at public auction to the highest bidder on the scheduled date.
해당 자산은 정해진 날짜에 공개 경매를 통해 최고가 입찰자에게 매각될 것입니다.")</f>
        <v>The property will be sold at public auction to the highest bidder on the scheduled date.
해당 자산은 정해진 날짜에 공개 경매를 통해 최고가 입찰자에게 매각될 것입니다.</v>
      </c>
      <c r="F931" s="16" t="s">
        <v>6400</v>
      </c>
      <c r="G931" s="16">
        <v>1</v>
      </c>
    </row>
    <row r="932" spans="1:7" ht="51">
      <c r="A932" s="15"/>
      <c r="B932" s="16">
        <v>931</v>
      </c>
      <c r="C932" s="16" t="s">
        <v>3577</v>
      </c>
      <c r="D932" s="16" t="s">
        <v>7419</v>
      </c>
      <c r="E932" s="16" t="str">
        <f ca="1">IFERROR(__xludf.DUMMYFUNCTION("AI(""c컬럼의 단어를 활용해서 적절한 예문을 만들어줘. 한글 해석은 줄띄움 후에 작성해줘"")"),"The peer review process is used to evaluate research papers and journal articles submitted for publication, providing a filter that helps to ensure the quality.
동료 심사 과정은 출판을 위해 제출된 연구 논문과 학술지 기사를 평가하는 데 사용되며, 품질을 보장하는 데 도움이 되는 필터 역할을 합니다.")</f>
        <v>The peer review process is used to evaluate research papers and journal articles submitted for publication, providing a filter that helps to ensure the quality.
동료 심사 과정은 출판을 위해 제출된 연구 논문과 학술지 기사를 평가하는 데 사용되며, 품질을 보장하는 데 도움이 되는 필터 역할을 합니다.</v>
      </c>
      <c r="F932" s="16" t="s">
        <v>6401</v>
      </c>
      <c r="G932" s="16">
        <v>1</v>
      </c>
    </row>
    <row r="933" spans="1:7" ht="25.5">
      <c r="A933" s="15"/>
      <c r="B933" s="16">
        <v>932</v>
      </c>
      <c r="C933" s="16" t="s">
        <v>6402</v>
      </c>
      <c r="D933" s="16" t="s">
        <v>7420</v>
      </c>
      <c r="E933" s="16" t="str">
        <f ca="1">IFERROR(__xludf.DUMMYFUNCTION("AI(""c컬럼의 단어를 활용해서 적절한 예문을 만들어줘. 한글 해석은 줄띄움 후에 작성해줘"")"),"If you want to sell your property, should you renovate your home before putting it up for sale?
만약 자신의 부동산을 팔고 싶다면, 매물로 내놓기 전에 집을 개조해야 할까요?")</f>
        <v>If you want to sell your property, should you renovate your home before putting it up for sale?
만약 자신의 부동산을 팔고 싶다면, 매물로 내놓기 전에 집을 개조해야 할까요?</v>
      </c>
      <c r="F933" s="16" t="s">
        <v>6403</v>
      </c>
      <c r="G933" s="16">
        <v>1</v>
      </c>
    </row>
    <row r="934" spans="1:7" ht="38.25">
      <c r="A934" s="15"/>
      <c r="B934" s="16">
        <v>933</v>
      </c>
      <c r="C934" s="16" t="s">
        <v>6404</v>
      </c>
      <c r="D934" s="16" t="s">
        <v>7421</v>
      </c>
      <c r="E934" s="16" t="str">
        <f ca="1">IFERROR(__xludf.DUMMYFUNCTION("AI(""c컬럼의 단어를 활용해서 적절한 예문을 만들어줘. 한글 해석은 줄띄움 후에 작성해줘"")"),"Using a quick-charging device allows you to significantly reduce the time needed to fully power your smartphone.
급속 충전 기기를 사용하면 스마트폰을 완충하는 데 필요한 시간을 크게 줄일 수 있습니다.")</f>
        <v>Using a quick-charging device allows you to significantly reduce the time needed to fully power your smartphone.
급속 충전 기기를 사용하면 스마트폰을 완충하는 데 필요한 시간을 크게 줄일 수 있습니다.</v>
      </c>
      <c r="F934" s="16" t="s">
        <v>6405</v>
      </c>
      <c r="G934" s="16">
        <v>1</v>
      </c>
    </row>
    <row r="935" spans="1:7" ht="25.5">
      <c r="A935" s="15"/>
      <c r="B935" s="16">
        <v>934</v>
      </c>
      <c r="C935" s="16" t="s">
        <v>6406</v>
      </c>
      <c r="D935" s="16" t="s">
        <v>7422</v>
      </c>
      <c r="E935" s="16" t="str">
        <f ca="1">IFERROR(__xludf.DUMMYFUNCTION("AI(""c컬럼의 단어를 활용해서 적절한 예문을 만들어줘. 한글 해석은 줄띄움 후에 작성해줘"")"),"Nonprofits use various events as a means of raising funds to fuel their missions.
비영리 단체들은 그들의 임무를 추진하기 위한 자금을 모으는 수단으로 다양한 행사들을 활용합니다.")</f>
        <v>Nonprofits use various events as a means of raising funds to fuel their missions.
비영리 단체들은 그들의 임무를 추진하기 위한 자금을 모으는 수단으로 다양한 행사들을 활용합니다.</v>
      </c>
      <c r="F935" s="16" t="s">
        <v>6407</v>
      </c>
      <c r="G935" s="16">
        <v>1</v>
      </c>
    </row>
    <row r="936" spans="1:7" ht="25.5">
      <c r="A936" s="15"/>
      <c r="B936" s="16">
        <v>935</v>
      </c>
      <c r="C936" s="16" t="s">
        <v>3670</v>
      </c>
      <c r="D936" s="16" t="s">
        <v>7423</v>
      </c>
      <c r="E936" s="16" t="str">
        <f ca="1">IFERROR(__xludf.DUMMYFUNCTION("AI(""c컬럼의 단어를 활용해서 적절한 예문을 만들어줘. 한글 해석은 줄띄움 후에 작성해줘"")"),"The central bank is considering raising interest rates to control inflation during the economic recession.
중앙은행은 경제 침체기 동안 인플레이션을 조절하기 위해 금리 인상을 고려하고 있습니다.")</f>
        <v>The central bank is considering raising interest rates to control inflation during the economic recession.
중앙은행은 경제 침체기 동안 인플레이션을 조절하기 위해 금리 인상을 고려하고 있습니다.</v>
      </c>
      <c r="F936" s="16" t="s">
        <v>6408</v>
      </c>
      <c r="G936" s="16">
        <v>1</v>
      </c>
    </row>
    <row r="937" spans="1:7" ht="51">
      <c r="A937" s="15"/>
      <c r="B937" s="16">
        <v>936</v>
      </c>
      <c r="C937" s="16" t="s">
        <v>5962</v>
      </c>
      <c r="D937" s="16" t="s">
        <v>7424</v>
      </c>
      <c r="E937" s="16" t="str">
        <f ca="1">IFERROR(__xludf.DUMMYFUNCTION("AI(""c컬럼의 단어를 활용해서 적절한 예문을 만들어줘. 한글 해석은 줄띄움 후에 작성해줘"")"),"Customers earn points for every purchase they make, and these points can be redeemed for various rewards, such as discounts or free products.
고객은 구매할 때마다 포인트를 적립하며, 이 포인트는 할인이나 무료 제품과 같은 다양한 보상으로 교환하여 사용할 수 있습니다.")</f>
        <v>Customers earn points for every purchase they make, and these points can be redeemed for various rewards, such as discounts or free products.
고객은 구매할 때마다 포인트를 적립하며, 이 포인트는 할인이나 무료 제품과 같은 다양한 보상으로 교환하여 사용할 수 있습니다.</v>
      </c>
      <c r="F937" s="16" t="s">
        <v>6409</v>
      </c>
      <c r="G937" s="16">
        <v>1</v>
      </c>
    </row>
    <row r="938" spans="1:7" ht="38.25">
      <c r="A938" s="15"/>
      <c r="B938" s="16">
        <v>937</v>
      </c>
      <c r="C938" s="16" t="s">
        <v>6410</v>
      </c>
      <c r="D938" s="16" t="s">
        <v>7425</v>
      </c>
      <c r="E938" s="16" t="str">
        <f ca="1">IFERROR(__xludf.DUMMYFUNCTION("AI(""c컬럼의 단어를 활용해서 적절한 예문을 만들어줘. 한글 해석은 줄띄움 후에 작성해줘"")"),"The Philippines officially regained its independence on July 4, 1946, after more than 350 years of foreign rule.
필리핀은 350년 넘게 이어진 외국의 통치 끝에 1946년 7월 4일 공식적으로 독립을 되찾았습니다.")</f>
        <v>The Philippines officially regained its independence on July 4, 1946, after more than 350 years of foreign rule.
필리핀은 350년 넘게 이어진 외국의 통치 끝에 1946년 7월 4일 공식적으로 독립을 되찾았습니다.</v>
      </c>
      <c r="F938" s="16" t="s">
        <v>6411</v>
      </c>
      <c r="G938" s="16">
        <v>1</v>
      </c>
    </row>
    <row r="939" spans="1:7" ht="25.5">
      <c r="A939" s="15"/>
      <c r="B939" s="16">
        <v>938</v>
      </c>
      <c r="C939" s="16" t="s">
        <v>6412</v>
      </c>
      <c r="D939" s="16" t="s">
        <v>7426</v>
      </c>
      <c r="E939" s="16" t="str">
        <f ca="1">IFERROR(__xludf.DUMMYFUNCTION("AI(""c컬럼의 단어를 활용해서 적절한 예문을 만들어줘. 한글 해석은 줄띄움 후에 작성해줘"")"),"Voters must register for the primary election by the deadline to be eligible to vote.
유권자들은 투표권을 갖기 위해 마감일까지 예비 선거에 등록해야 합니다.")</f>
        <v>Voters must register for the primary election by the deadline to be eligible to vote.
유권자들은 투표권을 갖기 위해 마감일까지 예비 선거에 등록해야 합니다.</v>
      </c>
      <c r="F939" s="16" t="s">
        <v>6413</v>
      </c>
      <c r="G939" s="16">
        <v>1</v>
      </c>
    </row>
    <row r="940" spans="1:7" ht="25.5">
      <c r="A940" s="15"/>
      <c r="B940" s="16">
        <v>939</v>
      </c>
      <c r="C940" s="16" t="s">
        <v>6414</v>
      </c>
      <c r="D940" s="16" t="s">
        <v>7427</v>
      </c>
      <c r="E940" s="16" t="str">
        <f ca="1">IFERROR(__xludf.DUMMYFUNCTION("AI(""c컬럼의 단어를 활용해서 적절한 예문을 만들어줘. 한글 해석은 줄띄움 후에 작성해줘"")"),"She reluctantly accepted the new assignment even though she was already overwhelmed with work.
그녀는 이미 업무가 산더미처럼 쌓여 있었음에도 불구하고 마지못해 새로운 과업을 수락했습니다.")</f>
        <v>She reluctantly accepted the new assignment even though she was already overwhelmed with work.
그녀는 이미 업무가 산더미처럼 쌓여 있었음에도 불구하고 마지못해 새로운 과업을 수락했습니다.</v>
      </c>
      <c r="F940" s="16" t="s">
        <v>6415</v>
      </c>
      <c r="G940" s="16">
        <v>1</v>
      </c>
    </row>
    <row r="941" spans="1:7" ht="51">
      <c r="A941" s="15"/>
      <c r="B941" s="16">
        <v>940</v>
      </c>
      <c r="C941" s="16" t="s">
        <v>6416</v>
      </c>
      <c r="D941" s="16" t="s">
        <v>7428</v>
      </c>
      <c r="E941" s="16" t="str">
        <f ca="1">IFERROR(__xludf.DUMMYFUNCTION("AI(""c컬럼의 단어를 활용해서 적절한 예문을 만들어줘. 한글 해석은 줄띄움 후에 작성해줘"")"),"After his narrow defeat in the final round, the boxing champion said he craved a rematch to prove he was still the best.
결승전에서 아쉽게 패배한 후, 그 권투 챔피언은 자신이 여전히 최고임을 증명하기 위해 재대결을 갈망한다고 말했습니다.")</f>
        <v>After his narrow defeat in the final round, the boxing champion said he craved a rematch to prove he was still the best.
결승전에서 아쉽게 패배한 후, 그 권투 챔피언은 자신이 여전히 최고임을 증명하기 위해 재대결을 갈망한다고 말했습니다.</v>
      </c>
      <c r="F941" s="16" t="s">
        <v>6417</v>
      </c>
      <c r="G941" s="16">
        <v>1</v>
      </c>
    </row>
    <row r="942" spans="1:7" ht="51">
      <c r="A942" s="15"/>
      <c r="B942" s="16">
        <v>941</v>
      </c>
      <c r="C942" s="16" t="s">
        <v>6418</v>
      </c>
      <c r="D942" s="16" t="s">
        <v>7429</v>
      </c>
      <c r="E942" s="16" t="str">
        <f ca="1">IFERROR(__xludf.DUMMYFUNCTION("AI(""c컬럼의 단어를 활용해서 적절한 예문을 만들어줘. 한글 해석은 줄띄움 후에 작성해줘"")"),"Drones equipped with high-resolution cameras can access hard-to-reach areas and assess the condition of facilities remotely.
고해상도 카메라를 장착한 드론은 접근하기 어려운 지역에 접근하여 시설의 상태를 원격으로 평가할 수 있습니다.")</f>
        <v>Drones equipped with high-resolution cameras can access hard-to-reach areas and assess the condition of facilities remotely.
고해상도 카메라를 장착한 드론은 접근하기 어려운 지역에 접근하여 시설의 상태를 원격으로 평가할 수 있습니다.</v>
      </c>
      <c r="F942" s="16" t="s">
        <v>6419</v>
      </c>
      <c r="G942" s="16">
        <v>1</v>
      </c>
    </row>
    <row r="943" spans="1:7" ht="51">
      <c r="A943" s="15"/>
      <c r="B943" s="16">
        <v>942</v>
      </c>
      <c r="C943" s="16" t="s">
        <v>6420</v>
      </c>
      <c r="D943" s="16" t="s">
        <v>7430</v>
      </c>
      <c r="E943" s="16" t="str">
        <f ca="1">IFERROR(__xludf.DUMMYFUNCTION("AI(""c컬럼의 단어를 활용해서 적절한 예문을 만들어줘. 한글 해석은 줄띄움 후에 작성해줘"")"),"It is imperative that you take responsibility for your actions and maintain a high level of personal accountability even in the face of failure.
자신의 행동에 책임을 지고 실패에 직면하더라도 높은 수준의 개인적 책임감을 유지하는 것이 필수적입니다.")</f>
        <v>It is imperative that you take responsibility for your actions and maintain a high level of personal accountability even in the face of failure.
자신의 행동에 책임을 지고 실패에 직면하더라도 높은 수준의 개인적 책임감을 유지하는 것이 필수적입니다.</v>
      </c>
      <c r="F943" s="16" t="s">
        <v>6421</v>
      </c>
      <c r="G943" s="16">
        <v>1</v>
      </c>
    </row>
    <row r="944" spans="1:7" ht="38.25">
      <c r="A944" s="15"/>
      <c r="B944" s="16">
        <v>943</v>
      </c>
      <c r="C944" s="16" t="s">
        <v>6422</v>
      </c>
      <c r="D944" s="16" t="s">
        <v>7431</v>
      </c>
      <c r="E944" s="16" t="str">
        <f ca="1">IFERROR(__xludf.DUMMYFUNCTION("AI(""c컬럼의 단어를 활용해서 적절한 예문을 만들어줘. 한글 해석은 줄띄움 후에 작성해줘"")"),"The city council approved the necessary funds to resume renovations on the main library branch next year.
시 의회는 내년에 중앙 도서관 분관의 개보수를 재개하는 데 필요한 자금을 승인했습니다.")</f>
        <v>The city council approved the necessary funds to resume renovations on the main library branch next year.
시 의회는 내년에 중앙 도서관 분관의 개보수를 재개하는 데 필요한 자금을 승인했습니다.</v>
      </c>
      <c r="F944" s="16" t="s">
        <v>6423</v>
      </c>
      <c r="G944" s="16">
        <v>1</v>
      </c>
    </row>
    <row r="945" spans="1:7" ht="25.5">
      <c r="A945" s="15"/>
      <c r="B945" s="16">
        <v>944</v>
      </c>
      <c r="C945" s="16" t="s">
        <v>6424</v>
      </c>
      <c r="D945" s="16" t="s">
        <v>7432</v>
      </c>
      <c r="E945" s="16" t="str">
        <f ca="1">IFERROR(__xludf.DUMMYFUNCTION("AI(""c컬럼의 단어를 활용해서 적절한 예문을 만들어줘. 한글 해석은 줄띄움 후에 작성해줘"")"),"The following is a list of some of the things you can do to fund a comfortable retirement.
편안한 노후를 위한 자금을 마련하기 위해 당신이 할 수 있는 몇 가지 방법들이 여기 있습니다.")</f>
        <v>The following is a list of some of the things you can do to fund a comfortable retirement.
편안한 노후를 위한 자금을 마련하기 위해 당신이 할 수 있는 몇 가지 방법들이 여기 있습니다.</v>
      </c>
      <c r="F945" s="16" t="s">
        <v>6425</v>
      </c>
      <c r="G945" s="16">
        <v>1</v>
      </c>
    </row>
    <row r="946" spans="1:7" ht="25.5">
      <c r="A946" s="15"/>
      <c r="B946" s="16">
        <v>945</v>
      </c>
      <c r="C946" s="16" t="s">
        <v>6426</v>
      </c>
      <c r="D946" s="16" t="s">
        <v>7433</v>
      </c>
      <c r="E946" s="16" t="str">
        <f ca="1">IFERROR(__xludf.DUMMYFUNCTION("AI(""c컬럼의 단어를 활용해서 적절한 예문을 만들어줘. 한글 해석은 줄띄움 후에 작성해줘"")"),"Developing self-control is essential to resist immediate temptations and achieve long-term goals.
자제력을 기르는 것은 즉각적인 유혹에 저항하고 장기적인 목표를 달성하는 데 필수적입니다.")</f>
        <v>Developing self-control is essential to resist immediate temptations and achieve long-term goals.
자제력을 기르는 것은 즉각적인 유혹에 저항하고 장기적인 목표를 달성하는 데 필수적입니다.</v>
      </c>
      <c r="F946" s="16" t="s">
        <v>6427</v>
      </c>
      <c r="G946" s="16">
        <v>1</v>
      </c>
    </row>
    <row r="947" spans="1:7" ht="51">
      <c r="A947" s="15"/>
      <c r="B947" s="16">
        <v>946</v>
      </c>
      <c r="C947" s="16" t="s">
        <v>6428</v>
      </c>
      <c r="D947" s="16" t="s">
        <v>7434</v>
      </c>
      <c r="E947" s="16" t="str">
        <f ca="1">IFERROR(__xludf.DUMMYFUNCTION("AI(""c컬럼의 단어를 활용해서 적절한 예문을 만들어줘. 한글 해석은 줄띄움 후에 작성해줘"")"),"Local artists designed most of the Renaissance buildings constructed outside Italy in the sixteenth century.
16세기에 이탈리아 외부에서 지어진 대부분의 르네상스 건물들은 현지 예술가들에 의해 설계되었습니다.")</f>
        <v>Local artists designed most of the Renaissance buildings constructed outside Italy in the sixteenth century.
16세기에 이탈리아 외부에서 지어진 대부분의 르네상스 건물들은 현지 예술가들에 의해 설계되었습니다.</v>
      </c>
      <c r="F947" s="16" t="s">
        <v>6429</v>
      </c>
      <c r="G947" s="16">
        <v>1</v>
      </c>
    </row>
    <row r="948" spans="1:7" ht="25.5">
      <c r="A948" s="15"/>
      <c r="B948" s="16">
        <v>947</v>
      </c>
      <c r="C948" s="16" t="s">
        <v>6430</v>
      </c>
      <c r="D948" s="16" t="s">
        <v>7435</v>
      </c>
      <c r="E948" s="16" t="str">
        <f ca="1">IFERROR(__xludf.DUMMYFUNCTION("AI(""c컬럼의 단어를 활용해서 적절한 예문을 만들어줘. 한글 해석은 줄띄움 후에 작성해줘"")"),"I'm sorry, I completely forgot about our meeting; it totally slipped my mind.
죄송해요, 우리 회의를 완전히 잊고 있었어요. 제 머릿속에서 완전히 사라졌었나 봐요.")</f>
        <v>I'm sorry, I completely forgot about our meeting; it totally slipped my mind.
죄송해요, 우리 회의를 완전히 잊고 있었어요. 제 머릿속에서 완전히 사라졌었나 봐요.</v>
      </c>
      <c r="F948" s="16" t="s">
        <v>6431</v>
      </c>
      <c r="G948" s="16">
        <v>1</v>
      </c>
    </row>
    <row r="949" spans="1:7" ht="38.25">
      <c r="A949" s="15"/>
      <c r="B949" s="16">
        <v>948</v>
      </c>
      <c r="C949" s="16" t="s">
        <v>6432</v>
      </c>
      <c r="D949" s="16" t="s">
        <v>7436</v>
      </c>
      <c r="E949" s="16" t="str">
        <f ca="1">IFERROR(__xludf.DUMMYFUNCTION("AI(""c컬럼의 단어를 활용해서 적절한 예문을 만들어줘. 한글 해석은 줄띄움 후에 작성해줘"")"),"The company spokesperson issued a formal statement to the media regarding the upcoming product launch.
회사의 대변인은 다가오는 신제품 출시와 관련하여 언론에 공식 성명을 발표했습니다.")</f>
        <v>The company spokesperson issued a formal statement to the media regarding the upcoming product launch.
회사의 대변인은 다가오는 신제품 출시와 관련하여 언론에 공식 성명을 발표했습니다.</v>
      </c>
      <c r="F949" s="16" t="s">
        <v>6433</v>
      </c>
      <c r="G949" s="16">
        <v>1</v>
      </c>
    </row>
    <row r="950" spans="1:7" ht="51">
      <c r="A950" s="15"/>
      <c r="B950" s="16">
        <v>949</v>
      </c>
      <c r="C950" s="16" t="s">
        <v>6434</v>
      </c>
      <c r="D950" s="16" t="s">
        <v>7437</v>
      </c>
      <c r="E950" s="16" t="str">
        <f ca="1">IFERROR(__xludf.DUMMYFUNCTION("AI(""c컬럼의 단어를 활용해서 적절한 예문을 만들어줘. 한글 해석은 줄띄움 후에 작성해줘"")"),"After serving as the company's CEO for over a decade, she decided to step down from her position to pursue new challenges.
10년 넘게 회사의 CEO로 재직한 후, 그녀는 새로운 도전에 나서기 위해 그 직위에서 물러나기로 결정했습니다.")</f>
        <v>After serving as the company's CEO for over a decade, she decided to step down from her position to pursue new challenges.
10년 넘게 회사의 CEO로 재직한 후, 그녀는 새로운 도전에 나서기 위해 그 직위에서 물러나기로 결정했습니다.</v>
      </c>
      <c r="F950" s="16" t="s">
        <v>6435</v>
      </c>
      <c r="G950" s="16">
        <v>1</v>
      </c>
    </row>
    <row r="951" spans="1:7" ht="51">
      <c r="A951" s="15"/>
      <c r="B951" s="16">
        <v>950</v>
      </c>
      <c r="C951" s="16" t="s">
        <v>6436</v>
      </c>
      <c r="D951" s="16" t="s">
        <v>7438</v>
      </c>
      <c r="E951" s="16" t="str">
        <f ca="1">IFERROR(__xludf.DUMMYFUNCTION("AI(""c컬럼의 단어를 활용해서 적절한 예문을 만들어줘. 한글 해석은 줄띄움 후에 작성해줘"")"),"As streaming platforms aim for profitability, many have decided to increase their monthly subscription fee for ad-free tiers.
스트리밍 플랫폼들이 수익성을 목표로 함에 따라, 많은 플랫폼이 광고 없는 요금제의 월 구독료를 인상하기로 결정했습니다.")</f>
        <v>As streaming platforms aim for profitability, many have decided to increase their monthly subscription fee for ad-free tiers.
스트리밍 플랫폼들이 수익성을 목표로 함에 따라, 많은 플랫폼이 광고 없는 요금제의 월 구독료를 인상하기로 결정했습니다.</v>
      </c>
      <c r="F951" s="16" t="s">
        <v>6437</v>
      </c>
      <c r="G951" s="16">
        <v>1</v>
      </c>
    </row>
    <row r="952" spans="1:7" ht="38.25">
      <c r="A952" s="15"/>
      <c r="B952" s="16">
        <v>951</v>
      </c>
      <c r="C952" s="16" t="s">
        <v>6438</v>
      </c>
      <c r="D952" s="16" t="s">
        <v>7439</v>
      </c>
      <c r="E952" s="16" t="str">
        <f ca="1">IFERROR(__xludf.DUMMYFUNCTION("AI(""c컬럼의 단어를 활용해서 적절한 예문을 만들어줘. 한글 해석은 줄띄움 후에 작성해줘"")"),"Many athletes use various nutritional supplements to enhance their workout performance and support recovery.
많은 운동선수들은 운동 수행 능력을 향상시키고 회복을 돕기 위해 다양한 영양 보충제를 사용합니다.")</f>
        <v>Many athletes use various nutritional supplements to enhance their workout performance and support recovery.
많은 운동선수들은 운동 수행 능력을 향상시키고 회복을 돕기 위해 다양한 영양 보충제를 사용합니다.</v>
      </c>
      <c r="F952" s="16" t="s">
        <v>6439</v>
      </c>
      <c r="G952" s="16">
        <v>1</v>
      </c>
    </row>
    <row r="953" spans="1:7" ht="51">
      <c r="A953" s="15"/>
      <c r="B953" s="16">
        <v>952</v>
      </c>
      <c r="C953" s="16" t="s">
        <v>6440</v>
      </c>
      <c r="D953" s="16" t="s">
        <v>7440</v>
      </c>
      <c r="E953" s="16" t="str">
        <f ca="1">IFERROR(__xludf.DUMMYFUNCTION("AI(""c컬럼의 단어를 활용해서 적절한 예문을 만들어줘. 한글 해석은 줄띄움 후에 작성해줘"")"),"The new project manager should take charge of the software development team to ensure that the project is delivered on time.
새로운 프로젝트 매니저는 프로젝트가 제때 전달될 수 있도록 소프트웨어 개발 팀의 책임을 맡아야 합니다.")</f>
        <v>The new project manager should take charge of the software development team to ensure that the project is delivered on time.
새로운 프로젝트 매니저는 프로젝트가 제때 전달될 수 있도록 소프트웨어 개발 팀의 책임을 맡아야 합니다.</v>
      </c>
      <c r="F953" s="16" t="s">
        <v>6441</v>
      </c>
      <c r="G953" s="16">
        <v>1</v>
      </c>
    </row>
    <row r="954" spans="1:7" ht="25.5">
      <c r="A954" s="15"/>
      <c r="B954" s="16">
        <v>953</v>
      </c>
      <c r="C954" s="16" t="s">
        <v>6442</v>
      </c>
      <c r="D954" s="16" t="s">
        <v>7441</v>
      </c>
      <c r="E954" s="16" t="str">
        <f ca="1">IFERROR(__xludf.DUMMYFUNCTION("AI(""c컬럼의 단어를 활용해서 적절한 예문을 만들어줘. 한글 해석은 줄띄움 후에 작성해줘"")"),"Many students take out a loan to cover the rising costs of tuition and living expenses.
많은 학생이 치솟는 등록금과 생활비를 충당하기 위해 대출을 받습니다.")</f>
        <v>Many students take out a loan to cover the rising costs of tuition and living expenses.
많은 학생이 치솟는 등록금과 생활비를 충당하기 위해 대출을 받습니다.</v>
      </c>
      <c r="F954" s="16" t="s">
        <v>6443</v>
      </c>
      <c r="G954" s="16">
        <v>1</v>
      </c>
    </row>
    <row r="955" spans="1:7" ht="51">
      <c r="A955" s="15"/>
      <c r="B955" s="16">
        <v>954</v>
      </c>
      <c r="C955" s="16" t="s">
        <v>6444</v>
      </c>
      <c r="D955" s="16" t="s">
        <v>7442</v>
      </c>
      <c r="E955" s="16" t="str">
        <f ca="1">IFERROR(__xludf.DUMMYFUNCTION("AI(""c컬럼의 단어를 활용해서 적절한 예문을 만들어줘. 한글 해석은 줄띄움 후에 작성해줘"")"),"The marketing team is conducting extensive market research to better understand the needs and preferences of their target audience.
마케팅 팀은 대상 고객층의 니즈와 선호도를 더 잘 이해하기 위해 광범위한 시장 조사를 수행하고 있습니다.")</f>
        <v>The marketing team is conducting extensive market research to better understand the needs and preferences of their target audience.
마케팅 팀은 대상 고객층의 니즈와 선호도를 더 잘 이해하기 위해 광범위한 시장 조사를 수행하고 있습니다.</v>
      </c>
      <c r="F955" s="16" t="s">
        <v>6445</v>
      </c>
      <c r="G955" s="16">
        <v>1</v>
      </c>
    </row>
    <row r="956" spans="1:7" ht="51">
      <c r="A956" s="15"/>
      <c r="B956" s="16">
        <v>955</v>
      </c>
      <c r="C956" s="16" t="s">
        <v>6446</v>
      </c>
      <c r="D956" s="16" t="s">
        <v>7443</v>
      </c>
      <c r="E956" s="16" t="str">
        <f ca="1">IFERROR(__xludf.DUMMYFUNCTION("AI(""c컬럼의 단어를 활용해서 적절한 예문을 만들어줘. 한글 해석은 줄띄움 후에 작성해줘"")"),"The survey results showed that while most older voters preferred the traditional candidate, the reverse was true for younger voters who favored the newcomer.
설문 조사 결과에 따르면 대부분의 고령 유권자들은 전통적인 후보를 선호한 반면, 신인 후보를 선호하는 젊은 유권자들에게는 그 반대가 사실이었습니다.")</f>
        <v>The survey results showed that while most older voters preferred the traditional candidate, the reverse was true for younger voters who favored the newcomer.
설문 조사 결과에 따르면 대부분의 고령 유권자들은 전통적인 후보를 선호한 반면, 신인 후보를 선호하는 젊은 유권자들에게는 그 반대가 사실이었습니다.</v>
      </c>
      <c r="F956" s="16" t="s">
        <v>6447</v>
      </c>
      <c r="G956" s="16">
        <v>1</v>
      </c>
    </row>
    <row r="957" spans="1:7" ht="25.5">
      <c r="A957" s="15"/>
      <c r="B957" s="16">
        <v>956</v>
      </c>
      <c r="C957" s="16" t="s">
        <v>6448</v>
      </c>
      <c r="D957" s="16" t="s">
        <v>7444</v>
      </c>
      <c r="E957" s="16" t="str">
        <f ca="1">IFERROR(__xludf.DUMMYFUNCTION("AI(""c컬럼의 단어를 활용해서 적절한 예문을 만들어줘. 한글 해석은 줄띄움 후에 작성해줘"")"),"The company has recorded its highest quarterly revenue to date.
그 회사는 지금까지 가장 높은 분기 매출을 기록했습니다.")</f>
        <v>The company has recorded its highest quarterly revenue to date.
그 회사는 지금까지 가장 높은 분기 매출을 기록했습니다.</v>
      </c>
      <c r="F957" s="16" t="s">
        <v>6449</v>
      </c>
      <c r="G957" s="16">
        <v>1</v>
      </c>
    </row>
    <row r="958" spans="1:7" ht="25.5">
      <c r="A958" s="15"/>
      <c r="B958" s="16">
        <v>957</v>
      </c>
      <c r="C958" s="16" t="s">
        <v>6450</v>
      </c>
      <c r="D958" s="16" t="s">
        <v>7445</v>
      </c>
      <c r="E958" s="16" t="str">
        <f ca="1">IFERROR(__xludf.DUMMYFUNCTION("AI(""c컬럼의 단어를 활용해서 적절한 예문을 만들어줘. 한글 해석은 줄띄움 후에 작성해줘"")"),"The company's new product launch at the international trade fair attracted a lot of potential investors.
국제 무역 박람회에서의 회사의 신제품 출시는 많은 잠재적 투자자들의 관심을 끌었습니다.")</f>
        <v>The company's new product launch at the international trade fair attracted a lot of potential investors.
국제 무역 박람회에서의 회사의 신제품 출시는 많은 잠재적 투자자들의 관심을 끌었습니다.</v>
      </c>
      <c r="F958" s="16" t="s">
        <v>6451</v>
      </c>
      <c r="G958" s="16">
        <v>1</v>
      </c>
    </row>
    <row r="959" spans="1:7" ht="63.75">
      <c r="A959" s="15"/>
      <c r="B959" s="16">
        <v>958</v>
      </c>
      <c r="C959" s="16" t="s">
        <v>4347</v>
      </c>
      <c r="D959" s="16" t="s">
        <v>7446</v>
      </c>
      <c r="E959" s="16" t="str">
        <f ca="1">IFERROR(__xludf.DUMMYFUNCTION("AI(""c컬럼의 단어를 활용해서 적절한 예문을 만들어줘. 한글 해석은 줄띄움 후에 작성해줘"")"),"Banks use advanced automated systems to monitor transactions for signs of suspicious activity that could indicate fraud or money laundering.
은행들은 사기나 자금 세탁을 나타낼 수 있는 의심스러운 활동의 징후를 찾기 위해 고급 자동화 시스템을 사용하여 거래를 모니터링합니다.")</f>
        <v>Banks use advanced automated systems to monitor transactions for signs of suspicious activity that could indicate fraud or money laundering.
은행들은 사기나 자금 세탁을 나타낼 수 있는 의심스러운 활동의 징후를 찾기 위해 고급 자동화 시스템을 사용하여 거래를 모니터링합니다.</v>
      </c>
      <c r="F959" s="16" t="s">
        <v>6452</v>
      </c>
      <c r="G959" s="16">
        <v>1</v>
      </c>
    </row>
    <row r="960" spans="1:7" ht="25.5">
      <c r="A960" s="15"/>
      <c r="B960" s="16">
        <v>959</v>
      </c>
      <c r="C960" s="16" t="s">
        <v>6453</v>
      </c>
      <c r="D960" s="16" t="s">
        <v>7447</v>
      </c>
      <c r="E960" s="16" t="str">
        <f ca="1">IFERROR(__xludf.DUMMYFUNCTION("AI(""c컬럼의 단어를 활용해서 적절한 예문을 만들어줘. 한글 해석은 줄띄움 후에 작성해줘"")"),"Always remember your dedication and hard work is the only way to see your dreams turn into reality.
당신의 헌신과 노력이 당신의 꿈을 현실로 만드는 유일한 방법임을 항상 기억하세요.")</f>
        <v>Always remember your dedication and hard work is the only way to see your dreams turn into reality.
당신의 헌신과 노력이 당신의 꿈을 현실로 만드는 유일한 방법임을 항상 기억하세요.</v>
      </c>
      <c r="F960" s="16" t="s">
        <v>6454</v>
      </c>
      <c r="G960" s="16">
        <v>1</v>
      </c>
    </row>
    <row r="961" spans="1:7" ht="25.5">
      <c r="A961" s="15"/>
      <c r="B961" s="16">
        <v>960</v>
      </c>
      <c r="C961" s="16" t="s">
        <v>6455</v>
      </c>
      <c r="D961" s="16" t="s">
        <v>7448</v>
      </c>
      <c r="E961" s="16" t="str">
        <f ca="1">IFERROR(__xludf.DUMMYFUNCTION("AI(""c컬럼의 단어를 활용해서 적절한 예문을 만들어줘. 한글 해석은 줄띄움 후에 작성해줘"")"),"Before turning to surgery, many patients seek non-surgical alternatives to treat chronic pain.
수술에 의존하기 전에, 많은 환자들이 만성 통증을 치료하기 위해 비수술적 대안을 찾습니다.")</f>
        <v>Before turning to surgery, many patients seek non-surgical alternatives to treat chronic pain.
수술에 의존하기 전에, 많은 환자들이 만성 통증을 치료하기 위해 비수술적 대안을 찾습니다.</v>
      </c>
      <c r="F961" s="16" t="s">
        <v>6456</v>
      </c>
      <c r="G961" s="16">
        <v>1</v>
      </c>
    </row>
    <row r="962" spans="1:7" ht="25.5">
      <c r="A962" s="15"/>
      <c r="B962" s="16">
        <v>961</v>
      </c>
      <c r="C962" s="16" t="s">
        <v>6457</v>
      </c>
      <c r="D962" s="16" t="s">
        <v>7449</v>
      </c>
      <c r="E962" s="16" t="str">
        <f ca="1">IFERROR(__xludf.DUMMYFUNCTION("AI(""c컬럼의 단어를 활용해서 적절한 예문을 만들어줘. 한글 해석은 줄띄움 후에 작성해줘"")"),"Invasive plants can spread quickly and damage ecosystems if uncontrolled.
통제되지 않는다면, 침입 식물들은 빠르게 퍼져 생태계를 훼손할 수 있습니다.")</f>
        <v>Invasive plants can spread quickly and damage ecosystems if uncontrolled.
통제되지 않는다면, 침입 식물들은 빠르게 퍼져 생태계를 훼손할 수 있습니다.</v>
      </c>
      <c r="F962" s="16" t="s">
        <v>6458</v>
      </c>
      <c r="G962" s="16">
        <v>1</v>
      </c>
    </row>
    <row r="963" spans="1:7" ht="51">
      <c r="A963" s="15"/>
      <c r="B963" s="16">
        <v>962</v>
      </c>
      <c r="C963" s="16" t="s">
        <v>6459</v>
      </c>
      <c r="D963" s="16" t="s">
        <v>7450</v>
      </c>
      <c r="E963" s="16" t="str">
        <f ca="1">IFERROR(__xludf.DUMMYFUNCTION("AI(""c컬럼의 단어를 활용해서 적절한 예문을 만들어줘. 한글 해석은 줄띄움 후에 작성해줘"")"),"Proponents believe that uniform policies create a sense of unity and equality among students by removing visible markers of social status.
지지자들은 유니폼 정책이 비싼 옷과 같은 사회적 지위의 가시적인 표시를 제거함으로써 학생들 사이에 통일감과 평등을 조성한다고 믿습니다.")</f>
        <v>Proponents believe that uniform policies create a sense of unity and equality among students by removing visible markers of social status.
지지자들은 유니폼 정책이 비싼 옷과 같은 사회적 지위의 가시적인 표시를 제거함으로써 학생들 사이에 통일감과 평등을 조성한다고 믿습니다.</v>
      </c>
      <c r="F963" s="16" t="s">
        <v>6460</v>
      </c>
      <c r="G963" s="16">
        <v>1</v>
      </c>
    </row>
    <row r="964" spans="1:7" ht="25.5">
      <c r="A964" s="15"/>
      <c r="B964" s="16">
        <v>963</v>
      </c>
      <c r="C964" s="16" t="s">
        <v>6461</v>
      </c>
      <c r="D964" s="16" t="s">
        <v>7451</v>
      </c>
      <c r="E964" s="16" t="str">
        <f ca="1">IFERROR(__xludf.DUMMYFUNCTION("AI(""c컬럼의 단어를 활용해서 적절한 예문을 만들어줘. 한글 해석은 줄띄움 후에 작성해줘"")"),"The city is implementing a new campaign to help residents reduce their daily waste output.
그 도시는 주민들이 일일 폐기물 배출량을 줄이도록 돕기 위한 새로운 캠페인을 시행하고 있습니다.")</f>
        <v>The city is implementing a new campaign to help residents reduce their daily waste output.
그 도시는 주민들이 일일 폐기물 배출량을 줄이도록 돕기 위한 새로운 캠페인을 시행하고 있습니다.</v>
      </c>
      <c r="F964" s="16" t="s">
        <v>6462</v>
      </c>
      <c r="G964" s="16">
        <v>1</v>
      </c>
    </row>
    <row r="965" spans="1:7" ht="38.25">
      <c r="A965" s="15"/>
      <c r="B965" s="16">
        <v>964</v>
      </c>
      <c r="C965" s="16" t="s">
        <v>6463</v>
      </c>
      <c r="D965" s="16" t="s">
        <v>7452</v>
      </c>
      <c r="E965" s="16" t="str">
        <f ca="1">IFERROR(__xludf.DUMMYFUNCTION("AI(""c컬럼의 단어를 활용해서 적절한 예문을 만들어줘. 한글 해석은 줄띄움 후에 작성해줘"")"),"The injured bald eagle was transported to the local wildlife center for intensive medical treatment and rehabilitation.
부상당한 독수리는 집중적인 치료와 재활을 위해 지역 야생동물 센터로 이송되었습니다.")</f>
        <v>The injured bald eagle was transported to the local wildlife center for intensive medical treatment and rehabilitation.
부상당한 독수리는 집중적인 치료와 재활을 위해 지역 야생동물 센터로 이송되었습니다.</v>
      </c>
      <c r="F965" s="16" t="s">
        <v>6464</v>
      </c>
      <c r="G965" s="16">
        <v>1</v>
      </c>
    </row>
    <row r="966" spans="1:7" ht="38.25">
      <c r="A966" s="15"/>
      <c r="B966" s="16">
        <v>965</v>
      </c>
      <c r="C966" s="16" t="s">
        <v>6465</v>
      </c>
      <c r="D966" s="16" t="s">
        <v>7453</v>
      </c>
      <c r="E966" s="16" t="str">
        <f ca="1">IFERROR(__xludf.DUMMYFUNCTION("AI(""c컬럼의 단어를 활용해서 적절한 예문을 만들어줘. 한글 해석은 줄띄움 후에 작성해줘"")"),"Maintaining a healthy work-life balance is essential for long-term career success and personal well-being.
건강한 일과 삶의 균형을 유지하는 것은 장기적인 직업적 성공과 개인의 웰빙에 필수적입니다.")</f>
        <v>Maintaining a healthy work-life balance is essential for long-term career success and personal well-being.
건강한 일과 삶의 균형을 유지하는 것은 장기적인 직업적 성공과 개인의 웰빙에 필수적입니다.</v>
      </c>
      <c r="F966" s="16" t="s">
        <v>6466</v>
      </c>
      <c r="G966" s="16">
        <v>1</v>
      </c>
    </row>
    <row r="967" spans="1:7" ht="51">
      <c r="A967" s="15"/>
      <c r="B967" s="16">
        <v>966</v>
      </c>
      <c r="C967" s="16" t="s">
        <v>6467</v>
      </c>
      <c r="D967" s="16" t="s">
        <v>7454</v>
      </c>
      <c r="E967" s="16" t="str">
        <f ca="1">IFERROR(__xludf.DUMMYFUNCTION("AI(""c컬럼의 단어를 활용해서 적절한 예문을 만들어줘. 한글 해석은 줄띄움 후에 작성해줘"")"),"The challenge for any business is to be able to find ways to continuously exceed the customers' expectations in a unique manner, often called the wow factor.
어느 기업에게나 주어진 과제는 독특한 방식으로 고객의 기대를 지속적으로 뛰어넘는 방법을 찾는 것이며, 이는 종종 와우 팩터(강한 인상)라고 불립니다.")</f>
        <v>The challenge for any business is to be able to find ways to continuously exceed the customers' expectations in a unique manner, often called the wow factor.
어느 기업에게나 주어진 과제는 독특한 방식으로 고객의 기대를 지속적으로 뛰어넘는 방법을 찾는 것이며, 이는 종종 와우 팩터(강한 인상)라고 불립니다.</v>
      </c>
      <c r="F967" s="16" t="s">
        <v>6468</v>
      </c>
      <c r="G967" s="16">
        <v>1</v>
      </c>
    </row>
    <row r="968" spans="1:7" ht="25.5">
      <c r="A968" s="15"/>
      <c r="B968" s="16">
        <v>967</v>
      </c>
      <c r="C968" s="16" t="s">
        <v>6469</v>
      </c>
      <c r="D968" s="16" t="s">
        <v>7455</v>
      </c>
      <c r="E968" s="16" t="str">
        <f ca="1">IFERROR(__xludf.DUMMYFUNCTION("AI(""c컬럼의 단어를 활용해서 적절한 예문을 만들어줘. 한글 해석은 줄띄움 후에 작성해줘"")"),"The expert hunters can easily track down the prey by its scent even in the dense forest.
숙련된 사냥꾼들은 울창한 숲속에서도 냄새로 먹잇감을 쉽게 추적할 수 있습니다.")</f>
        <v>The expert hunters can easily track down the prey by its scent even in the dense forest.
숙련된 사냥꾼들은 울창한 숲속에서도 냄새로 먹잇감을 쉽게 추적할 수 있습니다.</v>
      </c>
      <c r="F968" s="16" t="s">
        <v>6470</v>
      </c>
      <c r="G968" s="16">
        <v>1</v>
      </c>
    </row>
    <row r="969" spans="1:7" ht="38.25">
      <c r="A969" s="15"/>
      <c r="B969" s="16">
        <v>968</v>
      </c>
      <c r="C969" s="16" t="s">
        <v>6471</v>
      </c>
      <c r="D969" s="16" t="s">
        <v>7456</v>
      </c>
      <c r="E969" s="16" t="str">
        <f ca="1">IFERROR(__xludf.DUMMYFUNCTION("AI(""c컬럼의 단어를 활용해서 적절한 예문을 만들어줘. 한글 해석은 줄띄움 후에 작성해줘"")"),"The museum will be closing temporarily for renovations starting next month to upgrade its exhibition halls.
박물관은 전시실을 개선하기 위해 다음 달부터 리노베이션 때문에 임시 휴업합니다.")</f>
        <v>The museum will be closing temporarily for renovations starting next month to upgrade its exhibition halls.
박물관은 전시실을 개선하기 위해 다음 달부터 리노베이션 때문에 임시 휴업합니다.</v>
      </c>
      <c r="F969" s="16" t="s">
        <v>6472</v>
      </c>
      <c r="G969" s="16">
        <v>1</v>
      </c>
    </row>
    <row r="970" spans="1:7" ht="51">
      <c r="A970" s="15"/>
      <c r="B970" s="16">
        <v>969</v>
      </c>
      <c r="C970" s="16" t="s">
        <v>6473</v>
      </c>
      <c r="D970" s="16" t="s">
        <v>7457</v>
      </c>
      <c r="E970" s="16" t="str">
        <f ca="1">IFERROR(__xludf.DUMMYFUNCTION("AI(""c컬럼의 단어를 활용해서 적절한 예문을 만들어줘. 한글 해석은 줄띄움 후에 작성해줘"")"),"Many working parents choose to enroll their children in a high-quality daycare to balance their professional and family responsibilities.
많은 맞벌이 부모들이 직업적 책임과 가정의 책임 사이의 균형을 맞추기 위해 자녀를 고품질의 어린이집에 등록하는 것을 선택합니다.")</f>
        <v>Many working parents choose to enroll their children in a high-quality daycare to balance their professional and family responsibilities.
많은 맞벌이 부모들이 직업적 책임과 가정의 책임 사이의 균형을 맞추기 위해 자녀를 고품질의 어린이집에 등록하는 것을 선택합니다.</v>
      </c>
      <c r="F970" s="16" t="s">
        <v>6474</v>
      </c>
      <c r="G970" s="16">
        <v>1</v>
      </c>
    </row>
    <row r="971" spans="1:7" ht="25.5">
      <c r="A971" s="15"/>
      <c r="B971" s="16">
        <v>970</v>
      </c>
      <c r="C971" s="16" t="s">
        <v>6475</v>
      </c>
      <c r="D971" s="16" t="s">
        <v>7458</v>
      </c>
      <c r="E971" s="16" t="str">
        <f ca="1">IFERROR(__xludf.DUMMYFUNCTION("AI(""c컬럼의 단어를 활용해서 적절한 예문을 만들어줘. 한글 해석은 줄띄움 후에 작성해줘"")"),"Many families gather together for a delicious turkey feast to celebrate Thanksgiving.
많은 가족들이 추수감사절을 축하하기 위해 맛있는 칠면조 성찬을 즐기러 함께 모입니다.")</f>
        <v>Many families gather together for a delicious turkey feast to celebrate Thanksgiving.
많은 가족들이 추수감사절을 축하하기 위해 맛있는 칠면조 성찬을 즐기러 함께 모입니다.</v>
      </c>
      <c r="F971" s="16" t="s">
        <v>6476</v>
      </c>
      <c r="G971" s="16">
        <v>1</v>
      </c>
    </row>
    <row r="972" spans="1:7" ht="51">
      <c r="A972" s="15"/>
      <c r="B972" s="16">
        <v>971</v>
      </c>
      <c r="C972" s="16" t="s">
        <v>6477</v>
      </c>
      <c r="D972" s="16" t="s">
        <v>7459</v>
      </c>
      <c r="E972" s="16" t="str">
        <f ca="1">IFERROR(__xludf.DUMMYFUNCTION("AI(""c컬럼의 단어를 활용해서 적절한 예문을 만들어줘. 한글 해석은 줄띄움 후에 작성해줘"")"),"Investing in quality software may require a higher upfront cost, but it will save you time and money in the long run.
품질 좋은 소프트웨어에 투자하는 것은 더 높은 초기 비용이 들 수 있지만, 장기적으로 보면 시간과 비용을 절약해 줄 것입니다.")</f>
        <v>Investing in quality software may require a higher upfront cost, but it will save you time and money in the long run.
품질 좋은 소프트웨어에 투자하는 것은 더 높은 초기 비용이 들 수 있지만, 장기적으로 보면 시간과 비용을 절약해 줄 것입니다.</v>
      </c>
      <c r="F972" s="16" t="s">
        <v>6478</v>
      </c>
      <c r="G972" s="16">
        <v>1</v>
      </c>
    </row>
    <row r="973" spans="1:7" ht="25.5">
      <c r="A973" s="15"/>
      <c r="B973" s="16">
        <v>972</v>
      </c>
      <c r="C973" s="16" t="s">
        <v>6479</v>
      </c>
      <c r="D973" s="16" t="s">
        <v>7460</v>
      </c>
      <c r="E973" s="16" t="str">
        <f ca="1">IFERROR(__xludf.DUMMYFUNCTION("AI(""c컬럼의 단어를 활용해서 적절한 예문을 만들어줘. 한글 해석은 줄띄움 후에 작성해줘"")"),"The company does not intend to change its current pricing policy for the upcoming fiscal year.
그 회사는 다가오는 회계연도에 현재의 가격 정책을 변경할 의도가 없습니다.")</f>
        <v>The company does not intend to change its current pricing policy for the upcoming fiscal year.
그 회사는 다가오는 회계연도에 현재의 가격 정책을 변경할 의도가 없습니다.</v>
      </c>
      <c r="F973" s="16" t="s">
        <v>6480</v>
      </c>
      <c r="G973" s="16">
        <v>1</v>
      </c>
    </row>
    <row r="974" spans="1:7" ht="38.25">
      <c r="A974" s="15"/>
      <c r="B974" s="16">
        <v>973</v>
      </c>
      <c r="C974" s="16" t="s">
        <v>6481</v>
      </c>
      <c r="D974" s="16" t="s">
        <v>7461</v>
      </c>
      <c r="E974" s="16" t="str">
        <f ca="1">IFERROR(__xludf.DUMMYFUNCTION("AI(""c컬럼의 단어를 활용해서 적절한 예문을 만들어줘. 한글 해석은 줄띄움 후에 작성해줘"")"),"Maintaining a long-distance relationship requires a high level of trust and consistent communication between partners.
장거리 연애를 유지하는 것은 파트너 사이의 높은 수준의 신뢰와 일관된 소통을 필요로 합니다.")</f>
        <v>Maintaining a long-distance relationship requires a high level of trust and consistent communication between partners.
장거리 연애를 유지하는 것은 파트너 사이의 높은 수준의 신뢰와 일관된 소통을 필요로 합니다.</v>
      </c>
      <c r="F974" s="16" t="s">
        <v>6482</v>
      </c>
      <c r="G974" s="16">
        <v>1</v>
      </c>
    </row>
    <row r="975" spans="1:7" ht="38.25">
      <c r="A975" s="15"/>
      <c r="B975" s="16">
        <v>974</v>
      </c>
      <c r="C975" s="16" t="s">
        <v>6483</v>
      </c>
      <c r="D975" s="16" t="s">
        <v>7462</v>
      </c>
      <c r="E975" s="16" t="str">
        <f ca="1">IFERROR(__xludf.DUMMYFUNCTION("AI(""c컬럼의 단어를 활용해서 적절한 예문을 만들어줘. 한글 해석은 줄띄움 후에 작성해줘"")"),"Strong passwords and multi-factor authentication can prevent hackers from gaining unauthorized access to sensitive files.
강력한 비밀번호와 다중 요소 인증은 해커가 민감한 파일에 무단으로 접근하는 것을 막을 수 있습니다.")</f>
        <v>Strong passwords and multi-factor authentication can prevent hackers from gaining unauthorized access to sensitive files.
강력한 비밀번호와 다중 요소 인증은 해커가 민감한 파일에 무단으로 접근하는 것을 막을 수 있습니다.</v>
      </c>
      <c r="F975" s="16" t="s">
        <v>6484</v>
      </c>
      <c r="G975" s="16">
        <v>1</v>
      </c>
    </row>
    <row r="976" spans="1:7" ht="25.5">
      <c r="A976" s="15"/>
      <c r="B976" s="16">
        <v>975</v>
      </c>
      <c r="C976" s="16" t="s">
        <v>6485</v>
      </c>
      <c r="D976" s="16" t="s">
        <v>7463</v>
      </c>
      <c r="E976" s="16" t="str">
        <f ca="1">IFERROR(__xludf.DUMMYFUNCTION("AI(""c컬럼의 단어를 활용해서 적절한 예문을 만들어줘. 한글 해석은 줄띄움 후에 작성해줘"")"),"Leave avocados on the counter until they ripen and yield slightly when pressed near the stem.
아보카도가 익어서 줄기 근처를 눌렀을 때 약간 들어갈 때까지 조리대 위에 두세요.")</f>
        <v>Leave avocados on the counter until they ripen and yield slightly when pressed near the stem.
아보카도가 익어서 줄기 근처를 눌렀을 때 약간 들어갈 때까지 조리대 위에 두세요.</v>
      </c>
      <c r="F976" s="16" t="s">
        <v>6486</v>
      </c>
      <c r="G976" s="16">
        <v>1</v>
      </c>
    </row>
    <row r="977" spans="1:7" ht="51">
      <c r="A977" s="15"/>
      <c r="B977" s="16">
        <v>976</v>
      </c>
      <c r="C977" s="16" t="s">
        <v>6487</v>
      </c>
      <c r="D977" s="16" t="s">
        <v>7464</v>
      </c>
      <c r="E977" s="16" t="str">
        <f ca="1">IFERROR(__xludf.DUMMYFUNCTION("AI(""c컬럼의 단어를 활용해서 적절한 예문을 만들어줘. 한글 해석은 줄띄움 후에 작성해줘"")"),"The international community emphasizes that scientific warnings about the climate crisis must be taken seriously to protect future generations.
국제 사회는 미래 세대를 보호하기 위해 기후 위기에 대한 과학적 경고를 진지하게 받아들여야 한다고 강조합니다.")</f>
        <v>The international community emphasizes that scientific warnings about the climate crisis must be taken seriously to protect future generations.
국제 사회는 미래 세대를 보호하기 위해 기후 위기에 대한 과학적 경고를 진지하게 받아들여야 한다고 강조합니다.</v>
      </c>
      <c r="F977" s="16" t="s">
        <v>6488</v>
      </c>
      <c r="G977" s="16">
        <v>1</v>
      </c>
    </row>
    <row r="978" spans="1:7">
      <c r="D978" s="18"/>
      <c r="E978" s="18"/>
      <c r="F978" s="18"/>
    </row>
    <row r="979" spans="1:7">
      <c r="D979" s="18"/>
      <c r="E979" s="18"/>
      <c r="F979" s="18"/>
    </row>
    <row r="980" spans="1:7">
      <c r="D980" s="18"/>
      <c r="E980" s="18"/>
      <c r="F980" s="18"/>
    </row>
    <row r="981" spans="1:7">
      <c r="D981" s="18"/>
      <c r="E981" s="18"/>
      <c r="F981" s="18"/>
    </row>
    <row r="982" spans="1:7">
      <c r="D982" s="18"/>
      <c r="E982" s="18"/>
      <c r="F982" s="18"/>
    </row>
    <row r="983" spans="1:7">
      <c r="D983" s="18"/>
      <c r="E983" s="18"/>
      <c r="F983" s="18"/>
    </row>
    <row r="984" spans="1:7">
      <c r="D984" s="18"/>
      <c r="E984" s="18"/>
      <c r="F984" s="18"/>
    </row>
    <row r="985" spans="1:7">
      <c r="D985" s="18"/>
      <c r="E985" s="18"/>
      <c r="F985" s="18"/>
    </row>
    <row r="986" spans="1:7">
      <c r="D986" s="18"/>
      <c r="E986" s="18"/>
      <c r="F986" s="18"/>
    </row>
    <row r="987" spans="1:7">
      <c r="D987" s="18"/>
      <c r="E987" s="18"/>
      <c r="F987" s="18"/>
    </row>
    <row r="988" spans="1:7">
      <c r="D988" s="18"/>
      <c r="E988" s="18"/>
      <c r="F988" s="18"/>
    </row>
    <row r="989" spans="1:7">
      <c r="D989" s="18"/>
      <c r="E989" s="18"/>
      <c r="F989" s="18"/>
    </row>
    <row r="990" spans="1:7">
      <c r="D990" s="18"/>
      <c r="E990" s="18"/>
      <c r="F990" s="18"/>
    </row>
    <row r="991" spans="1:7">
      <c r="D991" s="18"/>
      <c r="E991" s="18"/>
      <c r="F991" s="18"/>
    </row>
    <row r="992" spans="1:7">
      <c r="D992" s="18"/>
      <c r="E992" s="18"/>
      <c r="F992" s="18"/>
    </row>
    <row r="993" spans="4:6">
      <c r="D993" s="18"/>
      <c r="E993" s="18"/>
      <c r="F993" s="18"/>
    </row>
    <row r="994" spans="4:6">
      <c r="D994" s="18"/>
      <c r="E994" s="18"/>
      <c r="F994" s="18"/>
    </row>
    <row r="995" spans="4:6">
      <c r="D995" s="18"/>
      <c r="E995" s="18"/>
      <c r="F995" s="18"/>
    </row>
    <row r="996" spans="4:6">
      <c r="D996" s="18"/>
      <c r="E996" s="18"/>
      <c r="F996" s="18"/>
    </row>
    <row r="997" spans="4:6">
      <c r="D997" s="18"/>
      <c r="E997" s="18"/>
      <c r="F997" s="18"/>
    </row>
    <row r="998" spans="4:6">
      <c r="D998" s="18"/>
      <c r="E998" s="18"/>
      <c r="F998" s="18"/>
    </row>
    <row r="999" spans="4:6">
      <c r="D999" s="18"/>
      <c r="E999" s="18"/>
      <c r="F999" s="18"/>
    </row>
    <row r="1000" spans="4:6">
      <c r="D1000" s="18"/>
      <c r="E1000" s="18"/>
      <c r="F1000" s="18"/>
    </row>
  </sheetData>
  <phoneticPr fontId="3" type="noConversion"/>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어휘단어장(통합)</vt:lpstr>
      <vt:lpstr>독해단어장(통합)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JK</cp:lastModifiedBy>
  <dcterms:modified xsi:type="dcterms:W3CDTF">2026-06-21T11:50:30Z</dcterms:modified>
</cp:coreProperties>
</file>