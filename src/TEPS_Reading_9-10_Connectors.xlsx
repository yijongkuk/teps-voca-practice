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JK\Downloads\"/>
    </mc:Choice>
  </mc:AlternateContent>
  <xr:revisionPtr revIDLastSave="0" documentId="13_ncr:1_{B5DB774B-7864-40DC-B614-1AF3976D740E}" xr6:coauthVersionLast="47" xr6:coauthVersionMax="47" xr10:uidLastSave="{00000000-0000-0000-0000-000000000000}"/>
  <bookViews>
    <workbookView xWindow="38280" yWindow="45" windowWidth="38640" windowHeight="21120" xr2:uid="{00000000-000D-0000-FFFF-FFFF00000000}"/>
  </bookViews>
  <sheets>
    <sheet name="접속사 통합" sheetId="1" r:id="rId1"/>
    <sheet name="문항별 보기" sheetId="2" r:id="rId2"/>
    <sheet name="범주별 정리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H3" i="1"/>
  <c r="F3" i="1"/>
  <c r="D3" i="1"/>
  <c r="B3" i="1"/>
</calcChain>
</file>

<file path=xl/sharedStrings.xml><?xml version="1.0" encoding="utf-8"?>
<sst xmlns="http://schemas.openxmlformats.org/spreadsheetml/2006/main" count="1332" uniqueCount="452">
  <si>
    <t>TEPS Reading 9·10번 접속사 통합</t>
  </si>
  <si>
    <t>3개 PDF · 16회분 · 32문항의 네 개 보기 전체를 원문 페이지와 대조해 정리했습니다. ‘접속사’에는 접속부사·연결 표현·담화 표지가 포함됩니다.</t>
  </si>
  <si>
    <t>고유 표현</t>
  </si>
  <si>
    <t>전체 보기</t>
  </si>
  <si>
    <t>분석 문항</t>
  </si>
  <si>
    <t>논리 범주</t>
  </si>
  <si>
    <t>정답 표기</t>
  </si>
  <si>
    <t>문맥 기준 검토</t>
  </si>
  <si>
    <t>연결어</t>
  </si>
  <si>
    <t>논리 관계</t>
  </si>
  <si>
    <t>문법 형태</t>
  </si>
  <si>
    <t>핵심 뜻</t>
  </si>
  <si>
    <t>뉘앙스·사용법</t>
  </si>
  <si>
    <t>영어 예문</t>
  </si>
  <si>
    <t>예문 해석</t>
  </si>
  <si>
    <t>등장 횟수</t>
  </si>
  <si>
    <t>정답 횟수</t>
  </si>
  <si>
    <t>출처 위치</t>
  </si>
  <si>
    <t>Additionally</t>
  </si>
  <si>
    <t>추가</t>
  </si>
  <si>
    <t>접속부사</t>
  </si>
  <si>
    <t>추가로, 게다가</t>
  </si>
  <si>
    <t>중립적이고 비교적 격식 있는 추가. 보통 문장 앞에서 쉼표와 함께 씁니다.</t>
  </si>
  <si>
    <t>The site is close to transit. Additionally, it has direct access to a public road.</t>
  </si>
  <si>
    <t>그 부지는 대중교통과 가깝습니다. 추가로, 공공도로에 직접 접해 있습니다.</t>
  </si>
  <si>
    <t>해커스 기출 T2-Q9(c) · PDF p.19/책 p.85</t>
  </si>
  <si>
    <t>Further</t>
  </si>
  <si>
    <t>더 나아가</t>
  </si>
  <si>
    <t>법률·학술 문체에서 추가 논거를 제시할 때 쓰지만, 일반 문장에서는 furthermore가 더 자연스러운 경우가 많습니다.</t>
  </si>
  <si>
    <t>The data reveal cost savings. Further, they suggest shorter construction times.</t>
  </si>
  <si>
    <t>그 데이터는 비용 절감을 보여 줍니다. 더 나아가, 공사 기간 단축도 시사합니다.</t>
  </si>
  <si>
    <t>시원스쿨 기출 T1-Q10(b) · PDF p.19/책 p.42</t>
  </si>
  <si>
    <t>Furthermore</t>
  </si>
  <si>
    <t>더욱이, 게다가</t>
  </si>
  <si>
    <t>앞 주장에 같은 방향의 강한 근거를 하나 더 보탭니다. 격식 있는 글에 잘 맞습니다.</t>
  </si>
  <si>
    <t>The modular frame reduces waste. Furthermore, it can be disassembled and reused.</t>
  </si>
  <si>
    <t>모듈러 골조는 폐기물을 줄입니다. 더욱이, 해체하여 재사용할 수 있습니다.</t>
  </si>
  <si>
    <t>시원스쿨 기출 T5-Q9(a) · PDF p.155/책 p.178
해커스 실전모의 T4-Q9(d) · PDF p.130/책 p.157</t>
  </si>
  <si>
    <t>In addition</t>
  </si>
  <si>
    <t>연결 표현</t>
  </si>
  <si>
    <t>게다가, 또한</t>
  </si>
  <si>
    <t>앞 정보에 별개의 추가 사항을 덧붙이는 가장 무난한 표현입니다.</t>
  </si>
  <si>
    <t>The proposal meets the height limit. In addition, it preserves the existing trees.</t>
  </si>
  <si>
    <t>그 계획안은 높이 제한을 충족합니다. 게다가, 기존 나무도 보존합니다.</t>
  </si>
  <si>
    <t>시원스쿨 기출 T4-Q9(a) · PDF p.121/책 p.144
해커스 기출 T3-Q10(c) · PDF p.53/책 p.119
해커스 기출 T4-Q9(c) · PDF p.85/책 p.153
해커스 실전모의 T3-Q10(a) · PDF p.94/책 p.121
해커스 실전모의 T5-Q10(c) · PDF p.166/책 p.193</t>
  </si>
  <si>
    <t>Moreover</t>
  </si>
  <si>
    <t>앞 주장을 강화하는 추가 근거를 제시합니다. 단순 나열보다 논증적 성격이 강합니다.</t>
  </si>
  <si>
    <t>The rule is difficult to interpret. Moreover, it varies across districts.</t>
  </si>
  <si>
    <t>그 규정은 해석하기 어렵습니다. 더욱이, 지역마다 다르게 적용됩니다.</t>
  </si>
  <si>
    <t>시원스쿨 기출 T1-Q9(b) · PDF p.19/책 p.42
시원스쿨 기출 T2-Q10(b) · PDF p.53/책 p.76
해커스 기출 T5-Q10(a) · PDF p.117/책 p.187
해커스 실전모의 T2-Q9(d) · PDF p.58/책 p.85</t>
  </si>
  <si>
    <t>What’s more</t>
  </si>
  <si>
    <t>게다가, 더구나</t>
  </si>
  <si>
    <t>강조가 느껴지는 추가 표현으로, moreover보다 대화체에 가깝습니다.</t>
  </si>
  <si>
    <t>The unit is affordable. What’s more, it can be installed in a single day.</t>
  </si>
  <si>
    <t>그 유닛은 가격이 합리적입니다. 게다가, 하루 만에 설치할 수 있습니다.</t>
  </si>
  <si>
    <t>해커스 실전모의 T6-Q10(a) · PDF p.202/책 p.229</t>
  </si>
  <si>
    <t>Accordingly</t>
  </si>
  <si>
    <t>인과·결과</t>
  </si>
  <si>
    <t>그에 따라, 따라서</t>
  </si>
  <si>
    <t>앞 사실에 맞추어 취한 조치나 논리적 결과를 나타냅니다.</t>
  </si>
  <si>
    <t>The parcel lacks legal road access. Accordingly, it was removed from the shortlist.</t>
  </si>
  <si>
    <t>그 필지는 법적 도로 접면이 없습니다. 그에 따라, 후보 목록에서 제외되었습니다.</t>
  </si>
  <si>
    <t>시원스쿨 기출 T4-Q10(d) · PDF p.121/책 p.144
해커스 실전모의 T2-Q10(d) · PDF p.58/책 p.85
해커스 실전모의 T4-Q10(a) · PDF p.130/책 p.157</t>
  </si>
  <si>
    <t>As a result</t>
  </si>
  <si>
    <t>그 결과</t>
  </si>
  <si>
    <t>앞 사건의 직접적인 결과를 명확하게 제시합니다.</t>
  </si>
  <si>
    <t>The joint failed the load test. As a result, the team revised its geometry.</t>
  </si>
  <si>
    <t>접합부가 하중 시험을 통과하지 못했습니다. 그 결과, 팀은 형상을 수정했습니다.</t>
  </si>
  <si>
    <t>해커스 기출 T2-Q10(b) · PDF p.19/책 p.85</t>
  </si>
  <si>
    <t>Consequently</t>
  </si>
  <si>
    <t>그 결과, 따라서</t>
  </si>
  <si>
    <t>원인에서 자연스럽게 파생되는 결과를 격식 있게 연결합니다.</t>
  </si>
  <si>
    <t>Material prices rose sharply. Consequently, the original budget became unrealistic.</t>
  </si>
  <si>
    <t>자재 가격이 크게 올랐습니다. 그 결과, 기존 예산은 비현실적이 되었습니다.</t>
  </si>
  <si>
    <t>시원스쿨 기출 T5-Q10(d) · PDF p.155/책 p.178
해커스 실전모의 T4-Q9(b) · PDF p.130/책 p.157
해커스 실전모의 T5-Q9(c) · PDF p.166/책 p.193</t>
  </si>
  <si>
    <t>For this reason</t>
  </si>
  <si>
    <t>이러한 이유로</t>
  </si>
  <si>
    <t>앞 문장 전체를 이유로 받아 뒤 판단이나 행동을 제시합니다.</t>
  </si>
  <si>
    <t>The area floods every summer. For this reason, critical equipment was placed above ground level.</t>
  </si>
  <si>
    <t>그 지역은 매년 여름 침수됩니다. 이러한 이유로, 핵심 장비를 지상층보다 높게 배치했습니다.</t>
  </si>
  <si>
    <t>시원스쿨 기출 T3-Q9(b) · PDF p.87/책 p.110
해커스 기출 T3-Q10(b) · PDF p.53/책 p.119</t>
  </si>
  <si>
    <t>Given that fact</t>
  </si>
  <si>
    <t>그 사실을 고려하면</t>
  </si>
  <si>
    <t>이미 제시된 사실을 판단의 전제로 삼을 때 씁니다.</t>
  </si>
  <si>
    <t>The site lies in a flood-risk zone. Given that fact, the foundation scheme needs revision.</t>
  </si>
  <si>
    <t>그 부지는 침수 위험 구역에 있습니다. 그 사실을 고려하면, 기초 계획을 수정해야 합니다.</t>
  </si>
  <si>
    <t>해커스 실전모의 T5-Q10(d) · PDF p.166/책 p.193</t>
  </si>
  <si>
    <t>Hence</t>
  </si>
  <si>
    <t>따라서, 그러므로</t>
  </si>
  <si>
    <t>논리적으로 도출되는 결론을 간결하고 격식 있게 나타냅니다.</t>
  </si>
  <si>
    <t>The modules share the same interface; hence, they can be rearranged without redesign.</t>
  </si>
  <si>
    <t>모듈들은 같은 인터페이스를 공유합니다. 따라서, 재설계 없이 재배치할 수 있습니다.</t>
  </si>
  <si>
    <t>해커스 실전모의 T2-Q9(a) · PDF p.58/책 p.85</t>
  </si>
  <si>
    <t>Therefore</t>
  </si>
  <si>
    <t>그러므로, 따라서</t>
  </si>
  <si>
    <t>앞 근거에서 결론을 도출하는 대표적인 논리 연결어입니다.</t>
  </si>
  <si>
    <t>The evidence is incomplete. Therefore, no final decision should be made yet.</t>
  </si>
  <si>
    <t>증거가 불완전합니다. 그러므로, 아직 최종 결정을 내려서는 안 됩니다.</t>
  </si>
  <si>
    <t>해커스 기출 T4-Q9(a) · PDF p.85/책 p.153
해커스 실전모의 T1-Q10(b) · PDF p.22/책 p.49
해커스 실전모의 T3-Q10(d) · PDF p.94/책 p.121</t>
  </si>
  <si>
    <t>Thus</t>
  </si>
  <si>
    <t>따라서, 그리하여</t>
  </si>
  <si>
    <t>논리적 결론이나 앞 과정의 최종 결과를 압축해 제시합니다.</t>
  </si>
  <si>
    <t>The fruit lacks the required inner layer. Thus, it is not technically a berry.</t>
  </si>
  <si>
    <t>그 과일에는 필수적인 안쪽 층이 없습니다. 따라서, 엄밀히 말해 베리가 아닙니다.</t>
  </si>
  <si>
    <t>시원스쿨 기출 T1-Q10(a) · PDF p.19/책 p.42</t>
  </si>
  <si>
    <t>Admittedly</t>
  </si>
  <si>
    <t>대조·양보</t>
  </si>
  <si>
    <t>인정하건대</t>
  </si>
  <si>
    <t>불리한 점을 먼저 인정한 뒤 핵심 반론을 이어 가는 양보 표지입니다.</t>
  </si>
  <si>
    <t>Admittedly, the prototype is expensive, but it will reduce uncertainty later.</t>
  </si>
  <si>
    <t>인정하건대, 시제품은 비쌉니다. 하지만 이후의 불확실성을 줄여 줄 것입니다.</t>
  </si>
  <si>
    <t>시원스쿨 기출 T2-Q10(d) · PDF p.53/책 p.76
시원스쿨 기출 T5-Q10(c) · PDF p.155/책 p.178
해커스 실전모의 T2-Q10(c) · PDF p.58/책 p.85</t>
  </si>
  <si>
    <t>At the same time</t>
  </si>
  <si>
    <t>동시에; 한편으로는</t>
  </si>
  <si>
    <t>동시성을 나타내거나, 앞 주장과 함께 고려해야 할 다른 측면을 덧붙입니다.</t>
  </si>
  <si>
    <t>The system must be flexible. At the same time, it must preserve standard interfaces.</t>
  </si>
  <si>
    <t>그 시스템은 유연해야 합니다. 동시에, 표준 인터페이스를 유지해야 합니다.</t>
  </si>
  <si>
    <t>해커스 기출 T1-Q9(d) · PDF p.149/책 p.51</t>
  </si>
  <si>
    <t>Conversely</t>
  </si>
  <si>
    <t>반대로</t>
  </si>
  <si>
    <t>앞 관계의 방향을 뒤집은 반대 상황이나 역관계를 제시합니다.</t>
  </si>
  <si>
    <t>Dense urban sites favor vertical stacking. Conversely, rural sites may allow horizontal expansion.</t>
  </si>
  <si>
    <t>밀집 도심 부지는 수직 적층에 유리합니다. 반대로, 농촌 부지는 수평 확장이 가능할 수 있습니다.</t>
  </si>
  <si>
    <t>시원스쿨 기출 T5-Q9(b) · PDF p.155/책 p.178
해커스 실전모의 T2-Q9(b) · PDF p.58/책 p.85</t>
  </si>
  <si>
    <t>Despite this</t>
  </si>
  <si>
    <t>그럼에도 불구하고</t>
  </si>
  <si>
    <t>앞의 불리한 사실에도 뒤 결과가 유지됨을 나타냅니다. 뒤에는 완전한 문장이 옵니다.</t>
  </si>
  <si>
    <t>The first test failed. Despite this, the team continued with a revised prototype.</t>
  </si>
  <si>
    <t>첫 시험은 실패했습니다. 그럼에도 불구하고, 팀은 수정한 시제품으로 작업을 계속했습니다.</t>
  </si>
  <si>
    <t>해커스 실전모의 T6-Q9(d) · PDF p.202/책 p.229</t>
  </si>
  <si>
    <t>Even so</t>
  </si>
  <si>
    <t>그렇다 해도, 그럼에도</t>
  </si>
  <si>
    <t>앞 내용을 인정하면서 예상과 다른 결과를 제시합니다.</t>
  </si>
  <si>
    <t>The president promised a quick response. Even so, public anxiety continued to grow.</t>
  </si>
  <si>
    <t>대통령은 신속한 대응을 약속했습니다. 그렇다 해도, 대중의 불안은 계속 커졌습니다.</t>
  </si>
  <si>
    <t>시원스쿨 기출 T3-Q10(a) · PDF p.87/책 p.110
시원스쿨 기출 T5-Q9(d) · PDF p.155/책 p.178
해커스 기출 T1-Q10(b) · PDF p.149/책 p.51
해커스 기출 T3-Q10(d) · PDF p.53/책 p.119
해커스 실전모의 T1-Q10(a) · PDF p.22/책 p.49</t>
  </si>
  <si>
    <t>Even though</t>
  </si>
  <si>
    <t>종속접속사</t>
  </si>
  <si>
    <t>비록 …이지만</t>
  </si>
  <si>
    <t>뒤에 주어+동사의 절이 필요합니다. 문장 연결어처럼 단독으로 쓰지 않습니다.</t>
  </si>
  <si>
    <t>Even though the site is small, it can accommodate three modular units.</t>
  </si>
  <si>
    <t>비록 부지가 작지만, 모듈러 유닛 세 개를 수용할 수 있습니다.</t>
  </si>
  <si>
    <t>해커스 실전모의 T1-Q9(a) · PDF p.22/책 p.49</t>
  </si>
  <si>
    <t>For all that</t>
  </si>
  <si>
    <t>그 모든 것에도 불구하고</t>
  </si>
  <si>
    <t>앞에서 언급한 여러 사실을 모두 인정한 뒤 반대 결과를 제시하는 격식 있는 표현입니다.</t>
  </si>
  <si>
    <t>The policy had serious flaws. For all that, it marked an important change.</t>
  </si>
  <si>
    <t>그 정책에는 심각한 결함이 있었습니다. 그 모든 것에도 불구하고, 중요한 변화를 알렸습니다.</t>
  </si>
  <si>
    <t>시원스쿨 기출 T1-Q9(c) · PDF p.19/책 p.42
해커스 실전모의 T5-Q10(a) · PDF p.166/책 p.193</t>
  </si>
  <si>
    <t>Granted</t>
  </si>
  <si>
    <t>담화 표지</t>
  </si>
  <si>
    <t>물론 …인 것은 인정하지만</t>
  </si>
  <si>
    <t>상대 주장의 일부를 인정한 뒤 제한·반론을 제시할 때 씁니다.</t>
  </si>
  <si>
    <t>Granted, the new method takes longer to learn. It is more reliable once mastered.</t>
  </si>
  <si>
    <t>물론 새 방법을 익히는 데 더 오래 걸리는 것은 인정합니다. 하지만 숙달하면 더 신뢰할 수 있습니다.</t>
  </si>
  <si>
    <t>시원스쿨 기출 T1-Q9(a) · PDF p.19/책 p.42
해커스 실전모의 T2-Q9(c) · PDF p.58/책 p.85
해커스 실전모의 T4-Q9(a) · PDF p.130/책 p.157</t>
  </si>
  <si>
    <t>In contrast</t>
  </si>
  <si>
    <t>대조적으로, 반면에</t>
  </si>
  <si>
    <t>두 대상이나 상황의 뚜렷한 차이를 직접 비교합니다.</t>
  </si>
  <si>
    <t>Long-gestation animals breed in autumn. In contrast, short-gestation animals often breed in spring.</t>
  </si>
  <si>
    <t>임신 기간이 긴 동물은 가을에 번식합니다. 반면에, 임신 기간이 짧은 동물은 흔히 봄에 번식합니다.</t>
  </si>
  <si>
    <t>시원스쿨 기출 T3-Q10(c) · PDF p.87/책 p.110
해커스 기출 T2-Q9(b) · PDF p.19/책 p.85</t>
  </si>
  <si>
    <t>Nevertheless</t>
  </si>
  <si>
    <t>앞 사실로 예상되는 결과를 뒤집는 강한 양보 연결어입니다.</t>
  </si>
  <si>
    <t>The injury rate was relatively low. Nevertheless, administrators demanded stricter rules.</t>
  </si>
  <si>
    <t>부상률은 비교적 낮았습니다. 그럼에도 불구하고, 관리자들은 더 엄격한 규정을 요구했습니다.</t>
  </si>
  <si>
    <t>해커스 실전모의 T5-Q9(d) · PDF p.166/책 p.193</t>
  </si>
  <si>
    <t>Nonetheless</t>
  </si>
  <si>
    <t>nevertheless와 거의 같으며, 앞 내용을 인정하면서 반대되는 핵심을 제시합니다.</t>
  </si>
  <si>
    <t>The evidence was limited. Nonetheless, the finding influenced later research.</t>
  </si>
  <si>
    <t>증거는 제한적이었습니다. 그럼에도 불구하고, 그 발견은 이후 연구에 영향을 주었습니다.</t>
  </si>
  <si>
    <t>시원스쿨 기출 T2-Q9(d) · PDF p.53/책 p.76
해커스 기출 T3-Q9(a) · PDF p.53/책 p.119
해커스 기출 T5-Q10(c) · PDF p.117/책 p.187
해커스 실전모의 T4-Q9(c) · PDF p.130/책 p.157
해커스 실전모의 T6-Q9(a) · PDF p.202/책 p.229</t>
  </si>
  <si>
    <t>On the contrary</t>
  </si>
  <si>
    <t>그와 반대로, 오히려</t>
  </si>
  <si>
    <t>앞 진술을 단순 비교하는 것이 아니라 직접 부정·정정할 때 씁니다.</t>
  </si>
  <si>
    <t>The new rule did not slow construction. On the contrary, it shortened the approval process.</t>
  </si>
  <si>
    <t>새 규정은 공사를 늦추지 않았습니다. 오히려, 인허가 절차를 단축했습니다.</t>
  </si>
  <si>
    <t>해커스 실전모의 T1-Q10(c) · PDF p.22/책 p.49
해커스 실전모의 T4-Q10(c) · PDF p.130/책 p.157
해커스 실전모의 T6-Q10(c) · PDF p.202/책 p.229</t>
  </si>
  <si>
    <t>On the other hand</t>
  </si>
  <si>
    <t>다른 한편으로는, 반면에</t>
  </si>
  <si>
    <t>같은 주제의 두 측면이나 선택지를 균형 있게 대비합니다.</t>
  </si>
  <si>
    <t>Steel is strong and recyclable. On the other hand, it can have high embodied carbon.</t>
  </si>
  <si>
    <t>철은 강하고 재활용할 수 있습니다. 다른 한편으로는, 내재 탄소가 높을 수 있습니다.</t>
  </si>
  <si>
    <t>시원스쿨 기출 T3-Q9(d) · PDF p.87/책 p.110
해커스 실전모의 T2-Q10(a) · PDF p.58/책 p.85</t>
  </si>
  <si>
    <t>Regardless</t>
  </si>
  <si>
    <t>어쨌든, 그와 관계없이</t>
  </si>
  <si>
    <t>앞 조건이나 반대 요소가 뒤 결정에 영향을 주지 않음을 나타냅니다.</t>
  </si>
  <si>
    <t>The forecast may change. Regardless, the inspection will proceed as scheduled.</t>
  </si>
  <si>
    <t>예보가 바뀔 수 있습니다. 어쨌든, 검사는 예정대로 진행됩니다.</t>
  </si>
  <si>
    <t>시원스쿨 기출 T1-Q10(d) · PDF p.19/책 p.42
시원스쿨 기출 T3-Q10(d) · PDF p.87/책 p.110
시원스쿨 기출 T5-Q10(b) · PDF p.155/책 p.178
해커스 기출 T4-Q9(b) · PDF p.85/책 p.153
해커스 기출 T5-Q9(c) · PDF p.117/책 p.187</t>
  </si>
  <si>
    <t>That being said</t>
  </si>
  <si>
    <t>그렇긴 하지만</t>
  </si>
  <si>
    <t>앞 내용을 인정한 뒤 제한, 예외, 다른 관점을 부드럽게 덧붙입니다.</t>
  </si>
  <si>
    <t>The model is promising. That being said, it still needs field testing.</t>
  </si>
  <si>
    <t>그 모델은 유망합니다. 그렇긴 하지만, 여전히 현장 시험이 필요합니다.</t>
  </si>
  <si>
    <t>해커스 실전모의 T1-Q9(c) · PDF p.22/책 p.49
해커스 실전모의 T6-Q10(b) · PDF p.202/책 p.229</t>
  </si>
  <si>
    <t>To be sure</t>
  </si>
  <si>
    <t>확실히, 물론</t>
  </si>
  <si>
    <t>사실을 인정하거나 강조한 뒤 대개 반대·제한 내용을 이어 갑니다.</t>
  </si>
  <si>
    <t>To be sure, the renovation costs more upfront. It may still be cheaper over its life cycle.</t>
  </si>
  <si>
    <t>확실히, 리노베이션은 초기 비용이 더 듭니다. 그래도 생애주기 전체로는 더 저렴할 수 있습니다.</t>
  </si>
  <si>
    <t>해커스 기출 T1-Q9(a) · PDF p.149/책 p.51
해커스 기출 T2-Q10(a) · PDF p.19/책 p.85
해커스 기출 T5-Q10(b) · PDF p.117/책 p.187</t>
  </si>
  <si>
    <t>Especially</t>
  </si>
  <si>
    <t>예시·구체화</t>
  </si>
  <si>
    <t>강조부사</t>
  </si>
  <si>
    <t>특히</t>
  </si>
  <si>
    <t>특정 대상이나 조건을 두드러지게 합니다. 문장 전체 연결어보다 문장 성분을 강조하는 경우가 많습니다.</t>
  </si>
  <si>
    <t>The rule affects small parcels, especially those without adequate road frontage.</t>
  </si>
  <si>
    <t>그 규정은 작은 필지, 특히 충분한 도로 접면이 없는 필지에 영향을 줍니다.</t>
  </si>
  <si>
    <t>해커스 실전모의 T3-Q9(b) · PDF p.94/책 p.121</t>
  </si>
  <si>
    <t>For example</t>
  </si>
  <si>
    <t>예를 들어</t>
  </si>
  <si>
    <t>일반 진술을 뒷받침하는 대표 사례를 제시합니다.</t>
  </si>
  <si>
    <t>Some regulations can be machine-readable. For example, height limits can be encoded as numeric constraints.</t>
  </si>
  <si>
    <t>일부 규정은 기계가독형으로 만들 수 있습니다. 예를 들어, 높이 제한은 수치 제약으로 부호화할 수 있습니다.</t>
  </si>
  <si>
    <t>시원스쿨 기출 T1-Q9(d) · PDF p.19/책 p.42
해커스 기출 T2-Q10(c) · PDF p.19/책 p.85
해커스 실전모의 T3-Q9(d) · PDF p.94/책 p.121</t>
  </si>
  <si>
    <t>For instance</t>
  </si>
  <si>
    <t>for example과 거의 같으며, 구체적인 사례 하나를 제시합니다.</t>
  </si>
  <si>
    <t>Light pollution can disrupt wildlife. For instance, it may alter nocturnal feeding patterns.</t>
  </si>
  <si>
    <t>빛 공해는 야생동물을 교란할 수 있습니다. 예를 들어, 야간 섭식 패턴을 바꿀 수 있습니다.</t>
  </si>
  <si>
    <t>시원스쿨 기출 T4-Q9(d) · PDF p.121/책 p.144
해커스 기출 T1-Q9(b) · PDF p.149/책 p.51
해커스 기출 T4-Q9(d) · PDF p.85/책 p.153
해커스 기출 T5-Q9(d) · PDF p.117/책 p.187
해커스 실전모의 T4-Q10(b) · PDF p.130/책 p.157</t>
  </si>
  <si>
    <t>In particular</t>
  </si>
  <si>
    <t>특히, 그중에서도</t>
  </si>
  <si>
    <t>여러 대상 가운데 하나를 골라 집중하거나 구체화합니다.</t>
  </si>
  <si>
    <t>Several constraints require attention. In particular, the setback rule limits the buildable area.</t>
  </si>
  <si>
    <t>여러 제약을 살펴야 합니다. 특히, 이격거리 규정이 건축 가능 면적을 제한합니다.</t>
  </si>
  <si>
    <t>시원스쿨 기출 T3-Q9(a) · PDF p.87/책 p.110
해커스 기출 T3-Q9(b) · PDF p.53/책 p.119</t>
  </si>
  <si>
    <t>Namely</t>
  </si>
  <si>
    <t>즉, 구체적으로 말하면</t>
  </si>
  <si>
    <t>앞의 일반 표현을 정확한 이름·내용으로 다시 특정합니다. 단순 예시와 다릅니다.</t>
  </si>
  <si>
    <t>The primates share two relevant traits: namely, they are social and territorial.</t>
  </si>
  <si>
    <t>영장류는 관련된 두 특성을 공유합니다. 즉, 사회적이고 영역성이 강합니다.</t>
  </si>
  <si>
    <t>시원스쿨 기출 T2-Q10(a) · PDF p.53/책 p.76</t>
  </si>
  <si>
    <t>Particularly</t>
  </si>
  <si>
    <t>특히, 특별히</t>
  </si>
  <si>
    <t>중요하거나 두드러진 대상·사례를 강조합니다. especially와 의미가 가깝습니다.</t>
  </si>
  <si>
    <t>The campaign targeted older residents. Particularly, it appealed to their memories of roller skating.</t>
  </si>
  <si>
    <t>그 캠페인은 고령 주민을 겨냥했습니다. 특히, 롤러스케이트에 대한 그들의 추억에 호소했습니다.</t>
  </si>
  <si>
    <t>시원스쿨 기출 T4-Q9(c) · PDF p.121/책 p.144
해커스 실전모의 T1-Q9(b) · PDF p.22/책 p.49</t>
  </si>
  <si>
    <t>Specifically</t>
  </si>
  <si>
    <t>구체적으로 말하면</t>
  </si>
  <si>
    <t>앞 진술의 정확한 세부 내용, 수치, 대상을 제시합니다.</t>
  </si>
  <si>
    <t>The interface has one critical requirement. Specifically, every bolt position must remain unchanged.</t>
  </si>
  <si>
    <t>그 인터페이스에는 한 가지 핵심 요구사항이 있습니다. 구체적으로 말하면, 모든 볼트 위치가 바뀌지 않아야 합니다.</t>
  </si>
  <si>
    <t>시원스쿨 기출 T4-Q10(c) · PDF p.121/책 p.144</t>
  </si>
  <si>
    <t>In the same sense</t>
  </si>
  <si>
    <t>유사·병렬</t>
  </si>
  <si>
    <t>같은 의미에서, 같은 맥락에서</t>
  </si>
  <si>
    <t>앞 논리와 같은 방식으로 이해되는 다른 사례를 연결합니다.</t>
  </si>
  <si>
    <t>A drawing is a model of a building. In the same sense, a digital twin is a model of its changing state.</t>
  </si>
  <si>
    <t>도면은 건축물의 모델입니다. 같은 의미에서, 디지털 트윈은 변화하는 상태의 모델입니다.</t>
  </si>
  <si>
    <t>해커스 기출 T3-Q10(a) · PDF p.53/책 p.119</t>
  </si>
  <si>
    <t>Likewise</t>
  </si>
  <si>
    <t>마찬가지로</t>
  </si>
  <si>
    <t>앞 대상과 유사한 행동·특성·결과를 병렬로 제시합니다.</t>
  </si>
  <si>
    <t>The wall panels can be reused. Likewise, the floor cassettes can be installed in another project.</t>
  </si>
  <si>
    <t>벽 패널은 재사용할 수 있습니다. 마찬가지로, 바닥 카세트도 다른 프로젝트에 설치할 수 있습니다.</t>
  </si>
  <si>
    <t>시원스쿨 기출 T1-Q10(c) · PDF p.19/책 p.42
시원스쿨 기출 T2-Q9(a) · PDF p.53/책 p.76
시원스쿨 기출 T4-Q10(a) · PDF p.121/책 p.144
시원스쿨 기출 T5-Q10(a) · PDF p.155/책 p.178
해커스 실전모의 T6-Q9(b) · PDF p.202/책 p.229</t>
  </si>
  <si>
    <t>Similarly</t>
  </si>
  <si>
    <t>비슷하게, 마찬가지로</t>
  </si>
  <si>
    <t>앞 사례와 유사한 관계나 패턴을 뒤 사례에 적용합니다.</t>
  </si>
  <si>
    <t>The first prototype failed at the joint. Similarly, the second showed weakness at the same point.</t>
  </si>
  <si>
    <t>첫 번째 시제품은 접합부에서 파괴되었습니다. 마찬가지로, 두 번째도 같은 지점에서 약점을 보였습니다.</t>
  </si>
  <si>
    <t>시원스쿨 기출 T2-Q9(b) · PDF p.53/책 p.76
해커스 기출 T5-Q9(b) · PDF p.117/책 p.187</t>
  </si>
  <si>
    <t>In conclusion</t>
  </si>
  <si>
    <t>바꿔 말하기·요약</t>
  </si>
  <si>
    <t>결론적으로</t>
  </si>
  <si>
    <t>앞 논의를 마무리하며 최종 결론을 명시합니다. 짧은 문단 중간에는 부자연스러울 수 있습니다.</t>
  </si>
  <si>
    <t>In conclusion, the proposed system is feasible but requires a larger pilot study.</t>
  </si>
  <si>
    <t>결론적으로, 제안된 시스템은 실현 가능하지만 더 큰 규모의 실증 연구가 필요합니다.</t>
  </si>
  <si>
    <t>해커스 기출 T1-Q9(c) · PDF p.149/책 p.51
해커스 기출 T2-Q10(d) · PDF p.19/책 p.85
해커스 기출 T3-Q9(d) · PDF p.53/책 p.119</t>
  </si>
  <si>
    <t>In effect</t>
  </si>
  <si>
    <t>사실상, 결과적으로</t>
  </si>
  <si>
    <t>형식적 표현과 실제 효과가 다를 때 실질적 의미나 결과를 설명합니다.</t>
  </si>
  <si>
    <t>The temporary ban remained for ten years. In effect, it became a permanent restriction.</t>
  </si>
  <si>
    <t>임시 금지는 10년 동안 유지되었습니다. 사실상, 영구적인 제한이 되었습니다.</t>
  </si>
  <si>
    <t>해커스 실전모의 T3-Q9(c) · PDF p.94/책 p.121
해커스 실전모의 T5-Q10(b) · PDF p.166/책 p.193</t>
  </si>
  <si>
    <t>In essence</t>
  </si>
  <si>
    <t>본질적으로, 요컨대</t>
  </si>
  <si>
    <t>복잡한 내용을 핵심 원리로 압축하여 다시 말합니다.</t>
  </si>
  <si>
    <t>In essence, the platform translates legal text into design constraints.</t>
  </si>
  <si>
    <t>본질적으로, 그 플랫폼은 법률 문구를 설계 제약으로 변환합니다.</t>
  </si>
  <si>
    <t>시원스쿨 기출 T5-Q9(c) · PDF p.155/책 p.178</t>
  </si>
  <si>
    <t>In fact</t>
  </si>
  <si>
    <t>사실은, 실제로</t>
  </si>
  <si>
    <t>앞 내용을 강화하거나 오해를 바로잡는 더 강한 사실을 제시합니다.</t>
  </si>
  <si>
    <t>The valleys receive little precipitation. In fact, they may be the driest place on Earth.</t>
  </si>
  <si>
    <t>그 계곡에는 강수가 거의 없습니다. 실제로, 지구에서 가장 건조한 곳일 수 있습니다.</t>
  </si>
  <si>
    <t>해커스 기출 T1-Q10(a) · PDF p.149/책 p.51
해커스 기출 T5-Q9(a) · PDF p.117/책 p.187
해커스 실전모의 T1-Q10(d) · PDF p.22/책 p.49
해커스 실전모의 T5-Q9(a) · PDF p.166/책 p.193</t>
  </si>
  <si>
    <t>In other words</t>
  </si>
  <si>
    <t>다시 말해</t>
  </si>
  <si>
    <t>같은 내용을 더 쉽거나 정확한 표현으로 재진술합니다.</t>
  </si>
  <si>
    <t>The population pattern repeats over decades. In other words, it is a long-term demographic cycle.</t>
  </si>
  <si>
    <t>그 인구 이동 패턴은 수십 년에 걸쳐 반복됩니다. 다시 말해, 장기적인 인구학적 순환입니다.</t>
  </si>
  <si>
    <t>해커스 실전모의 T6-Q10(d) · PDF p.202/책 p.229</t>
  </si>
  <si>
    <t>In short</t>
  </si>
  <si>
    <t>요컨대, 간단히 말해</t>
  </si>
  <si>
    <t>여러 내용을 짧은 핵심 결론으로 압축합니다.</t>
  </si>
  <si>
    <t>In short, the design is lighter, faster to assemble, and easier to reuse.</t>
  </si>
  <si>
    <t>요컨대, 그 설계는 더 가볍고, 더 빨리 조립되며, 재사용하기도 더 쉽습니다.</t>
  </si>
  <si>
    <t>해커스 기출 T1-Q10(c) · PDF p.149/책 p.51</t>
  </si>
  <si>
    <t>Put another way</t>
  </si>
  <si>
    <t>달리 말하면</t>
  </si>
  <si>
    <t>앞 내용을 다른 관점이나 표현으로 풀어 설명합니다.</t>
  </si>
  <si>
    <t>The system preserves interfaces. Put another way, units may change while their connections do not.</t>
  </si>
  <si>
    <t>그 시스템은 인터페이스를 보존합니다. 달리 말하면, 유닛은 바뀌어도 연결부는 바뀌지 않을 수 있습니다.</t>
  </si>
  <si>
    <t>해커스 기출 T5-Q10(d) · PDF p.117/책 p.187
해커스 실전모의 T2-Q10(b) · PDF p.58/책 p.85</t>
  </si>
  <si>
    <t>Ultimately</t>
  </si>
  <si>
    <t>궁극적으로, 결국</t>
  </si>
  <si>
    <t>여러 과정·고려 끝에 나온 최종 선택이나 결과를 나타냅니다.</t>
  </si>
  <si>
    <t>The donor considered two charities. Ultimately, he divided the money between them.</t>
  </si>
  <si>
    <t>기부자는 두 자선단체를 고려했습니다. 결국, 돈을 두 곳에 나누어 기부했습니다.</t>
  </si>
  <si>
    <t>시원스쿨 기출 T2-Q9(c) · PDF p.53/책 p.76</t>
  </si>
  <si>
    <t>In the first place</t>
  </si>
  <si>
    <t>시간·순서</t>
  </si>
  <si>
    <t>우선, 애초에</t>
  </si>
  <si>
    <t>첫 번째 이유를 들거나 애초의 전제를 지적할 때 씁니다.</t>
  </si>
  <si>
    <t>In the first place, the parcel does not satisfy the minimum road-width requirement.</t>
  </si>
  <si>
    <t>우선, 그 필지는 최소 도로 폭 요건을 충족하지 않습니다.</t>
  </si>
  <si>
    <t>시원스쿨 기출 T3-Q9(c) · PDF p.87/책 p.110</t>
  </si>
  <si>
    <t>Meanwhile</t>
  </si>
  <si>
    <t>그동안, 한편</t>
  </si>
  <si>
    <t>동시에 진행되는 사건을 연결하며, 문맥에 따라 두 상황을 대조하기도 합니다.</t>
  </si>
  <si>
    <t>The engineers tested the joint. Meanwhile, the architects refined the unit layout.</t>
  </si>
  <si>
    <t>엔지니어들은 접합부를 시험했습니다. 그동안, 건축가들은 유닛 배치를 다듬었습니다.</t>
  </si>
  <si>
    <t>해커스 기출 T4-Q10(c) · PDF p.85/책 p.153
해커스 실전모의 T3-Q9(a) · PDF p.94/책 p.121</t>
  </si>
  <si>
    <t>Subsequently</t>
  </si>
  <si>
    <t>그 후에, 이어서</t>
  </si>
  <si>
    <t>앞 사건보다 뒤에 일어난 일을 격식 있게 나타냅니다.</t>
  </si>
  <si>
    <t>The first coin became known as the loonie. Subsequently, the two-dollar coin was nicknamed the toonie.</t>
  </si>
  <si>
    <t>첫 번째 동전은 루니로 알려졌습니다. 그 후, 2달러 동전은 투니라는 별명을 얻었습니다.</t>
  </si>
  <si>
    <t>해커스 기출 T2-Q9(d) · PDF p.19/책 p.85
해커스 기출 T3-Q9(c) · PDF p.53/책 p.119
해커스 실전모의 T6-Q9(c) · PDF p.202/책 p.229</t>
  </si>
  <si>
    <t>Thereafter</t>
  </si>
  <si>
    <t>그 후로, 그 이후에는</t>
  </si>
  <si>
    <t>특정 시점 뒤부터 이어지는 과정이나 상태를 나타냅니다.</t>
  </si>
  <si>
    <t>The first five minutes are free. Thereafter, users are charged by the minute.</t>
  </si>
  <si>
    <t>처음 5분은 무료입니다. 그 이후에는, 분 단위로 요금이 부과됩니다.</t>
  </si>
  <si>
    <t>시원스쿨 기출 T3-Q10(b) · PDF p.87/책 p.110
시원스쿨 기출 T4-Q10(b) · PDF p.121/책 p.144
해커스 기출 T4-Q10(b) · PDF p.85/책 p.153</t>
  </si>
  <si>
    <t>To begin</t>
  </si>
  <si>
    <t>먼저, 시작하자면</t>
  </si>
  <si>
    <t>설명·절차·논증의 첫 항목을 여는 표현입니다. to begin with도 흔합니다.</t>
  </si>
  <si>
    <t>To begin, we mapped every statutory constraint affecting the site.</t>
  </si>
  <si>
    <t>먼저, 부지에 영향을 미치는 모든 법적 제약을 매핑했습니다.</t>
  </si>
  <si>
    <t>해커스 기출 T1-Q10(d) · PDF p.149/책 p.51</t>
  </si>
  <si>
    <t>Alternately</t>
  </si>
  <si>
    <t>대안·조건</t>
  </si>
  <si>
    <t>부사</t>
  </si>
  <si>
    <t>교대로, 번갈아</t>
  </si>
  <si>
    <t>엄밀히는 '번갈아'라는 뜻입니다. '다른 대안으로는'이라는 뜻에는 alternatively가 더 정확합니다.</t>
  </si>
  <si>
    <t>The two crews worked alternately to keep the site operating around the clock.</t>
  </si>
  <si>
    <t>두 작업팀은 현장을 24시간 운영하기 위해 교대로 일했습니다.</t>
  </si>
  <si>
    <t>시원스쿨 기출 T4-Q9(b) · PDF p.121/책 p.144</t>
  </si>
  <si>
    <t>Alternatively</t>
  </si>
  <si>
    <t>그 대신에, 다른 방법으로는</t>
  </si>
  <si>
    <t>앞 방법과 다른 선택지나 가능성을 제시합니다.</t>
  </si>
  <si>
    <t>골조를 유지할 수도 있습니다. 다른 방법으로는, 해체하여 다른 곳에서 재사용할 수도 있습니다.</t>
  </si>
  <si>
    <t>해커스 기출 T4-Q10(d) · PDF p.85/책 p.153
해커스 실전모의 T1-Q9(d) · PDF p.22/책 p.49
해커스 실전모의 T3-Q10(b) · PDF p.94/책 p.121
해커스 실전모의 T4-Q10(d) · PDF p.130/책 p.157</t>
  </si>
  <si>
    <t>Otherwise</t>
  </si>
  <si>
    <t>그렇지 않으면; 그 외에는</t>
  </si>
  <si>
    <t>앞 조건이 충족되지 않을 때 생길 결과나 다른 경우를 제시합니다.</t>
  </si>
  <si>
    <t>Submit the permit documents today. Otherwise, the review will be delayed.</t>
  </si>
  <si>
    <t>오늘 인허가 서류를 제출하십시오. 그렇지 않으면, 심사가 지연될 것입니다.</t>
  </si>
  <si>
    <t>시원스쿨 기출 T2-Q10(c) · PDF p.53/책 p.76
해커스 기출 T4-Q10(a) · PDF p.85/책 p.153
해커스 실전모의 T3-Q10(c) · PDF p.94/책 p.121</t>
  </si>
  <si>
    <t>After all</t>
  </si>
  <si>
    <t>강조·근거</t>
  </si>
  <si>
    <t>결국; 무엇보다도; 왜냐하면</t>
  </si>
  <si>
    <t>이미 알려진 이유를 들어 앞 판단을 정당화하거나 상기시킵니다.</t>
  </si>
  <si>
    <t>The team should test the joint again. After all, it carries the vertical load.</t>
  </si>
  <si>
    <t>팀은 접합부를 다시 시험해야 합니다. 무엇보다도, 그 부분이 수직하중을 지지하기 때문입니다.</t>
  </si>
  <si>
    <t>해커스 실전모의 T5-Q9(b) · PDF p.166/책 p.193</t>
  </si>
  <si>
    <t>Of course</t>
  </si>
  <si>
    <t>물론</t>
  </si>
  <si>
    <t>공유된 사실을 인정하거나 당연한 점을 강조합니다. 뒤에 제한·대조가 이어지기도 합니다.</t>
  </si>
  <si>
    <t>Of course, digital automation does not eliminate the need for professional judgment.</t>
  </si>
  <si>
    <t>물론, 디지털 자동화가 전문적인 판단의 필요성을 없애는 것은 아닙니다.</t>
  </si>
  <si>
    <t>해커스 기출 T2-Q9(a) · PDF p.19/책 p.85</t>
  </si>
  <si>
    <t>자료</t>
  </si>
  <si>
    <t>회차</t>
  </si>
  <si>
    <t>PDF 페이지</t>
  </si>
  <si>
    <t>책 페이지</t>
  </si>
  <si>
    <t>문항</t>
  </si>
  <si>
    <t>보기</t>
  </si>
  <si>
    <t>정답 여부</t>
  </si>
  <si>
    <t>시원스쿨 기출</t>
  </si>
  <si>
    <t>TEST 1</t>
  </si>
  <si>
    <t>a</t>
  </si>
  <si>
    <t>오답</t>
  </si>
  <si>
    <t>b</t>
  </si>
  <si>
    <t>c</t>
  </si>
  <si>
    <t>d</t>
  </si>
  <si>
    <t>정답</t>
  </si>
  <si>
    <t>TEST 2</t>
  </si>
  <si>
    <t>TEST 3</t>
  </si>
  <si>
    <t>TEST 4</t>
  </si>
  <si>
    <t>TEST 5</t>
  </si>
  <si>
    <t>해커스 기출</t>
  </si>
  <si>
    <t>해커스 실전모의</t>
  </si>
  <si>
    <t>TEST 6</t>
  </si>
  <si>
    <t>논리 관계별 빠른 판단 가이드</t>
  </si>
  <si>
    <t>빈칸 앞뒤의 논리 방향을 먼저 정한 뒤, 같은 범주 안에서 뉘앙스와 문법 형태를 비교하면 빠르게 소거할 수 있습니다.</t>
  </si>
  <si>
    <t>판단 질문</t>
  </si>
  <si>
    <t>대표 표현</t>
  </si>
  <si>
    <t>고유 표현 수</t>
  </si>
  <si>
    <t>전체 등장 수</t>
  </si>
  <si>
    <t>학습 포인트</t>
  </si>
  <si>
    <t>같은 방향의 정보를 더하는가?</t>
  </si>
  <si>
    <t>Additionally, Further, Furthermore, In addition</t>
  </si>
  <si>
    <t>앞 문장을 지지하거나 내용을 한 단계 더 보탤 때 씁니다.</t>
  </si>
  <si>
    <t>앞 내용 때문에 뒤 결과가 나오는가?</t>
  </si>
  <si>
    <t>Accordingly, As a result, Consequently, For this reason</t>
  </si>
  <si>
    <t>원인 → 결과의 방향이 맞는지 먼저 확인합니다.</t>
  </si>
  <si>
    <t>예상과 반대이거나 두 관점을 대비하는가?</t>
  </si>
  <si>
    <t>Admittedly, At the same time, Conversely, Despite this</t>
  </si>
  <si>
    <t>단순 대조와 '그럼에도 불구하고'의 양보를 구분합니다.</t>
  </si>
  <si>
    <t>일반 진술을 사례나 정확한 내용으로 좁히는가?</t>
  </si>
  <si>
    <t>Especially, For example, For instance, In particular</t>
  </si>
  <si>
    <t>예시(for example)와 정확한 재명명(namely)을 구별합니다.</t>
  </si>
  <si>
    <t>앞 내용과 비슷한 사례나 논리를 잇는가?</t>
  </si>
  <si>
    <t>In the same sense, Likewise, Similarly</t>
  </si>
  <si>
    <t>두 문장의 방향과 문법 구조가 평행한지 확인합니다.</t>
  </si>
  <si>
    <t>앞 내용을 다시 표현하거나 압축하는가?</t>
  </si>
  <si>
    <t>In conclusion, In effect, In essence, In fact</t>
  </si>
  <si>
    <t>설명·재진술·최종 요약 중 어떤 기능인지 구분합니다.</t>
  </si>
  <si>
    <t>사건의 시점이나 전개 순서를 나타내는가?</t>
  </si>
  <si>
    <t>In the first place, Meanwhile, Subsequently, Thereafter</t>
  </si>
  <si>
    <t>동시성, 이후, 시작, 우선순위를 시간축으로 그려 봅니다.</t>
  </si>
  <si>
    <t>다른 선택지나 그렇지 않을 경우를 제시하는가?</t>
  </si>
  <si>
    <t>Alternately, Alternatively, Otherwise</t>
  </si>
  <si>
    <t>alternately(교대로)와 alternatively(대안으로)를 특히 구별합니다.</t>
  </si>
  <si>
    <t>앞 판단을 강조하거나 이유를 보충하는가?</t>
  </si>
  <si>
    <t>After all, Of course</t>
  </si>
  <si>
    <t>새 정보보다 필자의 태도와 정당화 기능에 주목합니다.</t>
  </si>
  <si>
    <t>자주 헷갈리는 표현</t>
  </si>
  <si>
    <t>표현 A</t>
  </si>
  <si>
    <t>표현 B</t>
  </si>
  <si>
    <t>핵심 차이</t>
  </si>
  <si>
    <t>판단 예시</t>
  </si>
  <si>
    <t>교대로·번갈아 / 다른 대안으로는</t>
  </si>
  <si>
    <t>두 작업팀이 번갈아 일함 / 다른 설계안을 제시함</t>
  </si>
  <si>
    <t>앞 진술을 부정·정정 / 두 측면을 균형 있게 대조</t>
  </si>
  <si>
    <t>느려지지 않았다. 오히려 빨라졌다 / 장점이 있다. 반면 단점도 있다</t>
  </si>
  <si>
    <t>정확히 무엇인지 특정 / 여러 사례 중 하나를 예시</t>
  </si>
  <si>
    <t>두 특성, 즉 A와 B / 여러 규정, 예를 들어 높이 제한</t>
  </si>
  <si>
    <t>문장 연결 표현 / 뒤에 절을 이끄는 종속접속사</t>
  </si>
  <si>
    <t>Despite this, S+V / Even though S+V, S+V</t>
  </si>
  <si>
    <t>그 다음 사건 / 그 시점 이후의 지속·전개</t>
  </si>
  <si>
    <t>그 후 새 이름을 얻음 / 처음 5분 뒤부터 계속 과금</t>
  </si>
  <si>
    <t>격식 있는 사실 인정 / 상대 주장의 일부를 인정</t>
  </si>
  <si>
    <t>인정하건대 비용이 높다 / 물론 배우기 어렵다는 점은 인정한다</t>
  </si>
  <si>
    <t>Additionally</t>
    <phoneticPr fontId="10" type="noConversion"/>
  </si>
  <si>
    <t>We could retain the frame. Alternatively, we could dismantle and reuse it elsewhere.</t>
    <phoneticPr fontId="10" type="noConversion"/>
  </si>
  <si>
    <t>In addition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</si>
</sst>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8"/>
      <color rgb="FFFFFFFF"/>
      <name val="Noto Sans KR Thin"/>
      <family val="3"/>
      <charset val="129"/>
    </font>
    <font>
      <sz val="10"/>
      <color rgb="FF172554"/>
      <name val="Noto Sans KR Thin"/>
      <family val="3"/>
      <charset val="129"/>
    </font>
    <font>
      <sz val="11"/>
      <name val="Noto Sans KR Thin"/>
      <family val="3"/>
      <charset val="129"/>
    </font>
    <font>
      <b/>
      <sz val="10"/>
      <color rgb="FFFFFFFF"/>
      <name val="Noto Sans KR Thin"/>
      <family val="3"/>
      <charset val="129"/>
    </font>
    <font>
      <b/>
      <sz val="10"/>
      <color rgb="FF172554"/>
      <name val="Noto Sans KR Thin"/>
      <family val="3"/>
      <charset val="129"/>
    </font>
    <font>
      <sz val="9"/>
      <color rgb="FF0F172A"/>
      <name val="Noto Sans KR Thin"/>
      <family val="3"/>
      <charset val="129"/>
    </font>
    <font>
      <b/>
      <sz val="10"/>
      <color rgb="FF0F766E"/>
      <name val="Noto Sans KR Thin"/>
      <family val="3"/>
      <charset val="129"/>
    </font>
    <font>
      <b/>
      <sz val="9"/>
      <color rgb="FF172554"/>
      <name val="Noto Sans KR Thin"/>
      <family val="3"/>
      <charset val="129"/>
    </font>
    <font>
      <b/>
      <sz val="12"/>
      <color rgb="FF92400E"/>
      <name val="Noto Sans KR Thin"/>
      <family val="3"/>
      <charset val="129"/>
    </font>
    <font>
      <sz val="8"/>
      <name val="돋움"/>
      <family val="3"/>
      <charset val="129"/>
    </font>
    <font>
      <b/>
      <sz val="18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172554"/>
      <name val="맑은 고딕"/>
      <family val="3"/>
      <charset val="129"/>
    </font>
    <font>
      <b/>
      <sz val="10"/>
      <color rgb="FF475569"/>
      <name val="맑은 고딕"/>
      <family val="3"/>
      <charset val="129"/>
    </font>
    <font>
      <b/>
      <sz val="14"/>
      <color rgb="FF0F766E"/>
      <name val="맑은 고딕"/>
      <family val="3"/>
      <charset val="129"/>
    </font>
    <font>
      <b/>
      <sz val="10"/>
      <color rgb="FF92400E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72554"/>
      <name val="맑은 고딕"/>
      <family val="3"/>
      <charset val="129"/>
    </font>
    <font>
      <sz val="9"/>
      <color rgb="FF0F172A"/>
      <name val="맑은 고딕"/>
      <family val="3"/>
      <charset val="129"/>
    </font>
    <font>
      <b/>
      <sz val="10"/>
      <color rgb="FF0F766E"/>
      <name val="맑은 고딕"/>
      <family val="3"/>
      <charset val="129"/>
    </font>
    <font>
      <sz val="8"/>
      <color rgb="FF475569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CCFBF1"/>
      </patternFill>
    </fill>
    <fill>
      <patternFill patternType="solid">
        <fgColor rgb="FFFEF3C7"/>
      </patternFill>
    </fill>
    <fill>
      <patternFill patternType="solid">
        <fgColor rgb="FF1D4ED8"/>
      </patternFill>
    </fill>
    <fill>
      <patternFill patternType="solid">
        <fgColor rgb="FF0F766E"/>
      </patternFill>
    </fill>
    <fill>
      <patternFill patternType="solid">
        <fgColor rgb="FF475569"/>
      </patternFill>
    </fill>
  </fills>
  <borders count="9">
    <border>
      <left/>
      <right/>
      <top/>
      <bottom/>
      <diagonal/>
    </border>
    <border>
      <left style="thin">
        <color rgb="FF172554"/>
      </left>
      <right/>
      <top style="thin">
        <color rgb="FF172554"/>
      </top>
      <bottom style="thin">
        <color rgb="FF172554"/>
      </bottom>
      <diagonal/>
    </border>
    <border>
      <left/>
      <right/>
      <top style="thin">
        <color rgb="FF172554"/>
      </top>
      <bottom style="thin">
        <color rgb="FF172554"/>
      </bottom>
      <diagonal/>
    </border>
    <border>
      <left/>
      <right style="thin">
        <color rgb="FF172554"/>
      </right>
      <top style="thin">
        <color rgb="FF172554"/>
      </top>
      <bottom style="thin">
        <color rgb="FF172554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 style="thin">
        <color rgb="FFE2E8F0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NumberFormat="1" applyFont="1" applyFill="1" applyBorder="1"/>
    <xf numFmtId="0" fontId="5" fillId="0" borderId="4" xfId="0" applyNumberFormat="1" applyFont="1" applyFill="1" applyBorder="1" applyAlignment="1">
      <alignment vertical="top" wrapText="1"/>
    </xf>
    <xf numFmtId="0" fontId="6" fillId="0" borderId="4" xfId="0" applyNumberFormat="1" applyFont="1" applyFill="1" applyBorder="1" applyAlignment="1">
      <alignment vertical="top" wrapText="1"/>
    </xf>
    <xf numFmtId="1" fontId="7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vertical="top" wrapText="1"/>
    </xf>
    <xf numFmtId="0" fontId="6" fillId="0" borderId="5" xfId="0" applyNumberFormat="1" applyFont="1" applyFill="1" applyBorder="1" applyAlignment="1">
      <alignment vertical="top" wrapText="1"/>
    </xf>
    <xf numFmtId="1" fontId="7" fillId="0" borderId="5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vertical="center"/>
    </xf>
    <xf numFmtId="0" fontId="6" fillId="0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vertical="center"/>
    </xf>
    <xf numFmtId="0" fontId="6" fillId="0" borderId="5" xfId="0" applyNumberFormat="1" applyFont="1" applyFill="1" applyBorder="1" applyAlignment="1">
      <alignment vertical="center"/>
    </xf>
    <xf numFmtId="0" fontId="6" fillId="0" borderId="5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vertical="center"/>
    </xf>
    <xf numFmtId="0" fontId="6" fillId="0" borderId="7" xfId="0" applyNumberFormat="1" applyFont="1" applyFill="1" applyBorder="1" applyAlignment="1">
      <alignment vertical="center"/>
    </xf>
    <xf numFmtId="0" fontId="6" fillId="0" borderId="7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vertical="center"/>
    </xf>
    <xf numFmtId="0" fontId="4" fillId="8" borderId="0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vertical="top" wrapText="1"/>
    </xf>
    <xf numFmtId="0" fontId="6" fillId="0" borderId="7" xfId="0" applyNumberFormat="1" applyFont="1" applyFill="1" applyBorder="1" applyAlignment="1">
      <alignment vertical="top" wrapText="1"/>
    </xf>
    <xf numFmtId="1" fontId="7" fillId="0" borderId="7" xfId="0" applyNumberFormat="1" applyFont="1" applyFill="1" applyBorder="1" applyAlignment="1">
      <alignment horizontal="center" vertical="center" wrapText="1"/>
    </xf>
    <xf numFmtId="0" fontId="4" fillId="9" borderId="0" xfId="0" applyNumberFormat="1" applyFont="1" applyFill="1" applyBorder="1" applyAlignment="1">
      <alignment horizontal="center" vertical="center"/>
    </xf>
    <xf numFmtId="0" fontId="8" fillId="0" borderId="8" xfId="0" applyNumberFormat="1" applyFont="1" applyFill="1" applyBorder="1" applyAlignment="1">
      <alignment vertical="top" wrapText="1"/>
    </xf>
    <xf numFmtId="0" fontId="6" fillId="0" borderId="8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9" fillId="6" borderId="0" xfId="0" applyNumberFormat="1" applyFont="1" applyFill="1" applyBorder="1" applyAlignment="1">
      <alignment vertical="center"/>
    </xf>
    <xf numFmtId="0" fontId="11" fillId="2" borderId="0" xfId="0" applyNumberFormat="1" applyFont="1" applyFill="1" applyBorder="1" applyAlignment="1">
      <alignment horizontal="left" vertical="center"/>
    </xf>
    <xf numFmtId="0" fontId="12" fillId="0" borderId="0" xfId="0" applyFont="1"/>
    <xf numFmtId="0" fontId="13" fillId="3" borderId="0" xfId="0" applyNumberFormat="1" applyFont="1" applyFill="1" applyBorder="1" applyAlignment="1">
      <alignment vertical="center" wrapText="1"/>
    </xf>
    <xf numFmtId="0" fontId="14" fillId="4" borderId="0" xfId="0" applyNumberFormat="1" applyFont="1" applyFill="1" applyBorder="1" applyAlignment="1">
      <alignment vertical="center"/>
    </xf>
    <xf numFmtId="0" fontId="15" fillId="5" borderId="0" xfId="0" applyNumberFormat="1" applyFont="1" applyFill="1" applyBorder="1" applyAlignment="1">
      <alignment horizontal="center" vertical="center"/>
    </xf>
    <xf numFmtId="0" fontId="16" fillId="6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/>
    <xf numFmtId="0" fontId="17" fillId="7" borderId="1" xfId="0" applyNumberFormat="1" applyFont="1" applyFill="1" applyBorder="1" applyAlignment="1">
      <alignment horizontal="center" vertical="center" wrapText="1"/>
    </xf>
    <xf numFmtId="0" fontId="17" fillId="7" borderId="2" xfId="0" applyNumberFormat="1" applyFont="1" applyFill="1" applyBorder="1" applyAlignment="1">
      <alignment horizontal="center" vertical="center" wrapText="1"/>
    </xf>
    <xf numFmtId="0" fontId="17" fillId="7" borderId="3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vertical="top" wrapText="1"/>
    </xf>
    <xf numFmtId="0" fontId="19" fillId="0" borderId="4" xfId="0" applyNumberFormat="1" applyFont="1" applyFill="1" applyBorder="1" applyAlignment="1">
      <alignment horizontal="center" vertical="top" wrapText="1"/>
    </xf>
    <xf numFmtId="0" fontId="19" fillId="0" borderId="4" xfId="0" applyNumberFormat="1" applyFont="1" applyFill="1" applyBorder="1" applyAlignment="1">
      <alignment vertical="top" wrapText="1"/>
    </xf>
    <xf numFmtId="1" fontId="20" fillId="0" borderId="4" xfId="0" applyNumberFormat="1" applyFont="1" applyFill="1" applyBorder="1" applyAlignment="1">
      <alignment horizontal="center" vertical="center" wrapText="1"/>
    </xf>
    <xf numFmtId="0" fontId="21" fillId="0" borderId="4" xfId="0" applyNumberFormat="1" applyFont="1" applyFill="1" applyBorder="1" applyAlignment="1">
      <alignment vertical="top" wrapText="1"/>
    </xf>
    <xf numFmtId="0" fontId="18" fillId="0" borderId="5" xfId="0" applyNumberFormat="1" applyFont="1" applyFill="1" applyBorder="1" applyAlignment="1">
      <alignment vertical="top" wrapText="1"/>
    </xf>
    <xf numFmtId="0" fontId="19" fillId="0" borderId="5" xfId="0" applyNumberFormat="1" applyFont="1" applyFill="1" applyBorder="1" applyAlignment="1">
      <alignment horizontal="center" vertical="top" wrapText="1"/>
    </xf>
    <xf numFmtId="0" fontId="19" fillId="0" borderId="5" xfId="0" applyNumberFormat="1" applyFont="1" applyFill="1" applyBorder="1" applyAlignment="1">
      <alignment vertical="top" wrapText="1"/>
    </xf>
    <xf numFmtId="1" fontId="20" fillId="0" borderId="5" xfId="0" applyNumberFormat="1" applyFont="1" applyFill="1" applyBorder="1" applyAlignment="1">
      <alignment horizontal="center" vertical="center" wrapText="1"/>
    </xf>
    <xf numFmtId="0" fontId="21" fillId="0" borderId="5" xfId="0" applyNumberFormat="1" applyFont="1" applyFill="1" applyBorder="1" applyAlignment="1">
      <alignment vertical="top" wrapText="1"/>
    </xf>
    <xf numFmtId="0" fontId="18" fillId="0" borderId="6" xfId="0" applyNumberFormat="1" applyFont="1" applyFill="1" applyBorder="1" applyAlignment="1">
      <alignment vertical="top" wrapText="1"/>
    </xf>
    <xf numFmtId="0" fontId="19" fillId="0" borderId="6" xfId="0" applyNumberFormat="1" applyFont="1" applyFill="1" applyBorder="1" applyAlignment="1">
      <alignment horizontal="center" vertical="top" wrapText="1"/>
    </xf>
    <xf numFmtId="0" fontId="19" fillId="0" borderId="6" xfId="0" applyNumberFormat="1" applyFont="1" applyFill="1" applyBorder="1" applyAlignment="1">
      <alignment vertical="top" wrapText="1"/>
    </xf>
    <xf numFmtId="1" fontId="20" fillId="0" borderId="6" xfId="0" applyNumberFormat="1" applyFont="1" applyFill="1" applyBorder="1" applyAlignment="1">
      <alignment horizontal="center" vertical="center" wrapText="1"/>
    </xf>
    <xf numFmtId="0" fontId="21" fillId="0" borderId="6" xfId="0" applyNumberFormat="1" applyFont="1" applyFill="1" applyBorder="1" applyAlignment="1">
      <alignment vertical="top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nectorMasterTable" displayName="ConnectorMasterTable" ref="A5:J63" totalsRowShown="0" headerRowDxfId="1" dataDxfId="0">
  <autoFilter ref="A5:J63" xr:uid="{00000000-000C-0000-FFFF-FFFF00000000}"/>
  <tableColumns count="10">
    <tableColumn id="1" xr3:uid="{00000000-0010-0000-0000-000001000000}" name="연결어" dataDxfId="11"/>
    <tableColumn id="2" xr3:uid="{00000000-0010-0000-0000-000002000000}" name="논리 관계" dataDxfId="10"/>
    <tableColumn id="3" xr3:uid="{00000000-0010-0000-0000-000003000000}" name="문법 형태" dataDxfId="9"/>
    <tableColumn id="4" xr3:uid="{00000000-0010-0000-0000-000004000000}" name="핵심 뜻" dataDxfId="8"/>
    <tableColumn id="5" xr3:uid="{00000000-0010-0000-0000-000005000000}" name="뉘앙스·사용법" dataDxfId="7"/>
    <tableColumn id="6" xr3:uid="{00000000-0010-0000-0000-000006000000}" name="영어 예문" dataDxfId="6"/>
    <tableColumn id="7" xr3:uid="{00000000-0010-0000-0000-000007000000}" name="예문 해석" dataDxfId="5"/>
    <tableColumn id="8" xr3:uid="{00000000-0010-0000-0000-000008000000}" name="등장 횟수" dataDxfId="4"/>
    <tableColumn id="9" xr3:uid="{00000000-0010-0000-0000-000009000000}" name="정답 횟수" dataDxfId="3"/>
    <tableColumn id="10" xr3:uid="{00000000-0010-0000-0000-00000A000000}" name="출처 위치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OptionsTable" displayName="QuestionOptionsTable" ref="A1:I129" totalsRowShown="0">
  <tableColumns count="9">
    <tableColumn id="1" xr3:uid="{00000000-0010-0000-0100-000001000000}" name="자료"/>
    <tableColumn id="2" xr3:uid="{00000000-0010-0000-0100-000002000000}" name="회차"/>
    <tableColumn id="3" xr3:uid="{00000000-0010-0000-0100-000003000000}" name="PDF 페이지"/>
    <tableColumn id="4" xr3:uid="{00000000-0010-0000-0100-000004000000}" name="책 페이지"/>
    <tableColumn id="5" xr3:uid="{00000000-0010-0000-0100-000005000000}" name="문항"/>
    <tableColumn id="6" xr3:uid="{00000000-0010-0000-0100-000006000000}" name="보기"/>
    <tableColumn id="7" xr3:uid="{00000000-0010-0000-0100-000007000000}" name="연결어"/>
    <tableColumn id="8" xr3:uid="{00000000-0010-0000-0100-000008000000}" name="논리 관계"/>
    <tableColumn id="9" xr3:uid="{00000000-0010-0000-0100-000009000000}" name="정답 여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GuideTable" displayName="CategoryGuideTable" ref="A5:F14" totalsRowShown="0">
  <tableColumns count="6">
    <tableColumn id="1" xr3:uid="{00000000-0010-0000-0200-000001000000}" name="논리 관계"/>
    <tableColumn id="2" xr3:uid="{00000000-0010-0000-0200-000002000000}" name="판단 질문"/>
    <tableColumn id="3" xr3:uid="{00000000-0010-0000-0200-000003000000}" name="대표 표현"/>
    <tableColumn id="4" xr3:uid="{00000000-0010-0000-0200-000004000000}" name="고유 표현 수"/>
    <tableColumn id="5" xr3:uid="{00000000-0010-0000-0200-000005000000}" name="전체 등장 수"/>
    <tableColumn id="6" xr3:uid="{00000000-0010-0000-0200-000006000000}" name="학습 포인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showGridLines="0" tabSelected="1" topLeftCell="A61" workbookViewId="0">
      <selection activeCell="B63" sqref="B63"/>
    </sheetView>
  </sheetViews>
  <sheetFormatPr defaultRowHeight="16.5"/>
  <cols>
    <col min="1" max="1" width="22" style="29" customWidth="1"/>
    <col min="2" max="3" width="16" style="29" customWidth="1"/>
    <col min="4" max="4" width="24" style="29" customWidth="1"/>
    <col min="5" max="5" width="44" style="29" customWidth="1"/>
    <col min="6" max="6" width="48" style="29" customWidth="1"/>
    <col min="7" max="7" width="44" style="29" customWidth="1"/>
    <col min="8" max="9" width="11" style="29" customWidth="1"/>
    <col min="10" max="10" width="58" style="29" customWidth="1"/>
    <col min="11" max="16384" width="9" style="29"/>
  </cols>
  <sheetData>
    <row r="1" spans="1:10" ht="33.950000000000003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20.25">
      <c r="A3" s="31" t="s">
        <v>2</v>
      </c>
      <c r="B3" s="32">
        <f>COUNTA(A6:A63)</f>
        <v>58</v>
      </c>
      <c r="C3" s="31" t="s">
        <v>3</v>
      </c>
      <c r="D3" s="32">
        <f>COUNTA('문항별 보기'!$G$2:$G$129)</f>
        <v>128</v>
      </c>
      <c r="E3" s="31" t="s">
        <v>4</v>
      </c>
      <c r="F3" s="32">
        <f>COUNTIF('문항별 보기'!$I$2:$I$129,"정답")</f>
        <v>32</v>
      </c>
      <c r="G3" s="31" t="s">
        <v>5</v>
      </c>
      <c r="H3" s="32">
        <f>COUNTA('범주별 정리'!$A$6:$A$14)</f>
        <v>9</v>
      </c>
      <c r="I3" s="31" t="s">
        <v>6</v>
      </c>
      <c r="J3" s="33" t="s">
        <v>7</v>
      </c>
    </row>
    <row r="4" spans="1:10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ht="30" customHeight="1">
      <c r="A5" s="35" t="s">
        <v>8</v>
      </c>
      <c r="B5" s="36" t="s">
        <v>9</v>
      </c>
      <c r="C5" s="36" t="s">
        <v>10</v>
      </c>
      <c r="D5" s="36" t="s">
        <v>11</v>
      </c>
      <c r="E5" s="36" t="s">
        <v>12</v>
      </c>
      <c r="F5" s="36" t="s">
        <v>13</v>
      </c>
      <c r="G5" s="36" t="s">
        <v>14</v>
      </c>
      <c r="H5" s="36" t="s">
        <v>15</v>
      </c>
      <c r="I5" s="36" t="s">
        <v>16</v>
      </c>
      <c r="J5" s="37" t="s">
        <v>17</v>
      </c>
    </row>
    <row r="6" spans="1:10" ht="63.95" customHeight="1">
      <c r="A6" s="38" t="s">
        <v>449</v>
      </c>
      <c r="B6" s="39" t="s">
        <v>19</v>
      </c>
      <c r="C6" s="39" t="s">
        <v>20</v>
      </c>
      <c r="D6" s="40" t="s">
        <v>21</v>
      </c>
      <c r="E6" s="40" t="s">
        <v>22</v>
      </c>
      <c r="F6" s="40" t="s">
        <v>23</v>
      </c>
      <c r="G6" s="40" t="s">
        <v>24</v>
      </c>
      <c r="H6" s="41">
        <f>COUNTIF('문항별 보기'!$G$2:$G$129,A6)</f>
        <v>1</v>
      </c>
      <c r="I6" s="41">
        <f>COUNTIFS('문항별 보기'!$G$2:$G$129,A6,'문항별 보기'!$I$2:$I$129,"정답")</f>
        <v>0</v>
      </c>
      <c r="J6" s="42" t="s">
        <v>25</v>
      </c>
    </row>
    <row r="7" spans="1:10" ht="63.95" customHeight="1">
      <c r="A7" s="43" t="s">
        <v>26</v>
      </c>
      <c r="B7" s="44" t="s">
        <v>19</v>
      </c>
      <c r="C7" s="44" t="s">
        <v>20</v>
      </c>
      <c r="D7" s="45" t="s">
        <v>27</v>
      </c>
      <c r="E7" s="45" t="s">
        <v>28</v>
      </c>
      <c r="F7" s="45" t="s">
        <v>29</v>
      </c>
      <c r="G7" s="45" t="s">
        <v>30</v>
      </c>
      <c r="H7" s="46">
        <f>COUNTIF('문항별 보기'!$G$2:$G$129,A7)</f>
        <v>1</v>
      </c>
      <c r="I7" s="46">
        <f>COUNTIFS('문항별 보기'!$G$2:$G$129,A7,'문항별 보기'!$I$2:$I$129,"정답")</f>
        <v>0</v>
      </c>
      <c r="J7" s="47" t="s">
        <v>31</v>
      </c>
    </row>
    <row r="8" spans="1:10" ht="63.95" customHeight="1">
      <c r="A8" s="43" t="s">
        <v>32</v>
      </c>
      <c r="B8" s="44" t="s">
        <v>19</v>
      </c>
      <c r="C8" s="44" t="s">
        <v>20</v>
      </c>
      <c r="D8" s="45" t="s">
        <v>33</v>
      </c>
      <c r="E8" s="45" t="s">
        <v>34</v>
      </c>
      <c r="F8" s="45" t="s">
        <v>35</v>
      </c>
      <c r="G8" s="45" t="s">
        <v>36</v>
      </c>
      <c r="H8" s="46">
        <f>COUNTIF('문항별 보기'!$G$2:$G$129,A8)</f>
        <v>2</v>
      </c>
      <c r="I8" s="46">
        <f>COUNTIFS('문항별 보기'!$G$2:$G$129,A8,'문항별 보기'!$I$2:$I$129,"정답")</f>
        <v>2</v>
      </c>
      <c r="J8" s="47" t="s">
        <v>37</v>
      </c>
    </row>
    <row r="9" spans="1:10" ht="63.95" customHeight="1">
      <c r="A9" s="43" t="s">
        <v>451</v>
      </c>
      <c r="B9" s="44" t="s">
        <v>19</v>
      </c>
      <c r="C9" s="44" t="s">
        <v>39</v>
      </c>
      <c r="D9" s="45" t="s">
        <v>40</v>
      </c>
      <c r="E9" s="45" t="s">
        <v>41</v>
      </c>
      <c r="F9" s="45" t="s">
        <v>42</v>
      </c>
      <c r="G9" s="45" t="s">
        <v>43</v>
      </c>
      <c r="H9" s="46">
        <f>COUNTIF('문항별 보기'!$G$2:$G$129,A9)</f>
        <v>5</v>
      </c>
      <c r="I9" s="46">
        <f>COUNTIFS('문항별 보기'!$G$2:$G$129,A9,'문항별 보기'!$I$2:$I$129,"정답")</f>
        <v>1</v>
      </c>
      <c r="J9" s="47" t="s">
        <v>44</v>
      </c>
    </row>
    <row r="10" spans="1:10" ht="63.95" customHeight="1">
      <c r="A10" s="43" t="s">
        <v>45</v>
      </c>
      <c r="B10" s="44" t="s">
        <v>19</v>
      </c>
      <c r="C10" s="44" t="s">
        <v>20</v>
      </c>
      <c r="D10" s="45" t="s">
        <v>33</v>
      </c>
      <c r="E10" s="45" t="s">
        <v>46</v>
      </c>
      <c r="F10" s="45" t="s">
        <v>47</v>
      </c>
      <c r="G10" s="45" t="s">
        <v>48</v>
      </c>
      <c r="H10" s="46">
        <f>COUNTIF('문항별 보기'!$G$2:$G$129,A10)</f>
        <v>4</v>
      </c>
      <c r="I10" s="46">
        <f>COUNTIFS('문항별 보기'!$G$2:$G$129,A10,'문항별 보기'!$I$2:$I$129,"정답")</f>
        <v>0</v>
      </c>
      <c r="J10" s="47" t="s">
        <v>49</v>
      </c>
    </row>
    <row r="11" spans="1:10" ht="63.95" customHeight="1">
      <c r="A11" s="43" t="s">
        <v>50</v>
      </c>
      <c r="B11" s="44" t="s">
        <v>19</v>
      </c>
      <c r="C11" s="44" t="s">
        <v>39</v>
      </c>
      <c r="D11" s="45" t="s">
        <v>51</v>
      </c>
      <c r="E11" s="45" t="s">
        <v>52</v>
      </c>
      <c r="F11" s="45" t="s">
        <v>53</v>
      </c>
      <c r="G11" s="45" t="s">
        <v>54</v>
      </c>
      <c r="H11" s="46">
        <f>COUNTIF('문항별 보기'!$G$2:$G$129,A11)</f>
        <v>1</v>
      </c>
      <c r="I11" s="46">
        <f>COUNTIFS('문항별 보기'!$G$2:$G$129,A11,'문항별 보기'!$I$2:$I$129,"정답")</f>
        <v>0</v>
      </c>
      <c r="J11" s="47" t="s">
        <v>55</v>
      </c>
    </row>
    <row r="12" spans="1:10" ht="63.95" customHeight="1">
      <c r="A12" s="43" t="s">
        <v>56</v>
      </c>
      <c r="B12" s="44" t="s">
        <v>57</v>
      </c>
      <c r="C12" s="44" t="s">
        <v>20</v>
      </c>
      <c r="D12" s="45" t="s">
        <v>58</v>
      </c>
      <c r="E12" s="45" t="s">
        <v>59</v>
      </c>
      <c r="F12" s="45" t="s">
        <v>60</v>
      </c>
      <c r="G12" s="45" t="s">
        <v>61</v>
      </c>
      <c r="H12" s="46">
        <f>COUNTIF('문항별 보기'!$G$2:$G$129,A12)</f>
        <v>3</v>
      </c>
      <c r="I12" s="46">
        <f>COUNTIFS('문항별 보기'!$G$2:$G$129,A12,'문항별 보기'!$I$2:$I$129,"정답")</f>
        <v>2</v>
      </c>
      <c r="J12" s="47" t="s">
        <v>62</v>
      </c>
    </row>
    <row r="13" spans="1:10" ht="63.95" customHeight="1">
      <c r="A13" s="43" t="s">
        <v>63</v>
      </c>
      <c r="B13" s="44" t="s">
        <v>57</v>
      </c>
      <c r="C13" s="44" t="s">
        <v>39</v>
      </c>
      <c r="D13" s="45" t="s">
        <v>64</v>
      </c>
      <c r="E13" s="45" t="s">
        <v>65</v>
      </c>
      <c r="F13" s="45" t="s">
        <v>66</v>
      </c>
      <c r="G13" s="45" t="s">
        <v>67</v>
      </c>
      <c r="H13" s="46">
        <f>COUNTIF('문항별 보기'!$G$2:$G$129,A13)</f>
        <v>1</v>
      </c>
      <c r="I13" s="46">
        <f>COUNTIFS('문항별 보기'!$G$2:$G$129,A13,'문항별 보기'!$I$2:$I$129,"정답")</f>
        <v>1</v>
      </c>
      <c r="J13" s="47" t="s">
        <v>68</v>
      </c>
    </row>
    <row r="14" spans="1:10" ht="63.95" customHeight="1">
      <c r="A14" s="43" t="s">
        <v>69</v>
      </c>
      <c r="B14" s="44" t="s">
        <v>57</v>
      </c>
      <c r="C14" s="44" t="s">
        <v>20</v>
      </c>
      <c r="D14" s="45" t="s">
        <v>70</v>
      </c>
      <c r="E14" s="45" t="s">
        <v>71</v>
      </c>
      <c r="F14" s="45" t="s">
        <v>72</v>
      </c>
      <c r="G14" s="45" t="s">
        <v>73</v>
      </c>
      <c r="H14" s="46">
        <f>COUNTIF('문항별 보기'!$G$2:$G$129,A14)</f>
        <v>3</v>
      </c>
      <c r="I14" s="46">
        <f>COUNTIFS('문항별 보기'!$G$2:$G$129,A14,'문항별 보기'!$I$2:$I$129,"정답")</f>
        <v>1</v>
      </c>
      <c r="J14" s="47" t="s">
        <v>74</v>
      </c>
    </row>
    <row r="15" spans="1:10" ht="63.95" customHeight="1">
      <c r="A15" s="43" t="s">
        <v>75</v>
      </c>
      <c r="B15" s="44" t="s">
        <v>57</v>
      </c>
      <c r="C15" s="44" t="s">
        <v>39</v>
      </c>
      <c r="D15" s="45" t="s">
        <v>76</v>
      </c>
      <c r="E15" s="45" t="s">
        <v>77</v>
      </c>
      <c r="F15" s="45" t="s">
        <v>78</v>
      </c>
      <c r="G15" s="45" t="s">
        <v>79</v>
      </c>
      <c r="H15" s="46">
        <f>COUNTIF('문항별 보기'!$G$2:$G$129,A15)</f>
        <v>2</v>
      </c>
      <c r="I15" s="46">
        <f>COUNTIFS('문항별 보기'!$G$2:$G$129,A15,'문항별 보기'!$I$2:$I$129,"정답")</f>
        <v>2</v>
      </c>
      <c r="J15" s="47" t="s">
        <v>80</v>
      </c>
    </row>
    <row r="16" spans="1:10" ht="63.95" customHeight="1">
      <c r="A16" s="43" t="s">
        <v>81</v>
      </c>
      <c r="B16" s="44" t="s">
        <v>57</v>
      </c>
      <c r="C16" s="44" t="s">
        <v>39</v>
      </c>
      <c r="D16" s="45" t="s">
        <v>82</v>
      </c>
      <c r="E16" s="45" t="s">
        <v>83</v>
      </c>
      <c r="F16" s="45" t="s">
        <v>84</v>
      </c>
      <c r="G16" s="45" t="s">
        <v>85</v>
      </c>
      <c r="H16" s="46">
        <f>COUNTIF('문항별 보기'!$G$2:$G$129,A16)</f>
        <v>1</v>
      </c>
      <c r="I16" s="46">
        <f>COUNTIFS('문항별 보기'!$G$2:$G$129,A16,'문항별 보기'!$I$2:$I$129,"정답")</f>
        <v>0</v>
      </c>
      <c r="J16" s="47" t="s">
        <v>86</v>
      </c>
    </row>
    <row r="17" spans="1:10" ht="63.95" customHeight="1">
      <c r="A17" s="43" t="s">
        <v>87</v>
      </c>
      <c r="B17" s="44" t="s">
        <v>57</v>
      </c>
      <c r="C17" s="44" t="s">
        <v>20</v>
      </c>
      <c r="D17" s="45" t="s">
        <v>88</v>
      </c>
      <c r="E17" s="45" t="s">
        <v>89</v>
      </c>
      <c r="F17" s="45" t="s">
        <v>90</v>
      </c>
      <c r="G17" s="45" t="s">
        <v>91</v>
      </c>
      <c r="H17" s="46">
        <f>COUNTIF('문항별 보기'!$G$2:$G$129,A17)</f>
        <v>1</v>
      </c>
      <c r="I17" s="46">
        <f>COUNTIFS('문항별 보기'!$G$2:$G$129,A17,'문항별 보기'!$I$2:$I$129,"정답")</f>
        <v>1</v>
      </c>
      <c r="J17" s="47" t="s">
        <v>92</v>
      </c>
    </row>
    <row r="18" spans="1:10" ht="63.95" customHeight="1">
      <c r="A18" s="43" t="s">
        <v>93</v>
      </c>
      <c r="B18" s="44" t="s">
        <v>57</v>
      </c>
      <c r="C18" s="44" t="s">
        <v>20</v>
      </c>
      <c r="D18" s="45" t="s">
        <v>94</v>
      </c>
      <c r="E18" s="45" t="s">
        <v>95</v>
      </c>
      <c r="F18" s="45" t="s">
        <v>96</v>
      </c>
      <c r="G18" s="45" t="s">
        <v>97</v>
      </c>
      <c r="H18" s="46">
        <f>COUNTIF('문항별 보기'!$G$2:$G$129,A18)</f>
        <v>3</v>
      </c>
      <c r="I18" s="46">
        <f>COUNTIFS('문항별 보기'!$G$2:$G$129,A18,'문항별 보기'!$I$2:$I$129,"정답")</f>
        <v>1</v>
      </c>
      <c r="J18" s="47" t="s">
        <v>98</v>
      </c>
    </row>
    <row r="19" spans="1:10" ht="63.95" customHeight="1">
      <c r="A19" s="43" t="s">
        <v>99</v>
      </c>
      <c r="B19" s="44" t="s">
        <v>57</v>
      </c>
      <c r="C19" s="44" t="s">
        <v>20</v>
      </c>
      <c r="D19" s="45" t="s">
        <v>100</v>
      </c>
      <c r="E19" s="45" t="s">
        <v>101</v>
      </c>
      <c r="F19" s="45" t="s">
        <v>102</v>
      </c>
      <c r="G19" s="45" t="s">
        <v>103</v>
      </c>
      <c r="H19" s="46">
        <f>COUNTIF('문항별 보기'!$G$2:$G$129,A19)</f>
        <v>1</v>
      </c>
      <c r="I19" s="46">
        <f>COUNTIFS('문항별 보기'!$G$2:$G$129,A19,'문항별 보기'!$I$2:$I$129,"정답")</f>
        <v>1</v>
      </c>
      <c r="J19" s="47" t="s">
        <v>104</v>
      </c>
    </row>
    <row r="20" spans="1:10" ht="63.95" customHeight="1">
      <c r="A20" s="43" t="s">
        <v>105</v>
      </c>
      <c r="B20" s="44" t="s">
        <v>106</v>
      </c>
      <c r="C20" s="44" t="s">
        <v>20</v>
      </c>
      <c r="D20" s="45" t="s">
        <v>107</v>
      </c>
      <c r="E20" s="45" t="s">
        <v>108</v>
      </c>
      <c r="F20" s="45" t="s">
        <v>109</v>
      </c>
      <c r="G20" s="45" t="s">
        <v>110</v>
      </c>
      <c r="H20" s="46">
        <f>COUNTIF('문항별 보기'!$G$2:$G$129,A20)</f>
        <v>3</v>
      </c>
      <c r="I20" s="46">
        <f>COUNTIFS('문항별 보기'!$G$2:$G$129,A20,'문항별 보기'!$I$2:$I$129,"정답")</f>
        <v>0</v>
      </c>
      <c r="J20" s="47" t="s">
        <v>111</v>
      </c>
    </row>
    <row r="21" spans="1:10" ht="63.95" customHeight="1">
      <c r="A21" s="43" t="s">
        <v>112</v>
      </c>
      <c r="B21" s="44" t="s">
        <v>106</v>
      </c>
      <c r="C21" s="44" t="s">
        <v>39</v>
      </c>
      <c r="D21" s="45" t="s">
        <v>113</v>
      </c>
      <c r="E21" s="45" t="s">
        <v>114</v>
      </c>
      <c r="F21" s="45" t="s">
        <v>115</v>
      </c>
      <c r="G21" s="45" t="s">
        <v>116</v>
      </c>
      <c r="H21" s="46">
        <f>COUNTIF('문항별 보기'!$G$2:$G$129,A21)</f>
        <v>1</v>
      </c>
      <c r="I21" s="46">
        <f>COUNTIFS('문항별 보기'!$G$2:$G$129,A21,'문항별 보기'!$I$2:$I$129,"정답")</f>
        <v>0</v>
      </c>
      <c r="J21" s="47" t="s">
        <v>117</v>
      </c>
    </row>
    <row r="22" spans="1:10" ht="63.95" customHeight="1">
      <c r="A22" s="43" t="s">
        <v>118</v>
      </c>
      <c r="B22" s="44" t="s">
        <v>106</v>
      </c>
      <c r="C22" s="44" t="s">
        <v>20</v>
      </c>
      <c r="D22" s="45" t="s">
        <v>119</v>
      </c>
      <c r="E22" s="45" t="s">
        <v>120</v>
      </c>
      <c r="F22" s="45" t="s">
        <v>121</v>
      </c>
      <c r="G22" s="45" t="s">
        <v>122</v>
      </c>
      <c r="H22" s="46">
        <f>COUNTIF('문항별 보기'!$G$2:$G$129,A22)</f>
        <v>2</v>
      </c>
      <c r="I22" s="46">
        <f>COUNTIFS('문항별 보기'!$G$2:$G$129,A22,'문항별 보기'!$I$2:$I$129,"정답")</f>
        <v>0</v>
      </c>
      <c r="J22" s="47" t="s">
        <v>123</v>
      </c>
    </row>
    <row r="23" spans="1:10" ht="63.95" customHeight="1">
      <c r="A23" s="43" t="s">
        <v>124</v>
      </c>
      <c r="B23" s="44" t="s">
        <v>106</v>
      </c>
      <c r="C23" s="44" t="s">
        <v>39</v>
      </c>
      <c r="D23" s="45" t="s">
        <v>125</v>
      </c>
      <c r="E23" s="45" t="s">
        <v>126</v>
      </c>
      <c r="F23" s="45" t="s">
        <v>127</v>
      </c>
      <c r="G23" s="45" t="s">
        <v>128</v>
      </c>
      <c r="H23" s="46">
        <f>COUNTIF('문항별 보기'!$G$2:$G$129,A23)</f>
        <v>1</v>
      </c>
      <c r="I23" s="46">
        <f>COUNTIFS('문항별 보기'!$G$2:$G$129,A23,'문항별 보기'!$I$2:$I$129,"정답")</f>
        <v>0</v>
      </c>
      <c r="J23" s="47" t="s">
        <v>129</v>
      </c>
    </row>
    <row r="24" spans="1:10" ht="63.95" customHeight="1">
      <c r="A24" s="43" t="s">
        <v>130</v>
      </c>
      <c r="B24" s="44" t="s">
        <v>106</v>
      </c>
      <c r="C24" s="44" t="s">
        <v>39</v>
      </c>
      <c r="D24" s="45" t="s">
        <v>131</v>
      </c>
      <c r="E24" s="45" t="s">
        <v>132</v>
      </c>
      <c r="F24" s="45" t="s">
        <v>133</v>
      </c>
      <c r="G24" s="45" t="s">
        <v>134</v>
      </c>
      <c r="H24" s="46">
        <f>COUNTIF('문항별 보기'!$G$2:$G$129,A24)</f>
        <v>5</v>
      </c>
      <c r="I24" s="46">
        <f>COUNTIFS('문항별 보기'!$G$2:$G$129,A24,'문항별 보기'!$I$2:$I$129,"정답")</f>
        <v>1</v>
      </c>
      <c r="J24" s="47" t="s">
        <v>135</v>
      </c>
    </row>
    <row r="25" spans="1:10" ht="63.95" customHeight="1">
      <c r="A25" s="43" t="s">
        <v>136</v>
      </c>
      <c r="B25" s="44" t="s">
        <v>106</v>
      </c>
      <c r="C25" s="44" t="s">
        <v>137</v>
      </c>
      <c r="D25" s="45" t="s">
        <v>138</v>
      </c>
      <c r="E25" s="45" t="s">
        <v>139</v>
      </c>
      <c r="F25" s="45" t="s">
        <v>140</v>
      </c>
      <c r="G25" s="45" t="s">
        <v>141</v>
      </c>
      <c r="H25" s="46">
        <f>COUNTIF('문항별 보기'!$G$2:$G$129,A25)</f>
        <v>1</v>
      </c>
      <c r="I25" s="46">
        <f>COUNTIFS('문항별 보기'!$G$2:$G$129,A25,'문항별 보기'!$I$2:$I$129,"정답")</f>
        <v>0</v>
      </c>
      <c r="J25" s="47" t="s">
        <v>142</v>
      </c>
    </row>
    <row r="26" spans="1:10" ht="63.95" customHeight="1">
      <c r="A26" s="43" t="s">
        <v>143</v>
      </c>
      <c r="B26" s="44" t="s">
        <v>106</v>
      </c>
      <c r="C26" s="44" t="s">
        <v>39</v>
      </c>
      <c r="D26" s="45" t="s">
        <v>144</v>
      </c>
      <c r="E26" s="45" t="s">
        <v>145</v>
      </c>
      <c r="F26" s="45" t="s">
        <v>146</v>
      </c>
      <c r="G26" s="45" t="s">
        <v>147</v>
      </c>
      <c r="H26" s="46">
        <f>COUNTIF('문항별 보기'!$G$2:$G$129,A26)</f>
        <v>2</v>
      </c>
      <c r="I26" s="46">
        <f>COUNTIFS('문항별 보기'!$G$2:$G$129,A26,'문항별 보기'!$I$2:$I$129,"정답")</f>
        <v>1</v>
      </c>
      <c r="J26" s="47" t="s">
        <v>148</v>
      </c>
    </row>
    <row r="27" spans="1:10" ht="63.95" customHeight="1">
      <c r="A27" s="43" t="s">
        <v>149</v>
      </c>
      <c r="B27" s="44" t="s">
        <v>106</v>
      </c>
      <c r="C27" s="44" t="s">
        <v>150</v>
      </c>
      <c r="D27" s="45" t="s">
        <v>151</v>
      </c>
      <c r="E27" s="45" t="s">
        <v>152</v>
      </c>
      <c r="F27" s="45" t="s">
        <v>153</v>
      </c>
      <c r="G27" s="45" t="s">
        <v>154</v>
      </c>
      <c r="H27" s="46">
        <f>COUNTIF('문항별 보기'!$G$2:$G$129,A27)</f>
        <v>3</v>
      </c>
      <c r="I27" s="46">
        <f>COUNTIFS('문항별 보기'!$G$2:$G$129,A27,'문항별 보기'!$I$2:$I$129,"정답")</f>
        <v>0</v>
      </c>
      <c r="J27" s="47" t="s">
        <v>155</v>
      </c>
    </row>
    <row r="28" spans="1:10" ht="63.95" customHeight="1">
      <c r="A28" s="43" t="s">
        <v>156</v>
      </c>
      <c r="B28" s="44" t="s">
        <v>106</v>
      </c>
      <c r="C28" s="44" t="s">
        <v>39</v>
      </c>
      <c r="D28" s="45" t="s">
        <v>157</v>
      </c>
      <c r="E28" s="45" t="s">
        <v>158</v>
      </c>
      <c r="F28" s="45" t="s">
        <v>159</v>
      </c>
      <c r="G28" s="45" t="s">
        <v>160</v>
      </c>
      <c r="H28" s="46">
        <f>COUNTIF('문항별 보기'!$G$2:$G$129,A28)</f>
        <v>2</v>
      </c>
      <c r="I28" s="46">
        <f>COUNTIFS('문항별 보기'!$G$2:$G$129,A28,'문항별 보기'!$I$2:$I$129,"정답")</f>
        <v>2</v>
      </c>
      <c r="J28" s="47" t="s">
        <v>161</v>
      </c>
    </row>
    <row r="29" spans="1:10" ht="63.95" customHeight="1">
      <c r="A29" s="43" t="s">
        <v>162</v>
      </c>
      <c r="B29" s="44" t="s">
        <v>106</v>
      </c>
      <c r="C29" s="44" t="s">
        <v>20</v>
      </c>
      <c r="D29" s="45" t="s">
        <v>125</v>
      </c>
      <c r="E29" s="45" t="s">
        <v>163</v>
      </c>
      <c r="F29" s="45" t="s">
        <v>164</v>
      </c>
      <c r="G29" s="45" t="s">
        <v>165</v>
      </c>
      <c r="H29" s="46">
        <f>COUNTIF('문항별 보기'!$G$2:$G$129,A29)</f>
        <v>1</v>
      </c>
      <c r="I29" s="46">
        <f>COUNTIFS('문항별 보기'!$G$2:$G$129,A29,'문항별 보기'!$I$2:$I$129,"정답")</f>
        <v>1</v>
      </c>
      <c r="J29" s="47" t="s">
        <v>166</v>
      </c>
    </row>
    <row r="30" spans="1:10" ht="63.95" customHeight="1">
      <c r="A30" s="43" t="s">
        <v>167</v>
      </c>
      <c r="B30" s="44" t="s">
        <v>106</v>
      </c>
      <c r="C30" s="44" t="s">
        <v>20</v>
      </c>
      <c r="D30" s="45" t="s">
        <v>125</v>
      </c>
      <c r="E30" s="45" t="s">
        <v>168</v>
      </c>
      <c r="F30" s="45" t="s">
        <v>169</v>
      </c>
      <c r="G30" s="45" t="s">
        <v>170</v>
      </c>
      <c r="H30" s="46">
        <f>COUNTIF('문항별 보기'!$G$2:$G$129,A30)</f>
        <v>5</v>
      </c>
      <c r="I30" s="46">
        <f>COUNTIFS('문항별 보기'!$G$2:$G$129,A30,'문항별 보기'!$I$2:$I$129,"정답")</f>
        <v>1</v>
      </c>
      <c r="J30" s="47" t="s">
        <v>171</v>
      </c>
    </row>
    <row r="31" spans="1:10" ht="63.95" customHeight="1">
      <c r="A31" s="43" t="s">
        <v>172</v>
      </c>
      <c r="B31" s="44" t="s">
        <v>106</v>
      </c>
      <c r="C31" s="44" t="s">
        <v>39</v>
      </c>
      <c r="D31" s="45" t="s">
        <v>173</v>
      </c>
      <c r="E31" s="45" t="s">
        <v>174</v>
      </c>
      <c r="F31" s="45" t="s">
        <v>175</v>
      </c>
      <c r="G31" s="45" t="s">
        <v>176</v>
      </c>
      <c r="H31" s="46">
        <f>COUNTIF('문항별 보기'!$G$2:$G$129,A31)</f>
        <v>3</v>
      </c>
      <c r="I31" s="46">
        <f>COUNTIFS('문항별 보기'!$G$2:$G$129,A31,'문항별 보기'!$I$2:$I$129,"정답")</f>
        <v>0</v>
      </c>
      <c r="J31" s="47" t="s">
        <v>177</v>
      </c>
    </row>
    <row r="32" spans="1:10" ht="63.95" customHeight="1">
      <c r="A32" s="43" t="s">
        <v>178</v>
      </c>
      <c r="B32" s="44" t="s">
        <v>106</v>
      </c>
      <c r="C32" s="44" t="s">
        <v>39</v>
      </c>
      <c r="D32" s="45" t="s">
        <v>179</v>
      </c>
      <c r="E32" s="45" t="s">
        <v>180</v>
      </c>
      <c r="F32" s="45" t="s">
        <v>181</v>
      </c>
      <c r="G32" s="45" t="s">
        <v>182</v>
      </c>
      <c r="H32" s="46">
        <f>COUNTIF('문항별 보기'!$G$2:$G$129,A32)</f>
        <v>2</v>
      </c>
      <c r="I32" s="46">
        <f>COUNTIFS('문항별 보기'!$G$2:$G$129,A32,'문항별 보기'!$I$2:$I$129,"정답")</f>
        <v>0</v>
      </c>
      <c r="J32" s="47" t="s">
        <v>183</v>
      </c>
    </row>
    <row r="33" spans="1:10" ht="63.95" customHeight="1">
      <c r="A33" s="43" t="s">
        <v>184</v>
      </c>
      <c r="B33" s="44" t="s">
        <v>106</v>
      </c>
      <c r="C33" s="44" t="s">
        <v>20</v>
      </c>
      <c r="D33" s="45" t="s">
        <v>185</v>
      </c>
      <c r="E33" s="45" t="s">
        <v>186</v>
      </c>
      <c r="F33" s="45" t="s">
        <v>187</v>
      </c>
      <c r="G33" s="45" t="s">
        <v>188</v>
      </c>
      <c r="H33" s="46">
        <f>COUNTIF('문항별 보기'!$G$2:$G$129,A33)</f>
        <v>5</v>
      </c>
      <c r="I33" s="46">
        <f>COUNTIFS('문항별 보기'!$G$2:$G$129,A33,'문항별 보기'!$I$2:$I$129,"정답")</f>
        <v>0</v>
      </c>
      <c r="J33" s="47" t="s">
        <v>189</v>
      </c>
    </row>
    <row r="34" spans="1:10" ht="63.95" customHeight="1">
      <c r="A34" s="43" t="s">
        <v>190</v>
      </c>
      <c r="B34" s="44" t="s">
        <v>106</v>
      </c>
      <c r="C34" s="44" t="s">
        <v>39</v>
      </c>
      <c r="D34" s="45" t="s">
        <v>191</v>
      </c>
      <c r="E34" s="45" t="s">
        <v>192</v>
      </c>
      <c r="F34" s="45" t="s">
        <v>193</v>
      </c>
      <c r="G34" s="45" t="s">
        <v>194</v>
      </c>
      <c r="H34" s="46">
        <f>COUNTIF('문항별 보기'!$G$2:$G$129,A34)</f>
        <v>2</v>
      </c>
      <c r="I34" s="46">
        <f>COUNTIFS('문항별 보기'!$G$2:$G$129,A34,'문항별 보기'!$I$2:$I$129,"정답")</f>
        <v>0</v>
      </c>
      <c r="J34" s="47" t="s">
        <v>195</v>
      </c>
    </row>
    <row r="35" spans="1:10" ht="63.95" customHeight="1">
      <c r="A35" s="43" t="s">
        <v>196</v>
      </c>
      <c r="B35" s="44" t="s">
        <v>106</v>
      </c>
      <c r="C35" s="44" t="s">
        <v>39</v>
      </c>
      <c r="D35" s="45" t="s">
        <v>197</v>
      </c>
      <c r="E35" s="45" t="s">
        <v>198</v>
      </c>
      <c r="F35" s="45" t="s">
        <v>199</v>
      </c>
      <c r="G35" s="45" t="s">
        <v>200</v>
      </c>
      <c r="H35" s="46">
        <f>COUNTIF('문항별 보기'!$G$2:$G$129,A35)</f>
        <v>3</v>
      </c>
      <c r="I35" s="46">
        <f>COUNTIFS('문항별 보기'!$G$2:$G$129,A35,'문항별 보기'!$I$2:$I$129,"정답")</f>
        <v>0</v>
      </c>
      <c r="J35" s="47" t="s">
        <v>201</v>
      </c>
    </row>
    <row r="36" spans="1:10" ht="63.95" customHeight="1">
      <c r="A36" s="43" t="s">
        <v>202</v>
      </c>
      <c r="B36" s="44" t="s">
        <v>203</v>
      </c>
      <c r="C36" s="44" t="s">
        <v>204</v>
      </c>
      <c r="D36" s="45" t="s">
        <v>205</v>
      </c>
      <c r="E36" s="45" t="s">
        <v>206</v>
      </c>
      <c r="F36" s="45" t="s">
        <v>207</v>
      </c>
      <c r="G36" s="45" t="s">
        <v>208</v>
      </c>
      <c r="H36" s="46">
        <f>COUNTIF('문항별 보기'!$G$2:$G$129,A36)</f>
        <v>1</v>
      </c>
      <c r="I36" s="46">
        <f>COUNTIFS('문항별 보기'!$G$2:$G$129,A36,'문항별 보기'!$I$2:$I$129,"정답")</f>
        <v>0</v>
      </c>
      <c r="J36" s="47" t="s">
        <v>209</v>
      </c>
    </row>
    <row r="37" spans="1:10" ht="63.95" customHeight="1">
      <c r="A37" s="43" t="s">
        <v>210</v>
      </c>
      <c r="B37" s="44" t="s">
        <v>203</v>
      </c>
      <c r="C37" s="44" t="s">
        <v>39</v>
      </c>
      <c r="D37" s="45" t="s">
        <v>211</v>
      </c>
      <c r="E37" s="45" t="s">
        <v>212</v>
      </c>
      <c r="F37" s="45" t="s">
        <v>213</v>
      </c>
      <c r="G37" s="45" t="s">
        <v>214</v>
      </c>
      <c r="H37" s="46">
        <f>COUNTIF('문항별 보기'!$G$2:$G$129,A37)</f>
        <v>3</v>
      </c>
      <c r="I37" s="46">
        <f>COUNTIFS('문항별 보기'!$G$2:$G$129,A37,'문항별 보기'!$I$2:$I$129,"정답")</f>
        <v>2</v>
      </c>
      <c r="J37" s="47" t="s">
        <v>215</v>
      </c>
    </row>
    <row r="38" spans="1:10" ht="63.95" customHeight="1">
      <c r="A38" s="43" t="s">
        <v>216</v>
      </c>
      <c r="B38" s="44" t="s">
        <v>203</v>
      </c>
      <c r="C38" s="44" t="s">
        <v>39</v>
      </c>
      <c r="D38" s="45" t="s">
        <v>211</v>
      </c>
      <c r="E38" s="45" t="s">
        <v>217</v>
      </c>
      <c r="F38" s="45" t="s">
        <v>218</v>
      </c>
      <c r="G38" s="45" t="s">
        <v>219</v>
      </c>
      <c r="H38" s="46">
        <f>COUNTIF('문항별 보기'!$G$2:$G$129,A38)</f>
        <v>5</v>
      </c>
      <c r="I38" s="46">
        <f>COUNTIFS('문항별 보기'!$G$2:$G$129,A38,'문항별 보기'!$I$2:$I$129,"정답")</f>
        <v>2</v>
      </c>
      <c r="J38" s="47" t="s">
        <v>220</v>
      </c>
    </row>
    <row r="39" spans="1:10" ht="63.95" customHeight="1">
      <c r="A39" s="43" t="s">
        <v>221</v>
      </c>
      <c r="B39" s="44" t="s">
        <v>203</v>
      </c>
      <c r="C39" s="44" t="s">
        <v>39</v>
      </c>
      <c r="D39" s="45" t="s">
        <v>222</v>
      </c>
      <c r="E39" s="45" t="s">
        <v>223</v>
      </c>
      <c r="F39" s="45" t="s">
        <v>224</v>
      </c>
      <c r="G39" s="45" t="s">
        <v>225</v>
      </c>
      <c r="H39" s="46">
        <f>COUNTIF('문항별 보기'!$G$2:$G$129,A39)</f>
        <v>2</v>
      </c>
      <c r="I39" s="46">
        <f>COUNTIFS('문항별 보기'!$G$2:$G$129,A39,'문항별 보기'!$I$2:$I$129,"정답")</f>
        <v>0</v>
      </c>
      <c r="J39" s="47" t="s">
        <v>226</v>
      </c>
    </row>
    <row r="40" spans="1:10" ht="63.95" customHeight="1">
      <c r="A40" s="43" t="s">
        <v>227</v>
      </c>
      <c r="B40" s="44" t="s">
        <v>203</v>
      </c>
      <c r="C40" s="44" t="s">
        <v>20</v>
      </c>
      <c r="D40" s="45" t="s">
        <v>228</v>
      </c>
      <c r="E40" s="45" t="s">
        <v>229</v>
      </c>
      <c r="F40" s="45" t="s">
        <v>230</v>
      </c>
      <c r="G40" s="45" t="s">
        <v>231</v>
      </c>
      <c r="H40" s="46">
        <f>COUNTIF('문항별 보기'!$G$2:$G$129,A40)</f>
        <v>1</v>
      </c>
      <c r="I40" s="46">
        <f>COUNTIFS('문항별 보기'!$G$2:$G$129,A40,'문항별 보기'!$I$2:$I$129,"정답")</f>
        <v>1</v>
      </c>
      <c r="J40" s="47" t="s">
        <v>232</v>
      </c>
    </row>
    <row r="41" spans="1:10" ht="63.95" customHeight="1">
      <c r="A41" s="43" t="s">
        <v>233</v>
      </c>
      <c r="B41" s="44" t="s">
        <v>203</v>
      </c>
      <c r="C41" s="44" t="s">
        <v>204</v>
      </c>
      <c r="D41" s="45" t="s">
        <v>234</v>
      </c>
      <c r="E41" s="45" t="s">
        <v>235</v>
      </c>
      <c r="F41" s="45" t="s">
        <v>236</v>
      </c>
      <c r="G41" s="45" t="s">
        <v>237</v>
      </c>
      <c r="H41" s="46">
        <f>COUNTIF('문항별 보기'!$G$2:$G$129,A41)</f>
        <v>2</v>
      </c>
      <c r="I41" s="46">
        <f>COUNTIFS('문항별 보기'!$G$2:$G$129,A41,'문항별 보기'!$I$2:$I$129,"정답")</f>
        <v>1</v>
      </c>
      <c r="J41" s="47" t="s">
        <v>238</v>
      </c>
    </row>
    <row r="42" spans="1:10" ht="63.95" customHeight="1">
      <c r="A42" s="43" t="s">
        <v>239</v>
      </c>
      <c r="B42" s="44" t="s">
        <v>203</v>
      </c>
      <c r="C42" s="44" t="s">
        <v>20</v>
      </c>
      <c r="D42" s="45" t="s">
        <v>240</v>
      </c>
      <c r="E42" s="45" t="s">
        <v>241</v>
      </c>
      <c r="F42" s="45" t="s">
        <v>242</v>
      </c>
      <c r="G42" s="45" t="s">
        <v>243</v>
      </c>
      <c r="H42" s="46">
        <f>COUNTIF('문항별 보기'!$G$2:$G$129,A42)</f>
        <v>1</v>
      </c>
      <c r="I42" s="46">
        <f>COUNTIFS('문항별 보기'!$G$2:$G$129,A42,'문항별 보기'!$I$2:$I$129,"정답")</f>
        <v>0</v>
      </c>
      <c r="J42" s="47" t="s">
        <v>244</v>
      </c>
    </row>
    <row r="43" spans="1:10" ht="63.95" customHeight="1">
      <c r="A43" s="43" t="s">
        <v>245</v>
      </c>
      <c r="B43" s="44" t="s">
        <v>246</v>
      </c>
      <c r="C43" s="44" t="s">
        <v>39</v>
      </c>
      <c r="D43" s="45" t="s">
        <v>247</v>
      </c>
      <c r="E43" s="45" t="s">
        <v>248</v>
      </c>
      <c r="F43" s="45" t="s">
        <v>249</v>
      </c>
      <c r="G43" s="45" t="s">
        <v>250</v>
      </c>
      <c r="H43" s="46">
        <f>COUNTIF('문항별 보기'!$G$2:$G$129,A43)</f>
        <v>1</v>
      </c>
      <c r="I43" s="46">
        <f>COUNTIFS('문항별 보기'!$G$2:$G$129,A43,'문항별 보기'!$I$2:$I$129,"정답")</f>
        <v>0</v>
      </c>
      <c r="J43" s="47" t="s">
        <v>251</v>
      </c>
    </row>
    <row r="44" spans="1:10" ht="63.95" customHeight="1">
      <c r="A44" s="43" t="s">
        <v>252</v>
      </c>
      <c r="B44" s="44" t="s">
        <v>246</v>
      </c>
      <c r="C44" s="44" t="s">
        <v>20</v>
      </c>
      <c r="D44" s="45" t="s">
        <v>253</v>
      </c>
      <c r="E44" s="45" t="s">
        <v>254</v>
      </c>
      <c r="F44" s="45" t="s">
        <v>255</v>
      </c>
      <c r="G44" s="45" t="s">
        <v>256</v>
      </c>
      <c r="H44" s="46">
        <f>COUNTIF('문항별 보기'!$G$2:$G$129,A44)</f>
        <v>5</v>
      </c>
      <c r="I44" s="46">
        <f>COUNTIFS('문항별 보기'!$G$2:$G$129,A44,'문항별 보기'!$I$2:$I$129,"정답")</f>
        <v>0</v>
      </c>
      <c r="J44" s="47" t="s">
        <v>257</v>
      </c>
    </row>
    <row r="45" spans="1:10" ht="63.95" customHeight="1">
      <c r="A45" s="43" t="s">
        <v>258</v>
      </c>
      <c r="B45" s="44" t="s">
        <v>246</v>
      </c>
      <c r="C45" s="44" t="s">
        <v>20</v>
      </c>
      <c r="D45" s="45" t="s">
        <v>259</v>
      </c>
      <c r="E45" s="45" t="s">
        <v>260</v>
      </c>
      <c r="F45" s="45" t="s">
        <v>261</v>
      </c>
      <c r="G45" s="45" t="s">
        <v>262</v>
      </c>
      <c r="H45" s="46">
        <f>COUNTIF('문항별 보기'!$G$2:$G$129,A45)</f>
        <v>2</v>
      </c>
      <c r="I45" s="46">
        <f>COUNTIFS('문항별 보기'!$G$2:$G$129,A45,'문항별 보기'!$I$2:$I$129,"정답")</f>
        <v>0</v>
      </c>
      <c r="J45" s="47" t="s">
        <v>263</v>
      </c>
    </row>
    <row r="46" spans="1:10" ht="63.95" customHeight="1">
      <c r="A46" s="43" t="s">
        <v>264</v>
      </c>
      <c r="B46" s="44" t="s">
        <v>265</v>
      </c>
      <c r="C46" s="44" t="s">
        <v>39</v>
      </c>
      <c r="D46" s="45" t="s">
        <v>266</v>
      </c>
      <c r="E46" s="45" t="s">
        <v>267</v>
      </c>
      <c r="F46" s="45" t="s">
        <v>268</v>
      </c>
      <c r="G46" s="45" t="s">
        <v>269</v>
      </c>
      <c r="H46" s="46">
        <f>COUNTIF('문항별 보기'!$G$2:$G$129,A46)</f>
        <v>3</v>
      </c>
      <c r="I46" s="46">
        <f>COUNTIFS('문항별 보기'!$G$2:$G$129,A46,'문항별 보기'!$I$2:$I$129,"정답")</f>
        <v>0</v>
      </c>
      <c r="J46" s="47" t="s">
        <v>270</v>
      </c>
    </row>
    <row r="47" spans="1:10" ht="63.95" customHeight="1">
      <c r="A47" s="43" t="s">
        <v>271</v>
      </c>
      <c r="B47" s="44" t="s">
        <v>265</v>
      </c>
      <c r="C47" s="44" t="s">
        <v>39</v>
      </c>
      <c r="D47" s="45" t="s">
        <v>272</v>
      </c>
      <c r="E47" s="45" t="s">
        <v>273</v>
      </c>
      <c r="F47" s="45" t="s">
        <v>274</v>
      </c>
      <c r="G47" s="45" t="s">
        <v>275</v>
      </c>
      <c r="H47" s="46">
        <f>COUNTIF('문항별 보기'!$G$2:$G$129,A47)</f>
        <v>2</v>
      </c>
      <c r="I47" s="46">
        <f>COUNTIFS('문항별 보기'!$G$2:$G$129,A47,'문항별 보기'!$I$2:$I$129,"정답")</f>
        <v>0</v>
      </c>
      <c r="J47" s="47" t="s">
        <v>276</v>
      </c>
    </row>
    <row r="48" spans="1:10" ht="63.95" customHeight="1">
      <c r="A48" s="43" t="s">
        <v>277</v>
      </c>
      <c r="B48" s="44" t="s">
        <v>265</v>
      </c>
      <c r="C48" s="44" t="s">
        <v>39</v>
      </c>
      <c r="D48" s="45" t="s">
        <v>278</v>
      </c>
      <c r="E48" s="45" t="s">
        <v>279</v>
      </c>
      <c r="F48" s="45" t="s">
        <v>280</v>
      </c>
      <c r="G48" s="45" t="s">
        <v>281</v>
      </c>
      <c r="H48" s="46">
        <f>COUNTIF('문항별 보기'!$G$2:$G$129,A48)</f>
        <v>1</v>
      </c>
      <c r="I48" s="46">
        <f>COUNTIFS('문항별 보기'!$G$2:$G$129,A48,'문항별 보기'!$I$2:$I$129,"정답")</f>
        <v>0</v>
      </c>
      <c r="J48" s="47" t="s">
        <v>282</v>
      </c>
    </row>
    <row r="49" spans="1:10" ht="63.95" customHeight="1">
      <c r="A49" s="43" t="s">
        <v>283</v>
      </c>
      <c r="B49" s="44" t="s">
        <v>265</v>
      </c>
      <c r="C49" s="44" t="s">
        <v>39</v>
      </c>
      <c r="D49" s="45" t="s">
        <v>284</v>
      </c>
      <c r="E49" s="45" t="s">
        <v>285</v>
      </c>
      <c r="F49" s="45" t="s">
        <v>286</v>
      </c>
      <c r="G49" s="45" t="s">
        <v>287</v>
      </c>
      <c r="H49" s="46">
        <f>COUNTIF('문항별 보기'!$G$2:$G$129,A49)</f>
        <v>4</v>
      </c>
      <c r="I49" s="46">
        <f>COUNTIFS('문항별 보기'!$G$2:$G$129,A49,'문항별 보기'!$I$2:$I$129,"정답")</f>
        <v>2</v>
      </c>
      <c r="J49" s="47" t="s">
        <v>288</v>
      </c>
    </row>
    <row r="50" spans="1:10" ht="63.95" customHeight="1">
      <c r="A50" s="43" t="s">
        <v>289</v>
      </c>
      <c r="B50" s="44" t="s">
        <v>265</v>
      </c>
      <c r="C50" s="44" t="s">
        <v>39</v>
      </c>
      <c r="D50" s="45" t="s">
        <v>290</v>
      </c>
      <c r="E50" s="45" t="s">
        <v>291</v>
      </c>
      <c r="F50" s="45" t="s">
        <v>292</v>
      </c>
      <c r="G50" s="45" t="s">
        <v>293</v>
      </c>
      <c r="H50" s="46">
        <f>COUNTIF('문항별 보기'!$G$2:$G$129,A50)</f>
        <v>1</v>
      </c>
      <c r="I50" s="46">
        <f>COUNTIFS('문항별 보기'!$G$2:$G$129,A50,'문항별 보기'!$I$2:$I$129,"정답")</f>
        <v>1</v>
      </c>
      <c r="J50" s="47" t="s">
        <v>294</v>
      </c>
    </row>
    <row r="51" spans="1:10" ht="63.95" customHeight="1">
      <c r="A51" s="43" t="s">
        <v>295</v>
      </c>
      <c r="B51" s="44" t="s">
        <v>265</v>
      </c>
      <c r="C51" s="44" t="s">
        <v>39</v>
      </c>
      <c r="D51" s="45" t="s">
        <v>296</v>
      </c>
      <c r="E51" s="45" t="s">
        <v>297</v>
      </c>
      <c r="F51" s="45" t="s">
        <v>298</v>
      </c>
      <c r="G51" s="45" t="s">
        <v>299</v>
      </c>
      <c r="H51" s="46">
        <f>COUNTIF('문항별 보기'!$G$2:$G$129,A51)</f>
        <v>1</v>
      </c>
      <c r="I51" s="46">
        <f>COUNTIFS('문항별 보기'!$G$2:$G$129,A51,'문항별 보기'!$I$2:$I$129,"정답")</f>
        <v>0</v>
      </c>
      <c r="J51" s="47" t="s">
        <v>300</v>
      </c>
    </row>
    <row r="52" spans="1:10" ht="63.95" customHeight="1">
      <c r="A52" s="43" t="s">
        <v>301</v>
      </c>
      <c r="B52" s="44" t="s">
        <v>265</v>
      </c>
      <c r="C52" s="44" t="s">
        <v>39</v>
      </c>
      <c r="D52" s="45" t="s">
        <v>302</v>
      </c>
      <c r="E52" s="45" t="s">
        <v>303</v>
      </c>
      <c r="F52" s="45" t="s">
        <v>304</v>
      </c>
      <c r="G52" s="45" t="s">
        <v>305</v>
      </c>
      <c r="H52" s="46">
        <f>COUNTIF('문항별 보기'!$G$2:$G$129,A52)</f>
        <v>2</v>
      </c>
      <c r="I52" s="46">
        <f>COUNTIFS('문항별 보기'!$G$2:$G$129,A52,'문항별 보기'!$I$2:$I$129,"정답")</f>
        <v>0</v>
      </c>
      <c r="J52" s="47" t="s">
        <v>306</v>
      </c>
    </row>
    <row r="53" spans="1:10" ht="63.95" customHeight="1">
      <c r="A53" s="43" t="s">
        <v>307</v>
      </c>
      <c r="B53" s="44" t="s">
        <v>265</v>
      </c>
      <c r="C53" s="44" t="s">
        <v>20</v>
      </c>
      <c r="D53" s="45" t="s">
        <v>308</v>
      </c>
      <c r="E53" s="45" t="s">
        <v>309</v>
      </c>
      <c r="F53" s="45" t="s">
        <v>310</v>
      </c>
      <c r="G53" s="45" t="s">
        <v>311</v>
      </c>
      <c r="H53" s="46">
        <f>COUNTIF('문항별 보기'!$G$2:$G$129,A53)</f>
        <v>1</v>
      </c>
      <c r="I53" s="46">
        <f>COUNTIFS('문항별 보기'!$G$2:$G$129,A53,'문항별 보기'!$I$2:$I$129,"정답")</f>
        <v>1</v>
      </c>
      <c r="J53" s="47" t="s">
        <v>312</v>
      </c>
    </row>
    <row r="54" spans="1:10" ht="63.95" customHeight="1">
      <c r="A54" s="43" t="s">
        <v>313</v>
      </c>
      <c r="B54" s="44" t="s">
        <v>314</v>
      </c>
      <c r="C54" s="44" t="s">
        <v>39</v>
      </c>
      <c r="D54" s="45" t="s">
        <v>315</v>
      </c>
      <c r="E54" s="45" t="s">
        <v>316</v>
      </c>
      <c r="F54" s="45" t="s">
        <v>317</v>
      </c>
      <c r="G54" s="45" t="s">
        <v>318</v>
      </c>
      <c r="H54" s="46">
        <f>COUNTIF('문항별 보기'!$G$2:$G$129,A54)</f>
        <v>1</v>
      </c>
      <c r="I54" s="46">
        <f>COUNTIFS('문항별 보기'!$G$2:$G$129,A54,'문항별 보기'!$I$2:$I$129,"정답")</f>
        <v>0</v>
      </c>
      <c r="J54" s="47" t="s">
        <v>319</v>
      </c>
    </row>
    <row r="55" spans="1:10" ht="63.95" customHeight="1">
      <c r="A55" s="43" t="s">
        <v>320</v>
      </c>
      <c r="B55" s="44" t="s">
        <v>314</v>
      </c>
      <c r="C55" s="44" t="s">
        <v>20</v>
      </c>
      <c r="D55" s="45" t="s">
        <v>321</v>
      </c>
      <c r="E55" s="45" t="s">
        <v>322</v>
      </c>
      <c r="F55" s="45" t="s">
        <v>323</v>
      </c>
      <c r="G55" s="45" t="s">
        <v>324</v>
      </c>
      <c r="H55" s="46">
        <f>COUNTIF('문항별 보기'!$G$2:$G$129,A55)</f>
        <v>2</v>
      </c>
      <c r="I55" s="46">
        <f>COUNTIFS('문항별 보기'!$G$2:$G$129,A55,'문항별 보기'!$I$2:$I$129,"정답")</f>
        <v>0</v>
      </c>
      <c r="J55" s="47" t="s">
        <v>325</v>
      </c>
    </row>
    <row r="56" spans="1:10" ht="63.95" customHeight="1">
      <c r="A56" s="43" t="s">
        <v>326</v>
      </c>
      <c r="B56" s="44" t="s">
        <v>314</v>
      </c>
      <c r="C56" s="44" t="s">
        <v>20</v>
      </c>
      <c r="D56" s="45" t="s">
        <v>327</v>
      </c>
      <c r="E56" s="45" t="s">
        <v>328</v>
      </c>
      <c r="F56" s="45" t="s">
        <v>329</v>
      </c>
      <c r="G56" s="45" t="s">
        <v>330</v>
      </c>
      <c r="H56" s="46">
        <f>COUNTIF('문항별 보기'!$G$2:$G$129,A56)</f>
        <v>3</v>
      </c>
      <c r="I56" s="46">
        <f>COUNTIFS('문항별 보기'!$G$2:$G$129,A56,'문항별 보기'!$I$2:$I$129,"정답")</f>
        <v>2</v>
      </c>
      <c r="J56" s="47" t="s">
        <v>331</v>
      </c>
    </row>
    <row r="57" spans="1:10" ht="63.95" customHeight="1">
      <c r="A57" s="43" t="s">
        <v>332</v>
      </c>
      <c r="B57" s="44" t="s">
        <v>314</v>
      </c>
      <c r="C57" s="44" t="s">
        <v>20</v>
      </c>
      <c r="D57" s="45" t="s">
        <v>333</v>
      </c>
      <c r="E57" s="45" t="s">
        <v>334</v>
      </c>
      <c r="F57" s="45" t="s">
        <v>335</v>
      </c>
      <c r="G57" s="45" t="s">
        <v>336</v>
      </c>
      <c r="H57" s="46">
        <f>COUNTIF('문항별 보기'!$G$2:$G$129,A57)</f>
        <v>3</v>
      </c>
      <c r="I57" s="46">
        <f>COUNTIFS('문항별 보기'!$G$2:$G$129,A57,'문항별 보기'!$I$2:$I$129,"정답")</f>
        <v>1</v>
      </c>
      <c r="J57" s="47" t="s">
        <v>337</v>
      </c>
    </row>
    <row r="58" spans="1:10" ht="63.95" customHeight="1">
      <c r="A58" s="43" t="s">
        <v>338</v>
      </c>
      <c r="B58" s="44" t="s">
        <v>314</v>
      </c>
      <c r="C58" s="44" t="s">
        <v>39</v>
      </c>
      <c r="D58" s="45" t="s">
        <v>339</v>
      </c>
      <c r="E58" s="45" t="s">
        <v>340</v>
      </c>
      <c r="F58" s="45" t="s">
        <v>341</v>
      </c>
      <c r="G58" s="45" t="s">
        <v>342</v>
      </c>
      <c r="H58" s="46">
        <f>COUNTIF('문항별 보기'!$G$2:$G$129,A58)</f>
        <v>1</v>
      </c>
      <c r="I58" s="46">
        <f>COUNTIFS('문항별 보기'!$G$2:$G$129,A58,'문항별 보기'!$I$2:$I$129,"정답")</f>
        <v>0</v>
      </c>
      <c r="J58" s="47" t="s">
        <v>343</v>
      </c>
    </row>
    <row r="59" spans="1:10" ht="63.95" customHeight="1">
      <c r="A59" s="43" t="s">
        <v>344</v>
      </c>
      <c r="B59" s="44" t="s">
        <v>345</v>
      </c>
      <c r="C59" s="44" t="s">
        <v>346</v>
      </c>
      <c r="D59" s="45" t="s">
        <v>347</v>
      </c>
      <c r="E59" s="45" t="s">
        <v>348</v>
      </c>
      <c r="F59" s="45" t="s">
        <v>349</v>
      </c>
      <c r="G59" s="45" t="s">
        <v>350</v>
      </c>
      <c r="H59" s="46">
        <f>COUNTIF('문항별 보기'!$G$2:$G$129,A59)</f>
        <v>1</v>
      </c>
      <c r="I59" s="46">
        <f>COUNTIFS('문항별 보기'!$G$2:$G$129,A59,'문항별 보기'!$I$2:$I$129,"정답")</f>
        <v>0</v>
      </c>
      <c r="J59" s="47" t="s">
        <v>351</v>
      </c>
    </row>
    <row r="60" spans="1:10" ht="63.95" customHeight="1">
      <c r="A60" s="43" t="s">
        <v>352</v>
      </c>
      <c r="B60" s="44" t="s">
        <v>345</v>
      </c>
      <c r="C60" s="44" t="s">
        <v>20</v>
      </c>
      <c r="D60" s="45" t="s">
        <v>353</v>
      </c>
      <c r="E60" s="45" t="s">
        <v>354</v>
      </c>
      <c r="F60" s="45" t="s">
        <v>450</v>
      </c>
      <c r="G60" s="45" t="s">
        <v>355</v>
      </c>
      <c r="H60" s="46">
        <f>COUNTIF('문항별 보기'!$G$2:$G$129,A60)</f>
        <v>4</v>
      </c>
      <c r="I60" s="46">
        <f>COUNTIFS('문항별 보기'!$G$2:$G$129,A60,'문항별 보기'!$I$2:$I$129,"정답")</f>
        <v>1</v>
      </c>
      <c r="J60" s="47" t="s">
        <v>356</v>
      </c>
    </row>
    <row r="61" spans="1:10" ht="63.95" customHeight="1">
      <c r="A61" s="43" t="s">
        <v>357</v>
      </c>
      <c r="B61" s="44" t="s">
        <v>345</v>
      </c>
      <c r="C61" s="44" t="s">
        <v>20</v>
      </c>
      <c r="D61" s="45" t="s">
        <v>358</v>
      </c>
      <c r="E61" s="45" t="s">
        <v>359</v>
      </c>
      <c r="F61" s="45" t="s">
        <v>360</v>
      </c>
      <c r="G61" s="45" t="s">
        <v>361</v>
      </c>
      <c r="H61" s="46">
        <f>COUNTIF('문항별 보기'!$G$2:$G$129,A61)</f>
        <v>3</v>
      </c>
      <c r="I61" s="46">
        <f>COUNTIFS('문항별 보기'!$G$2:$G$129,A61,'문항별 보기'!$I$2:$I$129,"정답")</f>
        <v>0</v>
      </c>
      <c r="J61" s="47" t="s">
        <v>362</v>
      </c>
    </row>
    <row r="62" spans="1:10" ht="63.95" customHeight="1">
      <c r="A62" s="43" t="s">
        <v>363</v>
      </c>
      <c r="B62" s="44" t="s">
        <v>364</v>
      </c>
      <c r="C62" s="44" t="s">
        <v>39</v>
      </c>
      <c r="D62" s="45" t="s">
        <v>365</v>
      </c>
      <c r="E62" s="45" t="s">
        <v>366</v>
      </c>
      <c r="F62" s="45" t="s">
        <v>367</v>
      </c>
      <c r="G62" s="45" t="s">
        <v>368</v>
      </c>
      <c r="H62" s="46">
        <f>COUNTIF('문항별 보기'!$G$2:$G$129,A62)</f>
        <v>1</v>
      </c>
      <c r="I62" s="46">
        <f>COUNTIFS('문항별 보기'!$G$2:$G$129,A62,'문항별 보기'!$I$2:$I$129,"정답")</f>
        <v>0</v>
      </c>
      <c r="J62" s="47" t="s">
        <v>369</v>
      </c>
    </row>
    <row r="63" spans="1:10" ht="63.95" customHeight="1">
      <c r="A63" s="48" t="s">
        <v>370</v>
      </c>
      <c r="B63" s="49" t="s">
        <v>364</v>
      </c>
      <c r="C63" s="49" t="s">
        <v>150</v>
      </c>
      <c r="D63" s="50" t="s">
        <v>371</v>
      </c>
      <c r="E63" s="50" t="s">
        <v>372</v>
      </c>
      <c r="F63" s="50" t="s">
        <v>373</v>
      </c>
      <c r="G63" s="50" t="s">
        <v>374</v>
      </c>
      <c r="H63" s="51">
        <f>COUNTIF('문항별 보기'!$G$2:$G$129,A63)</f>
        <v>1</v>
      </c>
      <c r="I63" s="51">
        <f>COUNTIFS('문항별 보기'!$G$2:$G$129,A63,'문항별 보기'!$I$2:$I$129,"정답")</f>
        <v>0</v>
      </c>
      <c r="J63" s="52" t="s">
        <v>375</v>
      </c>
    </row>
  </sheetData>
  <mergeCells count="2">
    <mergeCell ref="A1:J1"/>
    <mergeCell ref="A2:J2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9"/>
  <sheetViews>
    <sheetView showGridLines="0" workbookViewId="0"/>
  </sheetViews>
  <sheetFormatPr defaultRowHeight="14.25"/>
  <cols>
    <col min="1" max="1" width="22" customWidth="1"/>
    <col min="2" max="6" width="11" customWidth="1"/>
    <col min="7" max="7" width="24" customWidth="1"/>
    <col min="8" max="8" width="18" customWidth="1"/>
    <col min="9" max="9" width="12" customWidth="1"/>
  </cols>
  <sheetData>
    <row r="1" spans="1:9" ht="21.95" customHeight="1">
      <c r="A1" s="8" t="s">
        <v>376</v>
      </c>
      <c r="B1" s="8" t="s">
        <v>377</v>
      </c>
      <c r="C1" s="8" t="s">
        <v>378</v>
      </c>
      <c r="D1" s="8" t="s">
        <v>379</v>
      </c>
      <c r="E1" s="8" t="s">
        <v>380</v>
      </c>
      <c r="F1" s="8" t="s">
        <v>381</v>
      </c>
      <c r="G1" s="8" t="s">
        <v>8</v>
      </c>
      <c r="H1" s="8" t="s">
        <v>9</v>
      </c>
      <c r="I1" s="8" t="s">
        <v>382</v>
      </c>
    </row>
    <row r="2" spans="1:9" ht="21.95" customHeight="1">
      <c r="A2" s="9" t="s">
        <v>383</v>
      </c>
      <c r="B2" s="10" t="s">
        <v>384</v>
      </c>
      <c r="C2" s="10">
        <v>19</v>
      </c>
      <c r="D2" s="10">
        <v>42</v>
      </c>
      <c r="E2" s="10">
        <v>9</v>
      </c>
      <c r="F2" s="10" t="s">
        <v>385</v>
      </c>
      <c r="G2" s="11" t="s">
        <v>149</v>
      </c>
      <c r="H2" s="10" t="s">
        <v>106</v>
      </c>
      <c r="I2" s="10" t="s">
        <v>386</v>
      </c>
    </row>
    <row r="3" spans="1:9" ht="21.95" customHeight="1">
      <c r="A3" s="12" t="s">
        <v>383</v>
      </c>
      <c r="B3" s="13" t="s">
        <v>384</v>
      </c>
      <c r="C3" s="13">
        <v>19</v>
      </c>
      <c r="D3" s="13">
        <v>42</v>
      </c>
      <c r="E3" s="13">
        <v>9</v>
      </c>
      <c r="F3" s="13" t="s">
        <v>387</v>
      </c>
      <c r="G3" s="14" t="s">
        <v>45</v>
      </c>
      <c r="H3" s="13" t="s">
        <v>19</v>
      </c>
      <c r="I3" s="13" t="s">
        <v>386</v>
      </c>
    </row>
    <row r="4" spans="1:9" ht="21.95" customHeight="1">
      <c r="A4" s="12" t="s">
        <v>383</v>
      </c>
      <c r="B4" s="13" t="s">
        <v>384</v>
      </c>
      <c r="C4" s="13">
        <v>19</v>
      </c>
      <c r="D4" s="13">
        <v>42</v>
      </c>
      <c r="E4" s="13">
        <v>9</v>
      </c>
      <c r="F4" s="13" t="s">
        <v>388</v>
      </c>
      <c r="G4" s="14" t="s">
        <v>143</v>
      </c>
      <c r="H4" s="13" t="s">
        <v>106</v>
      </c>
      <c r="I4" s="13" t="s">
        <v>386</v>
      </c>
    </row>
    <row r="5" spans="1:9" ht="21.95" customHeight="1">
      <c r="A5" s="12" t="s">
        <v>383</v>
      </c>
      <c r="B5" s="13" t="s">
        <v>384</v>
      </c>
      <c r="C5" s="13">
        <v>19</v>
      </c>
      <c r="D5" s="13">
        <v>42</v>
      </c>
      <c r="E5" s="13">
        <v>9</v>
      </c>
      <c r="F5" s="13" t="s">
        <v>389</v>
      </c>
      <c r="G5" s="14" t="s">
        <v>210</v>
      </c>
      <c r="H5" s="13" t="s">
        <v>203</v>
      </c>
      <c r="I5" s="13" t="s">
        <v>390</v>
      </c>
    </row>
    <row r="6" spans="1:9" ht="21.95" customHeight="1">
      <c r="A6" s="12" t="s">
        <v>383</v>
      </c>
      <c r="B6" s="13" t="s">
        <v>384</v>
      </c>
      <c r="C6" s="13">
        <v>19</v>
      </c>
      <c r="D6" s="13">
        <v>42</v>
      </c>
      <c r="E6" s="13">
        <v>10</v>
      </c>
      <c r="F6" s="13" t="s">
        <v>385</v>
      </c>
      <c r="G6" s="14" t="s">
        <v>99</v>
      </c>
      <c r="H6" s="13" t="s">
        <v>57</v>
      </c>
      <c r="I6" s="13" t="s">
        <v>390</v>
      </c>
    </row>
    <row r="7" spans="1:9" ht="21.95" customHeight="1">
      <c r="A7" s="12" t="s">
        <v>383</v>
      </c>
      <c r="B7" s="13" t="s">
        <v>384</v>
      </c>
      <c r="C7" s="13">
        <v>19</v>
      </c>
      <c r="D7" s="13">
        <v>42</v>
      </c>
      <c r="E7" s="13">
        <v>10</v>
      </c>
      <c r="F7" s="13" t="s">
        <v>387</v>
      </c>
      <c r="G7" s="14" t="s">
        <v>26</v>
      </c>
      <c r="H7" s="13" t="s">
        <v>19</v>
      </c>
      <c r="I7" s="13" t="s">
        <v>386</v>
      </c>
    </row>
    <row r="8" spans="1:9" ht="21.95" customHeight="1">
      <c r="A8" s="12" t="s">
        <v>383</v>
      </c>
      <c r="B8" s="13" t="s">
        <v>384</v>
      </c>
      <c r="C8" s="13">
        <v>19</v>
      </c>
      <c r="D8" s="13">
        <v>42</v>
      </c>
      <c r="E8" s="13">
        <v>10</v>
      </c>
      <c r="F8" s="13" t="s">
        <v>388</v>
      </c>
      <c r="G8" s="14" t="s">
        <v>252</v>
      </c>
      <c r="H8" s="13" t="s">
        <v>246</v>
      </c>
      <c r="I8" s="13" t="s">
        <v>386</v>
      </c>
    </row>
    <row r="9" spans="1:9" ht="21.95" customHeight="1">
      <c r="A9" s="12" t="s">
        <v>383</v>
      </c>
      <c r="B9" s="13" t="s">
        <v>384</v>
      </c>
      <c r="C9" s="13">
        <v>19</v>
      </c>
      <c r="D9" s="13">
        <v>42</v>
      </c>
      <c r="E9" s="13">
        <v>10</v>
      </c>
      <c r="F9" s="13" t="s">
        <v>389</v>
      </c>
      <c r="G9" s="14" t="s">
        <v>184</v>
      </c>
      <c r="H9" s="13" t="s">
        <v>106</v>
      </c>
      <c r="I9" s="13" t="s">
        <v>386</v>
      </c>
    </row>
    <row r="10" spans="1:9" ht="21.95" customHeight="1">
      <c r="A10" s="12" t="s">
        <v>383</v>
      </c>
      <c r="B10" s="13" t="s">
        <v>391</v>
      </c>
      <c r="C10" s="13">
        <v>53</v>
      </c>
      <c r="D10" s="13">
        <v>76</v>
      </c>
      <c r="E10" s="13">
        <v>9</v>
      </c>
      <c r="F10" s="13" t="s">
        <v>385</v>
      </c>
      <c r="G10" s="14" t="s">
        <v>252</v>
      </c>
      <c r="H10" s="13" t="s">
        <v>246</v>
      </c>
      <c r="I10" s="13" t="s">
        <v>386</v>
      </c>
    </row>
    <row r="11" spans="1:9" ht="21.95" customHeight="1">
      <c r="A11" s="12" t="s">
        <v>383</v>
      </c>
      <c r="B11" s="13" t="s">
        <v>391</v>
      </c>
      <c r="C11" s="13">
        <v>53</v>
      </c>
      <c r="D11" s="13">
        <v>76</v>
      </c>
      <c r="E11" s="13">
        <v>9</v>
      </c>
      <c r="F11" s="13" t="s">
        <v>387</v>
      </c>
      <c r="G11" s="14" t="s">
        <v>258</v>
      </c>
      <c r="H11" s="13" t="s">
        <v>246</v>
      </c>
      <c r="I11" s="13" t="s">
        <v>386</v>
      </c>
    </row>
    <row r="12" spans="1:9" ht="21.95" customHeight="1">
      <c r="A12" s="12" t="s">
        <v>383</v>
      </c>
      <c r="B12" s="13" t="s">
        <v>391</v>
      </c>
      <c r="C12" s="13">
        <v>53</v>
      </c>
      <c r="D12" s="13">
        <v>76</v>
      </c>
      <c r="E12" s="13">
        <v>9</v>
      </c>
      <c r="F12" s="13" t="s">
        <v>388</v>
      </c>
      <c r="G12" s="14" t="s">
        <v>307</v>
      </c>
      <c r="H12" s="13" t="s">
        <v>265</v>
      </c>
      <c r="I12" s="13" t="s">
        <v>390</v>
      </c>
    </row>
    <row r="13" spans="1:9" ht="21.95" customHeight="1">
      <c r="A13" s="12" t="s">
        <v>383</v>
      </c>
      <c r="B13" s="13" t="s">
        <v>391</v>
      </c>
      <c r="C13" s="13">
        <v>53</v>
      </c>
      <c r="D13" s="13">
        <v>76</v>
      </c>
      <c r="E13" s="13">
        <v>9</v>
      </c>
      <c r="F13" s="13" t="s">
        <v>389</v>
      </c>
      <c r="G13" s="14" t="s">
        <v>167</v>
      </c>
      <c r="H13" s="13" t="s">
        <v>106</v>
      </c>
      <c r="I13" s="13" t="s">
        <v>386</v>
      </c>
    </row>
    <row r="14" spans="1:9" ht="21.95" customHeight="1">
      <c r="A14" s="12" t="s">
        <v>383</v>
      </c>
      <c r="B14" s="13" t="s">
        <v>391</v>
      </c>
      <c r="C14" s="13">
        <v>53</v>
      </c>
      <c r="D14" s="13">
        <v>76</v>
      </c>
      <c r="E14" s="13">
        <v>10</v>
      </c>
      <c r="F14" s="13" t="s">
        <v>385</v>
      </c>
      <c r="G14" s="14" t="s">
        <v>227</v>
      </c>
      <c r="H14" s="13" t="s">
        <v>203</v>
      </c>
      <c r="I14" s="13" t="s">
        <v>390</v>
      </c>
    </row>
    <row r="15" spans="1:9" ht="21.95" customHeight="1">
      <c r="A15" s="12" t="s">
        <v>383</v>
      </c>
      <c r="B15" s="13" t="s">
        <v>391</v>
      </c>
      <c r="C15" s="13">
        <v>53</v>
      </c>
      <c r="D15" s="13">
        <v>76</v>
      </c>
      <c r="E15" s="13">
        <v>10</v>
      </c>
      <c r="F15" s="13" t="s">
        <v>387</v>
      </c>
      <c r="G15" s="14" t="s">
        <v>45</v>
      </c>
      <c r="H15" s="13" t="s">
        <v>19</v>
      </c>
      <c r="I15" s="13" t="s">
        <v>386</v>
      </c>
    </row>
    <row r="16" spans="1:9" ht="21.95" customHeight="1">
      <c r="A16" s="12" t="s">
        <v>383</v>
      </c>
      <c r="B16" s="13" t="s">
        <v>391</v>
      </c>
      <c r="C16" s="13">
        <v>53</v>
      </c>
      <c r="D16" s="13">
        <v>76</v>
      </c>
      <c r="E16" s="13">
        <v>10</v>
      </c>
      <c r="F16" s="13" t="s">
        <v>388</v>
      </c>
      <c r="G16" s="14" t="s">
        <v>357</v>
      </c>
      <c r="H16" s="13" t="s">
        <v>345</v>
      </c>
      <c r="I16" s="13" t="s">
        <v>386</v>
      </c>
    </row>
    <row r="17" spans="1:9" ht="21.95" customHeight="1">
      <c r="A17" s="12" t="s">
        <v>383</v>
      </c>
      <c r="B17" s="13" t="s">
        <v>391</v>
      </c>
      <c r="C17" s="13">
        <v>53</v>
      </c>
      <c r="D17" s="13">
        <v>76</v>
      </c>
      <c r="E17" s="13">
        <v>10</v>
      </c>
      <c r="F17" s="13" t="s">
        <v>389</v>
      </c>
      <c r="G17" s="14" t="s">
        <v>105</v>
      </c>
      <c r="H17" s="13" t="s">
        <v>106</v>
      </c>
      <c r="I17" s="13" t="s">
        <v>386</v>
      </c>
    </row>
    <row r="18" spans="1:9" ht="21.95" customHeight="1">
      <c r="A18" s="12" t="s">
        <v>383</v>
      </c>
      <c r="B18" s="13" t="s">
        <v>392</v>
      </c>
      <c r="C18" s="13">
        <v>87</v>
      </c>
      <c r="D18" s="13">
        <v>110</v>
      </c>
      <c r="E18" s="13">
        <v>9</v>
      </c>
      <c r="F18" s="13" t="s">
        <v>385</v>
      </c>
      <c r="G18" s="14" t="s">
        <v>221</v>
      </c>
      <c r="H18" s="13" t="s">
        <v>203</v>
      </c>
      <c r="I18" s="13" t="s">
        <v>386</v>
      </c>
    </row>
    <row r="19" spans="1:9" ht="21.95" customHeight="1">
      <c r="A19" s="12" t="s">
        <v>383</v>
      </c>
      <c r="B19" s="13" t="s">
        <v>392</v>
      </c>
      <c r="C19" s="13">
        <v>87</v>
      </c>
      <c r="D19" s="13">
        <v>110</v>
      </c>
      <c r="E19" s="13">
        <v>9</v>
      </c>
      <c r="F19" s="13" t="s">
        <v>387</v>
      </c>
      <c r="G19" s="14" t="s">
        <v>75</v>
      </c>
      <c r="H19" s="13" t="s">
        <v>57</v>
      </c>
      <c r="I19" s="13" t="s">
        <v>390</v>
      </c>
    </row>
    <row r="20" spans="1:9" ht="21.95" customHeight="1">
      <c r="A20" s="12" t="s">
        <v>383</v>
      </c>
      <c r="B20" s="13" t="s">
        <v>392</v>
      </c>
      <c r="C20" s="13">
        <v>87</v>
      </c>
      <c r="D20" s="13">
        <v>110</v>
      </c>
      <c r="E20" s="13">
        <v>9</v>
      </c>
      <c r="F20" s="13" t="s">
        <v>388</v>
      </c>
      <c r="G20" s="14" t="s">
        <v>313</v>
      </c>
      <c r="H20" s="13" t="s">
        <v>314</v>
      </c>
      <c r="I20" s="13" t="s">
        <v>386</v>
      </c>
    </row>
    <row r="21" spans="1:9" ht="21.95" customHeight="1">
      <c r="A21" s="12" t="s">
        <v>383</v>
      </c>
      <c r="B21" s="13" t="s">
        <v>392</v>
      </c>
      <c r="C21" s="13">
        <v>87</v>
      </c>
      <c r="D21" s="13">
        <v>110</v>
      </c>
      <c r="E21" s="13">
        <v>9</v>
      </c>
      <c r="F21" s="13" t="s">
        <v>389</v>
      </c>
      <c r="G21" s="14" t="s">
        <v>178</v>
      </c>
      <c r="H21" s="13" t="s">
        <v>106</v>
      </c>
      <c r="I21" s="13" t="s">
        <v>386</v>
      </c>
    </row>
    <row r="22" spans="1:9" ht="21.95" customHeight="1">
      <c r="A22" s="12" t="s">
        <v>383</v>
      </c>
      <c r="B22" s="13" t="s">
        <v>392</v>
      </c>
      <c r="C22" s="13">
        <v>87</v>
      </c>
      <c r="D22" s="13">
        <v>110</v>
      </c>
      <c r="E22" s="13">
        <v>10</v>
      </c>
      <c r="F22" s="13" t="s">
        <v>385</v>
      </c>
      <c r="G22" s="14" t="s">
        <v>130</v>
      </c>
      <c r="H22" s="13" t="s">
        <v>106</v>
      </c>
      <c r="I22" s="13" t="s">
        <v>386</v>
      </c>
    </row>
    <row r="23" spans="1:9" ht="21.95" customHeight="1">
      <c r="A23" s="12" t="s">
        <v>383</v>
      </c>
      <c r="B23" s="13" t="s">
        <v>392</v>
      </c>
      <c r="C23" s="13">
        <v>87</v>
      </c>
      <c r="D23" s="13">
        <v>110</v>
      </c>
      <c r="E23" s="13">
        <v>10</v>
      </c>
      <c r="F23" s="13" t="s">
        <v>387</v>
      </c>
      <c r="G23" s="14" t="s">
        <v>332</v>
      </c>
      <c r="H23" s="13" t="s">
        <v>314</v>
      </c>
      <c r="I23" s="13" t="s">
        <v>386</v>
      </c>
    </row>
    <row r="24" spans="1:9" ht="21.95" customHeight="1">
      <c r="A24" s="12" t="s">
        <v>383</v>
      </c>
      <c r="B24" s="13" t="s">
        <v>392</v>
      </c>
      <c r="C24" s="13">
        <v>87</v>
      </c>
      <c r="D24" s="13">
        <v>110</v>
      </c>
      <c r="E24" s="13">
        <v>10</v>
      </c>
      <c r="F24" s="13" t="s">
        <v>388</v>
      </c>
      <c r="G24" s="14" t="s">
        <v>156</v>
      </c>
      <c r="H24" s="13" t="s">
        <v>106</v>
      </c>
      <c r="I24" s="13" t="s">
        <v>390</v>
      </c>
    </row>
    <row r="25" spans="1:9" ht="21.95" customHeight="1">
      <c r="A25" s="12" t="s">
        <v>383</v>
      </c>
      <c r="B25" s="13" t="s">
        <v>392</v>
      </c>
      <c r="C25" s="13">
        <v>87</v>
      </c>
      <c r="D25" s="13">
        <v>110</v>
      </c>
      <c r="E25" s="13">
        <v>10</v>
      </c>
      <c r="F25" s="13" t="s">
        <v>389</v>
      </c>
      <c r="G25" s="14" t="s">
        <v>184</v>
      </c>
      <c r="H25" s="13" t="s">
        <v>106</v>
      </c>
      <c r="I25" s="13" t="s">
        <v>386</v>
      </c>
    </row>
    <row r="26" spans="1:9" ht="21.95" customHeight="1">
      <c r="A26" s="12" t="s">
        <v>383</v>
      </c>
      <c r="B26" s="13" t="s">
        <v>393</v>
      </c>
      <c r="C26" s="13">
        <v>121</v>
      </c>
      <c r="D26" s="13">
        <v>144</v>
      </c>
      <c r="E26" s="13">
        <v>9</v>
      </c>
      <c r="F26" s="13" t="s">
        <v>385</v>
      </c>
      <c r="G26" s="14" t="s">
        <v>38</v>
      </c>
      <c r="H26" s="13" t="s">
        <v>19</v>
      </c>
      <c r="I26" s="13" t="s">
        <v>390</v>
      </c>
    </row>
    <row r="27" spans="1:9" ht="21.95" customHeight="1">
      <c r="A27" s="12" t="s">
        <v>383</v>
      </c>
      <c r="B27" s="13" t="s">
        <v>393</v>
      </c>
      <c r="C27" s="13">
        <v>121</v>
      </c>
      <c r="D27" s="13">
        <v>144</v>
      </c>
      <c r="E27" s="13">
        <v>9</v>
      </c>
      <c r="F27" s="13" t="s">
        <v>387</v>
      </c>
      <c r="G27" s="14" t="s">
        <v>344</v>
      </c>
      <c r="H27" s="13" t="s">
        <v>345</v>
      </c>
      <c r="I27" s="13" t="s">
        <v>386</v>
      </c>
    </row>
    <row r="28" spans="1:9" ht="21.95" customHeight="1">
      <c r="A28" s="12" t="s">
        <v>383</v>
      </c>
      <c r="B28" s="13" t="s">
        <v>393</v>
      </c>
      <c r="C28" s="13">
        <v>121</v>
      </c>
      <c r="D28" s="13">
        <v>144</v>
      </c>
      <c r="E28" s="13">
        <v>9</v>
      </c>
      <c r="F28" s="13" t="s">
        <v>388</v>
      </c>
      <c r="G28" s="14" t="s">
        <v>233</v>
      </c>
      <c r="H28" s="13" t="s">
        <v>203</v>
      </c>
      <c r="I28" s="13" t="s">
        <v>386</v>
      </c>
    </row>
    <row r="29" spans="1:9" ht="21.95" customHeight="1">
      <c r="A29" s="12" t="s">
        <v>383</v>
      </c>
      <c r="B29" s="13" t="s">
        <v>393</v>
      </c>
      <c r="C29" s="13">
        <v>121</v>
      </c>
      <c r="D29" s="13">
        <v>144</v>
      </c>
      <c r="E29" s="13">
        <v>9</v>
      </c>
      <c r="F29" s="13" t="s">
        <v>389</v>
      </c>
      <c r="G29" s="14" t="s">
        <v>216</v>
      </c>
      <c r="H29" s="13" t="s">
        <v>203</v>
      </c>
      <c r="I29" s="13" t="s">
        <v>386</v>
      </c>
    </row>
    <row r="30" spans="1:9" ht="21.95" customHeight="1">
      <c r="A30" s="12" t="s">
        <v>383</v>
      </c>
      <c r="B30" s="13" t="s">
        <v>393</v>
      </c>
      <c r="C30" s="13">
        <v>121</v>
      </c>
      <c r="D30" s="13">
        <v>144</v>
      </c>
      <c r="E30" s="13">
        <v>10</v>
      </c>
      <c r="F30" s="13" t="s">
        <v>385</v>
      </c>
      <c r="G30" s="14" t="s">
        <v>252</v>
      </c>
      <c r="H30" s="13" t="s">
        <v>246</v>
      </c>
      <c r="I30" s="13" t="s">
        <v>386</v>
      </c>
    </row>
    <row r="31" spans="1:9" ht="21.95" customHeight="1">
      <c r="A31" s="12" t="s">
        <v>383</v>
      </c>
      <c r="B31" s="13" t="s">
        <v>393</v>
      </c>
      <c r="C31" s="13">
        <v>121</v>
      </c>
      <c r="D31" s="13">
        <v>144</v>
      </c>
      <c r="E31" s="13">
        <v>10</v>
      </c>
      <c r="F31" s="13" t="s">
        <v>387</v>
      </c>
      <c r="G31" s="14" t="s">
        <v>332</v>
      </c>
      <c r="H31" s="13" t="s">
        <v>314</v>
      </c>
      <c r="I31" s="13" t="s">
        <v>390</v>
      </c>
    </row>
    <row r="32" spans="1:9" ht="21.95" customHeight="1">
      <c r="A32" s="12" t="s">
        <v>383</v>
      </c>
      <c r="B32" s="13" t="s">
        <v>393</v>
      </c>
      <c r="C32" s="13">
        <v>121</v>
      </c>
      <c r="D32" s="13">
        <v>144</v>
      </c>
      <c r="E32" s="13">
        <v>10</v>
      </c>
      <c r="F32" s="13" t="s">
        <v>388</v>
      </c>
      <c r="G32" s="14" t="s">
        <v>239</v>
      </c>
      <c r="H32" s="13" t="s">
        <v>203</v>
      </c>
      <c r="I32" s="13" t="s">
        <v>386</v>
      </c>
    </row>
    <row r="33" spans="1:9" ht="21.95" customHeight="1">
      <c r="A33" s="12" t="s">
        <v>383</v>
      </c>
      <c r="B33" s="13" t="s">
        <v>393</v>
      </c>
      <c r="C33" s="13">
        <v>121</v>
      </c>
      <c r="D33" s="13">
        <v>144</v>
      </c>
      <c r="E33" s="13">
        <v>10</v>
      </c>
      <c r="F33" s="13" t="s">
        <v>389</v>
      </c>
      <c r="G33" s="14" t="s">
        <v>56</v>
      </c>
      <c r="H33" s="13" t="s">
        <v>57</v>
      </c>
      <c r="I33" s="13" t="s">
        <v>386</v>
      </c>
    </row>
    <row r="34" spans="1:9" ht="21.95" customHeight="1">
      <c r="A34" s="12" t="s">
        <v>383</v>
      </c>
      <c r="B34" s="13" t="s">
        <v>394</v>
      </c>
      <c r="C34" s="13">
        <v>155</v>
      </c>
      <c r="D34" s="13">
        <v>178</v>
      </c>
      <c r="E34" s="13">
        <v>9</v>
      </c>
      <c r="F34" s="13" t="s">
        <v>385</v>
      </c>
      <c r="G34" s="14" t="s">
        <v>32</v>
      </c>
      <c r="H34" s="13" t="s">
        <v>19</v>
      </c>
      <c r="I34" s="13" t="s">
        <v>390</v>
      </c>
    </row>
    <row r="35" spans="1:9" ht="21.95" customHeight="1">
      <c r="A35" s="12" t="s">
        <v>383</v>
      </c>
      <c r="B35" s="13" t="s">
        <v>394</v>
      </c>
      <c r="C35" s="13">
        <v>155</v>
      </c>
      <c r="D35" s="13">
        <v>178</v>
      </c>
      <c r="E35" s="13">
        <v>9</v>
      </c>
      <c r="F35" s="13" t="s">
        <v>387</v>
      </c>
      <c r="G35" s="14" t="s">
        <v>118</v>
      </c>
      <c r="H35" s="13" t="s">
        <v>106</v>
      </c>
      <c r="I35" s="13" t="s">
        <v>386</v>
      </c>
    </row>
    <row r="36" spans="1:9" ht="21.95" customHeight="1">
      <c r="A36" s="12" t="s">
        <v>383</v>
      </c>
      <c r="B36" s="13" t="s">
        <v>394</v>
      </c>
      <c r="C36" s="13">
        <v>155</v>
      </c>
      <c r="D36" s="13">
        <v>178</v>
      </c>
      <c r="E36" s="13">
        <v>9</v>
      </c>
      <c r="F36" s="13" t="s">
        <v>388</v>
      </c>
      <c r="G36" s="14" t="s">
        <v>277</v>
      </c>
      <c r="H36" s="13" t="s">
        <v>265</v>
      </c>
      <c r="I36" s="13" t="s">
        <v>386</v>
      </c>
    </row>
    <row r="37" spans="1:9" ht="21.95" customHeight="1">
      <c r="A37" s="12" t="s">
        <v>383</v>
      </c>
      <c r="B37" s="13" t="s">
        <v>394</v>
      </c>
      <c r="C37" s="13">
        <v>155</v>
      </c>
      <c r="D37" s="13">
        <v>178</v>
      </c>
      <c r="E37" s="13">
        <v>9</v>
      </c>
      <c r="F37" s="13" t="s">
        <v>389</v>
      </c>
      <c r="G37" s="14" t="s">
        <v>130</v>
      </c>
      <c r="H37" s="13" t="s">
        <v>106</v>
      </c>
      <c r="I37" s="13" t="s">
        <v>386</v>
      </c>
    </row>
    <row r="38" spans="1:9" ht="21.95" customHeight="1">
      <c r="A38" s="12" t="s">
        <v>383</v>
      </c>
      <c r="B38" s="13" t="s">
        <v>394</v>
      </c>
      <c r="C38" s="13">
        <v>155</v>
      </c>
      <c r="D38" s="13">
        <v>178</v>
      </c>
      <c r="E38" s="13">
        <v>10</v>
      </c>
      <c r="F38" s="13" t="s">
        <v>385</v>
      </c>
      <c r="G38" s="14" t="s">
        <v>252</v>
      </c>
      <c r="H38" s="13" t="s">
        <v>246</v>
      </c>
      <c r="I38" s="13" t="s">
        <v>386</v>
      </c>
    </row>
    <row r="39" spans="1:9" ht="21.95" customHeight="1">
      <c r="A39" s="12" t="s">
        <v>383</v>
      </c>
      <c r="B39" s="13" t="s">
        <v>394</v>
      </c>
      <c r="C39" s="13">
        <v>155</v>
      </c>
      <c r="D39" s="13">
        <v>178</v>
      </c>
      <c r="E39" s="13">
        <v>10</v>
      </c>
      <c r="F39" s="13" t="s">
        <v>387</v>
      </c>
      <c r="G39" s="14" t="s">
        <v>184</v>
      </c>
      <c r="H39" s="13" t="s">
        <v>106</v>
      </c>
      <c r="I39" s="13" t="s">
        <v>386</v>
      </c>
    </row>
    <row r="40" spans="1:9" ht="21.95" customHeight="1">
      <c r="A40" s="12" t="s">
        <v>383</v>
      </c>
      <c r="B40" s="13" t="s">
        <v>394</v>
      </c>
      <c r="C40" s="13">
        <v>155</v>
      </c>
      <c r="D40" s="13">
        <v>178</v>
      </c>
      <c r="E40" s="13">
        <v>10</v>
      </c>
      <c r="F40" s="13" t="s">
        <v>388</v>
      </c>
      <c r="G40" s="14" t="s">
        <v>105</v>
      </c>
      <c r="H40" s="13" t="s">
        <v>106</v>
      </c>
      <c r="I40" s="13" t="s">
        <v>386</v>
      </c>
    </row>
    <row r="41" spans="1:9" ht="21.95" customHeight="1">
      <c r="A41" s="12" t="s">
        <v>383</v>
      </c>
      <c r="B41" s="13" t="s">
        <v>394</v>
      </c>
      <c r="C41" s="13">
        <v>155</v>
      </c>
      <c r="D41" s="13">
        <v>178</v>
      </c>
      <c r="E41" s="13">
        <v>10</v>
      </c>
      <c r="F41" s="13" t="s">
        <v>389</v>
      </c>
      <c r="G41" s="14" t="s">
        <v>69</v>
      </c>
      <c r="H41" s="13" t="s">
        <v>57</v>
      </c>
      <c r="I41" s="13" t="s">
        <v>390</v>
      </c>
    </row>
    <row r="42" spans="1:9" ht="21.95" customHeight="1">
      <c r="A42" s="12" t="s">
        <v>395</v>
      </c>
      <c r="B42" s="13" t="s">
        <v>384</v>
      </c>
      <c r="C42" s="13">
        <v>149</v>
      </c>
      <c r="D42" s="13">
        <v>51</v>
      </c>
      <c r="E42" s="13">
        <v>9</v>
      </c>
      <c r="F42" s="13" t="s">
        <v>385</v>
      </c>
      <c r="G42" s="14" t="s">
        <v>196</v>
      </c>
      <c r="H42" s="13" t="s">
        <v>106</v>
      </c>
      <c r="I42" s="13" t="s">
        <v>386</v>
      </c>
    </row>
    <row r="43" spans="1:9" ht="21.95" customHeight="1">
      <c r="A43" s="12" t="s">
        <v>395</v>
      </c>
      <c r="B43" s="13" t="s">
        <v>384</v>
      </c>
      <c r="C43" s="13">
        <v>149</v>
      </c>
      <c r="D43" s="13">
        <v>51</v>
      </c>
      <c r="E43" s="13">
        <v>9</v>
      </c>
      <c r="F43" s="13" t="s">
        <v>387</v>
      </c>
      <c r="G43" s="14" t="s">
        <v>216</v>
      </c>
      <c r="H43" s="13" t="s">
        <v>203</v>
      </c>
      <c r="I43" s="13" t="s">
        <v>390</v>
      </c>
    </row>
    <row r="44" spans="1:9" ht="21.95" customHeight="1">
      <c r="A44" s="12" t="s">
        <v>395</v>
      </c>
      <c r="B44" s="13" t="s">
        <v>384</v>
      </c>
      <c r="C44" s="13">
        <v>149</v>
      </c>
      <c r="D44" s="13">
        <v>51</v>
      </c>
      <c r="E44" s="13">
        <v>9</v>
      </c>
      <c r="F44" s="13" t="s">
        <v>388</v>
      </c>
      <c r="G44" s="14" t="s">
        <v>264</v>
      </c>
      <c r="H44" s="13" t="s">
        <v>265</v>
      </c>
      <c r="I44" s="13" t="s">
        <v>386</v>
      </c>
    </row>
    <row r="45" spans="1:9" ht="21.95" customHeight="1">
      <c r="A45" s="12" t="s">
        <v>395</v>
      </c>
      <c r="B45" s="13" t="s">
        <v>384</v>
      </c>
      <c r="C45" s="13">
        <v>149</v>
      </c>
      <c r="D45" s="13">
        <v>51</v>
      </c>
      <c r="E45" s="13">
        <v>9</v>
      </c>
      <c r="F45" s="13" t="s">
        <v>389</v>
      </c>
      <c r="G45" s="14" t="s">
        <v>112</v>
      </c>
      <c r="H45" s="13" t="s">
        <v>106</v>
      </c>
      <c r="I45" s="13" t="s">
        <v>386</v>
      </c>
    </row>
    <row r="46" spans="1:9" ht="21.95" customHeight="1">
      <c r="A46" s="12" t="s">
        <v>395</v>
      </c>
      <c r="B46" s="13" t="s">
        <v>384</v>
      </c>
      <c r="C46" s="13">
        <v>149</v>
      </c>
      <c r="D46" s="13">
        <v>51</v>
      </c>
      <c r="E46" s="13">
        <v>10</v>
      </c>
      <c r="F46" s="13" t="s">
        <v>385</v>
      </c>
      <c r="G46" s="14" t="s">
        <v>283</v>
      </c>
      <c r="H46" s="13" t="s">
        <v>265</v>
      </c>
      <c r="I46" s="13" t="s">
        <v>390</v>
      </c>
    </row>
    <row r="47" spans="1:9" ht="21.95" customHeight="1">
      <c r="A47" s="12" t="s">
        <v>395</v>
      </c>
      <c r="B47" s="13" t="s">
        <v>384</v>
      </c>
      <c r="C47" s="13">
        <v>149</v>
      </c>
      <c r="D47" s="13">
        <v>51</v>
      </c>
      <c r="E47" s="13">
        <v>10</v>
      </c>
      <c r="F47" s="13" t="s">
        <v>387</v>
      </c>
      <c r="G47" s="14" t="s">
        <v>130</v>
      </c>
      <c r="H47" s="13" t="s">
        <v>106</v>
      </c>
      <c r="I47" s="13" t="s">
        <v>386</v>
      </c>
    </row>
    <row r="48" spans="1:9" ht="21.95" customHeight="1">
      <c r="A48" s="12" t="s">
        <v>395</v>
      </c>
      <c r="B48" s="13" t="s">
        <v>384</v>
      </c>
      <c r="C48" s="13">
        <v>149</v>
      </c>
      <c r="D48" s="13">
        <v>51</v>
      </c>
      <c r="E48" s="13">
        <v>10</v>
      </c>
      <c r="F48" s="13" t="s">
        <v>388</v>
      </c>
      <c r="G48" s="14" t="s">
        <v>295</v>
      </c>
      <c r="H48" s="13" t="s">
        <v>265</v>
      </c>
      <c r="I48" s="13" t="s">
        <v>386</v>
      </c>
    </row>
    <row r="49" spans="1:9" ht="21.95" customHeight="1">
      <c r="A49" s="12" t="s">
        <v>395</v>
      </c>
      <c r="B49" s="13" t="s">
        <v>384</v>
      </c>
      <c r="C49" s="13">
        <v>149</v>
      </c>
      <c r="D49" s="13">
        <v>51</v>
      </c>
      <c r="E49" s="13">
        <v>10</v>
      </c>
      <c r="F49" s="13" t="s">
        <v>389</v>
      </c>
      <c r="G49" s="14" t="s">
        <v>338</v>
      </c>
      <c r="H49" s="13" t="s">
        <v>314</v>
      </c>
      <c r="I49" s="13" t="s">
        <v>386</v>
      </c>
    </row>
    <row r="50" spans="1:9" ht="21.95" customHeight="1">
      <c r="A50" s="12" t="s">
        <v>395</v>
      </c>
      <c r="B50" s="13" t="s">
        <v>391</v>
      </c>
      <c r="C50" s="13">
        <v>19</v>
      </c>
      <c r="D50" s="13">
        <v>85</v>
      </c>
      <c r="E50" s="13">
        <v>9</v>
      </c>
      <c r="F50" s="13" t="s">
        <v>385</v>
      </c>
      <c r="G50" s="14" t="s">
        <v>370</v>
      </c>
      <c r="H50" s="13" t="s">
        <v>364</v>
      </c>
      <c r="I50" s="13" t="s">
        <v>386</v>
      </c>
    </row>
    <row r="51" spans="1:9" ht="21.95" customHeight="1">
      <c r="A51" s="12" t="s">
        <v>395</v>
      </c>
      <c r="B51" s="13" t="s">
        <v>391</v>
      </c>
      <c r="C51" s="13">
        <v>19</v>
      </c>
      <c r="D51" s="13">
        <v>85</v>
      </c>
      <c r="E51" s="13">
        <v>9</v>
      </c>
      <c r="F51" s="13" t="s">
        <v>387</v>
      </c>
      <c r="G51" s="14" t="s">
        <v>156</v>
      </c>
      <c r="H51" s="13" t="s">
        <v>106</v>
      </c>
      <c r="I51" s="13" t="s">
        <v>390</v>
      </c>
    </row>
    <row r="52" spans="1:9" ht="21.95" customHeight="1">
      <c r="A52" s="12" t="s">
        <v>395</v>
      </c>
      <c r="B52" s="13" t="s">
        <v>391</v>
      </c>
      <c r="C52" s="13">
        <v>19</v>
      </c>
      <c r="D52" s="13">
        <v>85</v>
      </c>
      <c r="E52" s="13">
        <v>9</v>
      </c>
      <c r="F52" s="13" t="s">
        <v>388</v>
      </c>
      <c r="G52" s="14" t="s">
        <v>18</v>
      </c>
      <c r="H52" s="13" t="s">
        <v>19</v>
      </c>
      <c r="I52" s="13" t="s">
        <v>386</v>
      </c>
    </row>
    <row r="53" spans="1:9" ht="21.95" customHeight="1">
      <c r="A53" s="12" t="s">
        <v>395</v>
      </c>
      <c r="B53" s="13" t="s">
        <v>391</v>
      </c>
      <c r="C53" s="13">
        <v>19</v>
      </c>
      <c r="D53" s="13">
        <v>85</v>
      </c>
      <c r="E53" s="13">
        <v>9</v>
      </c>
      <c r="F53" s="13" t="s">
        <v>389</v>
      </c>
      <c r="G53" s="14" t="s">
        <v>326</v>
      </c>
      <c r="H53" s="13" t="s">
        <v>314</v>
      </c>
      <c r="I53" s="13" t="s">
        <v>386</v>
      </c>
    </row>
    <row r="54" spans="1:9" ht="21.95" customHeight="1">
      <c r="A54" s="12" t="s">
        <v>395</v>
      </c>
      <c r="B54" s="13" t="s">
        <v>391</v>
      </c>
      <c r="C54" s="13">
        <v>19</v>
      </c>
      <c r="D54" s="13">
        <v>85</v>
      </c>
      <c r="E54" s="13">
        <v>10</v>
      </c>
      <c r="F54" s="13" t="s">
        <v>385</v>
      </c>
      <c r="G54" s="14" t="s">
        <v>196</v>
      </c>
      <c r="H54" s="13" t="s">
        <v>106</v>
      </c>
      <c r="I54" s="13" t="s">
        <v>386</v>
      </c>
    </row>
    <row r="55" spans="1:9" ht="21.95" customHeight="1">
      <c r="A55" s="12" t="s">
        <v>395</v>
      </c>
      <c r="B55" s="13" t="s">
        <v>391</v>
      </c>
      <c r="C55" s="13">
        <v>19</v>
      </c>
      <c r="D55" s="13">
        <v>85</v>
      </c>
      <c r="E55" s="13">
        <v>10</v>
      </c>
      <c r="F55" s="13" t="s">
        <v>387</v>
      </c>
      <c r="G55" s="14" t="s">
        <v>63</v>
      </c>
      <c r="H55" s="13" t="s">
        <v>57</v>
      </c>
      <c r="I55" s="13" t="s">
        <v>390</v>
      </c>
    </row>
    <row r="56" spans="1:9" ht="21.95" customHeight="1">
      <c r="A56" s="12" t="s">
        <v>395</v>
      </c>
      <c r="B56" s="13" t="s">
        <v>391</v>
      </c>
      <c r="C56" s="13">
        <v>19</v>
      </c>
      <c r="D56" s="13">
        <v>85</v>
      </c>
      <c r="E56" s="13">
        <v>10</v>
      </c>
      <c r="F56" s="13" t="s">
        <v>388</v>
      </c>
      <c r="G56" s="14" t="s">
        <v>210</v>
      </c>
      <c r="H56" s="13" t="s">
        <v>203</v>
      </c>
      <c r="I56" s="13" t="s">
        <v>386</v>
      </c>
    </row>
    <row r="57" spans="1:9" ht="21.95" customHeight="1">
      <c r="A57" s="12" t="s">
        <v>395</v>
      </c>
      <c r="B57" s="13" t="s">
        <v>391</v>
      </c>
      <c r="C57" s="13">
        <v>19</v>
      </c>
      <c r="D57" s="13">
        <v>85</v>
      </c>
      <c r="E57" s="13">
        <v>10</v>
      </c>
      <c r="F57" s="13" t="s">
        <v>389</v>
      </c>
      <c r="G57" s="14" t="s">
        <v>264</v>
      </c>
      <c r="H57" s="13" t="s">
        <v>265</v>
      </c>
      <c r="I57" s="13" t="s">
        <v>386</v>
      </c>
    </row>
    <row r="58" spans="1:9" ht="21.95" customHeight="1">
      <c r="A58" s="12" t="s">
        <v>395</v>
      </c>
      <c r="B58" s="13" t="s">
        <v>392</v>
      </c>
      <c r="C58" s="13">
        <v>53</v>
      </c>
      <c r="D58" s="13">
        <v>119</v>
      </c>
      <c r="E58" s="13">
        <v>9</v>
      </c>
      <c r="F58" s="13" t="s">
        <v>385</v>
      </c>
      <c r="G58" s="14" t="s">
        <v>167</v>
      </c>
      <c r="H58" s="13" t="s">
        <v>106</v>
      </c>
      <c r="I58" s="13" t="s">
        <v>386</v>
      </c>
    </row>
    <row r="59" spans="1:9" ht="21.95" customHeight="1">
      <c r="A59" s="12" t="s">
        <v>395</v>
      </c>
      <c r="B59" s="13" t="s">
        <v>392</v>
      </c>
      <c r="C59" s="13">
        <v>53</v>
      </c>
      <c r="D59" s="13">
        <v>119</v>
      </c>
      <c r="E59" s="13">
        <v>9</v>
      </c>
      <c r="F59" s="13" t="s">
        <v>387</v>
      </c>
      <c r="G59" s="14" t="s">
        <v>221</v>
      </c>
      <c r="H59" s="13" t="s">
        <v>203</v>
      </c>
      <c r="I59" s="13" t="s">
        <v>386</v>
      </c>
    </row>
    <row r="60" spans="1:9" ht="21.95" customHeight="1">
      <c r="A60" s="12" t="s">
        <v>395</v>
      </c>
      <c r="B60" s="13" t="s">
        <v>392</v>
      </c>
      <c r="C60" s="13">
        <v>53</v>
      </c>
      <c r="D60" s="13">
        <v>119</v>
      </c>
      <c r="E60" s="13">
        <v>9</v>
      </c>
      <c r="F60" s="13" t="s">
        <v>388</v>
      </c>
      <c r="G60" s="14" t="s">
        <v>326</v>
      </c>
      <c r="H60" s="13" t="s">
        <v>314</v>
      </c>
      <c r="I60" s="13" t="s">
        <v>390</v>
      </c>
    </row>
    <row r="61" spans="1:9" ht="21.95" customHeight="1">
      <c r="A61" s="12" t="s">
        <v>395</v>
      </c>
      <c r="B61" s="13" t="s">
        <v>392</v>
      </c>
      <c r="C61" s="13">
        <v>53</v>
      </c>
      <c r="D61" s="13">
        <v>119</v>
      </c>
      <c r="E61" s="13">
        <v>9</v>
      </c>
      <c r="F61" s="13" t="s">
        <v>389</v>
      </c>
      <c r="G61" s="14" t="s">
        <v>264</v>
      </c>
      <c r="H61" s="13" t="s">
        <v>265</v>
      </c>
      <c r="I61" s="13" t="s">
        <v>386</v>
      </c>
    </row>
    <row r="62" spans="1:9" ht="21.95" customHeight="1">
      <c r="A62" s="12" t="s">
        <v>395</v>
      </c>
      <c r="B62" s="13" t="s">
        <v>392</v>
      </c>
      <c r="C62" s="13">
        <v>53</v>
      </c>
      <c r="D62" s="13">
        <v>119</v>
      </c>
      <c r="E62" s="13">
        <v>10</v>
      </c>
      <c r="F62" s="13" t="s">
        <v>385</v>
      </c>
      <c r="G62" s="14" t="s">
        <v>245</v>
      </c>
      <c r="H62" s="13" t="s">
        <v>246</v>
      </c>
      <c r="I62" s="13" t="s">
        <v>386</v>
      </c>
    </row>
    <row r="63" spans="1:9" ht="21.95" customHeight="1">
      <c r="A63" s="12" t="s">
        <v>395</v>
      </c>
      <c r="B63" s="13" t="s">
        <v>392</v>
      </c>
      <c r="C63" s="13">
        <v>53</v>
      </c>
      <c r="D63" s="13">
        <v>119</v>
      </c>
      <c r="E63" s="13">
        <v>10</v>
      </c>
      <c r="F63" s="13" t="s">
        <v>387</v>
      </c>
      <c r="G63" s="14" t="s">
        <v>75</v>
      </c>
      <c r="H63" s="13" t="s">
        <v>57</v>
      </c>
      <c r="I63" s="13" t="s">
        <v>390</v>
      </c>
    </row>
    <row r="64" spans="1:9" ht="21.95" customHeight="1">
      <c r="A64" s="12" t="s">
        <v>395</v>
      </c>
      <c r="B64" s="13" t="s">
        <v>392</v>
      </c>
      <c r="C64" s="13">
        <v>53</v>
      </c>
      <c r="D64" s="13">
        <v>119</v>
      </c>
      <c r="E64" s="13">
        <v>10</v>
      </c>
      <c r="F64" s="13" t="s">
        <v>388</v>
      </c>
      <c r="G64" s="14" t="s">
        <v>38</v>
      </c>
      <c r="H64" s="13" t="s">
        <v>19</v>
      </c>
      <c r="I64" s="13" t="s">
        <v>386</v>
      </c>
    </row>
    <row r="65" spans="1:9" ht="21.95" customHeight="1">
      <c r="A65" s="12" t="s">
        <v>395</v>
      </c>
      <c r="B65" s="13" t="s">
        <v>392</v>
      </c>
      <c r="C65" s="13">
        <v>53</v>
      </c>
      <c r="D65" s="13">
        <v>119</v>
      </c>
      <c r="E65" s="13">
        <v>10</v>
      </c>
      <c r="F65" s="13" t="s">
        <v>389</v>
      </c>
      <c r="G65" s="14" t="s">
        <v>130</v>
      </c>
      <c r="H65" s="13" t="s">
        <v>106</v>
      </c>
      <c r="I65" s="13" t="s">
        <v>386</v>
      </c>
    </row>
    <row r="66" spans="1:9" ht="21.95" customHeight="1">
      <c r="A66" s="12" t="s">
        <v>395</v>
      </c>
      <c r="B66" s="13" t="s">
        <v>393</v>
      </c>
      <c r="C66" s="13">
        <v>85</v>
      </c>
      <c r="D66" s="13">
        <v>153</v>
      </c>
      <c r="E66" s="13">
        <v>9</v>
      </c>
      <c r="F66" s="13" t="s">
        <v>385</v>
      </c>
      <c r="G66" s="14" t="s">
        <v>93</v>
      </c>
      <c r="H66" s="13" t="s">
        <v>57</v>
      </c>
      <c r="I66" s="13" t="s">
        <v>386</v>
      </c>
    </row>
    <row r="67" spans="1:9" ht="21.95" customHeight="1">
      <c r="A67" s="12" t="s">
        <v>395</v>
      </c>
      <c r="B67" s="13" t="s">
        <v>393</v>
      </c>
      <c r="C67" s="13">
        <v>85</v>
      </c>
      <c r="D67" s="13">
        <v>153</v>
      </c>
      <c r="E67" s="13">
        <v>9</v>
      </c>
      <c r="F67" s="13" t="s">
        <v>387</v>
      </c>
      <c r="G67" s="14" t="s">
        <v>184</v>
      </c>
      <c r="H67" s="13" t="s">
        <v>106</v>
      </c>
      <c r="I67" s="13" t="s">
        <v>386</v>
      </c>
    </row>
    <row r="68" spans="1:9" ht="21.95" customHeight="1">
      <c r="A68" s="12" t="s">
        <v>395</v>
      </c>
      <c r="B68" s="13" t="s">
        <v>393</v>
      </c>
      <c r="C68" s="13">
        <v>85</v>
      </c>
      <c r="D68" s="13">
        <v>153</v>
      </c>
      <c r="E68" s="13">
        <v>9</v>
      </c>
      <c r="F68" s="13" t="s">
        <v>388</v>
      </c>
      <c r="G68" s="14" t="s">
        <v>38</v>
      </c>
      <c r="H68" s="13" t="s">
        <v>19</v>
      </c>
      <c r="I68" s="13" t="s">
        <v>386</v>
      </c>
    </row>
    <row r="69" spans="1:9" ht="21.95" customHeight="1">
      <c r="A69" s="12" t="s">
        <v>395</v>
      </c>
      <c r="B69" s="13" t="s">
        <v>393</v>
      </c>
      <c r="C69" s="13">
        <v>85</v>
      </c>
      <c r="D69" s="13">
        <v>153</v>
      </c>
      <c r="E69" s="13">
        <v>9</v>
      </c>
      <c r="F69" s="13" t="s">
        <v>389</v>
      </c>
      <c r="G69" s="14" t="s">
        <v>216</v>
      </c>
      <c r="H69" s="13" t="s">
        <v>203</v>
      </c>
      <c r="I69" s="13" t="s">
        <v>390</v>
      </c>
    </row>
    <row r="70" spans="1:9" ht="21.95" customHeight="1">
      <c r="A70" s="12" t="s">
        <v>395</v>
      </c>
      <c r="B70" s="13" t="s">
        <v>393</v>
      </c>
      <c r="C70" s="13">
        <v>85</v>
      </c>
      <c r="D70" s="13">
        <v>153</v>
      </c>
      <c r="E70" s="13">
        <v>10</v>
      </c>
      <c r="F70" s="13" t="s">
        <v>385</v>
      </c>
      <c r="G70" s="14" t="s">
        <v>357</v>
      </c>
      <c r="H70" s="13" t="s">
        <v>345</v>
      </c>
      <c r="I70" s="13" t="s">
        <v>386</v>
      </c>
    </row>
    <row r="71" spans="1:9" ht="21.95" customHeight="1">
      <c r="A71" s="12" t="s">
        <v>395</v>
      </c>
      <c r="B71" s="13" t="s">
        <v>393</v>
      </c>
      <c r="C71" s="13">
        <v>85</v>
      </c>
      <c r="D71" s="13">
        <v>153</v>
      </c>
      <c r="E71" s="13">
        <v>10</v>
      </c>
      <c r="F71" s="13" t="s">
        <v>387</v>
      </c>
      <c r="G71" s="14" t="s">
        <v>332</v>
      </c>
      <c r="H71" s="13" t="s">
        <v>314</v>
      </c>
      <c r="I71" s="13" t="s">
        <v>386</v>
      </c>
    </row>
    <row r="72" spans="1:9" ht="21.95" customHeight="1">
      <c r="A72" s="12" t="s">
        <v>395</v>
      </c>
      <c r="B72" s="13" t="s">
        <v>393</v>
      </c>
      <c r="C72" s="13">
        <v>85</v>
      </c>
      <c r="D72" s="13">
        <v>153</v>
      </c>
      <c r="E72" s="13">
        <v>10</v>
      </c>
      <c r="F72" s="13" t="s">
        <v>388</v>
      </c>
      <c r="G72" s="14" t="s">
        <v>320</v>
      </c>
      <c r="H72" s="13" t="s">
        <v>314</v>
      </c>
      <c r="I72" s="13" t="s">
        <v>386</v>
      </c>
    </row>
    <row r="73" spans="1:9" ht="21.95" customHeight="1">
      <c r="A73" s="12" t="s">
        <v>395</v>
      </c>
      <c r="B73" s="13" t="s">
        <v>393</v>
      </c>
      <c r="C73" s="13">
        <v>85</v>
      </c>
      <c r="D73" s="13">
        <v>153</v>
      </c>
      <c r="E73" s="13">
        <v>10</v>
      </c>
      <c r="F73" s="13" t="s">
        <v>389</v>
      </c>
      <c r="G73" s="14" t="s">
        <v>352</v>
      </c>
      <c r="H73" s="13" t="s">
        <v>345</v>
      </c>
      <c r="I73" s="13" t="s">
        <v>390</v>
      </c>
    </row>
    <row r="74" spans="1:9" ht="21.95" customHeight="1">
      <c r="A74" s="12" t="s">
        <v>395</v>
      </c>
      <c r="B74" s="13" t="s">
        <v>394</v>
      </c>
      <c r="C74" s="13">
        <v>117</v>
      </c>
      <c r="D74" s="13">
        <v>187</v>
      </c>
      <c r="E74" s="13">
        <v>9</v>
      </c>
      <c r="F74" s="13" t="s">
        <v>385</v>
      </c>
      <c r="G74" s="14" t="s">
        <v>283</v>
      </c>
      <c r="H74" s="13" t="s">
        <v>265</v>
      </c>
      <c r="I74" s="13" t="s">
        <v>390</v>
      </c>
    </row>
    <row r="75" spans="1:9" ht="21.95" customHeight="1">
      <c r="A75" s="12" t="s">
        <v>395</v>
      </c>
      <c r="B75" s="13" t="s">
        <v>394</v>
      </c>
      <c r="C75" s="13">
        <v>117</v>
      </c>
      <c r="D75" s="13">
        <v>187</v>
      </c>
      <c r="E75" s="13">
        <v>9</v>
      </c>
      <c r="F75" s="13" t="s">
        <v>387</v>
      </c>
      <c r="G75" s="14" t="s">
        <v>258</v>
      </c>
      <c r="H75" s="13" t="s">
        <v>246</v>
      </c>
      <c r="I75" s="13" t="s">
        <v>386</v>
      </c>
    </row>
    <row r="76" spans="1:9" ht="21.95" customHeight="1">
      <c r="A76" s="12" t="s">
        <v>395</v>
      </c>
      <c r="B76" s="13" t="s">
        <v>394</v>
      </c>
      <c r="C76" s="13">
        <v>117</v>
      </c>
      <c r="D76" s="13">
        <v>187</v>
      </c>
      <c r="E76" s="13">
        <v>9</v>
      </c>
      <c r="F76" s="13" t="s">
        <v>388</v>
      </c>
      <c r="G76" s="14" t="s">
        <v>184</v>
      </c>
      <c r="H76" s="13" t="s">
        <v>106</v>
      </c>
      <c r="I76" s="13" t="s">
        <v>386</v>
      </c>
    </row>
    <row r="77" spans="1:9" ht="21.95" customHeight="1">
      <c r="A77" s="12" t="s">
        <v>395</v>
      </c>
      <c r="B77" s="13" t="s">
        <v>394</v>
      </c>
      <c r="C77" s="13">
        <v>117</v>
      </c>
      <c r="D77" s="13">
        <v>187</v>
      </c>
      <c r="E77" s="13">
        <v>9</v>
      </c>
      <c r="F77" s="13" t="s">
        <v>389</v>
      </c>
      <c r="G77" s="14" t="s">
        <v>216</v>
      </c>
      <c r="H77" s="13" t="s">
        <v>203</v>
      </c>
      <c r="I77" s="13" t="s">
        <v>386</v>
      </c>
    </row>
    <row r="78" spans="1:9" ht="21.95" customHeight="1">
      <c r="A78" s="12" t="s">
        <v>395</v>
      </c>
      <c r="B78" s="13" t="s">
        <v>394</v>
      </c>
      <c r="C78" s="13">
        <v>117</v>
      </c>
      <c r="D78" s="13">
        <v>187</v>
      </c>
      <c r="E78" s="13">
        <v>10</v>
      </c>
      <c r="F78" s="13" t="s">
        <v>385</v>
      </c>
      <c r="G78" s="14" t="s">
        <v>45</v>
      </c>
      <c r="H78" s="13" t="s">
        <v>19</v>
      </c>
      <c r="I78" s="13" t="s">
        <v>386</v>
      </c>
    </row>
    <row r="79" spans="1:9" ht="21.95" customHeight="1">
      <c r="A79" s="12" t="s">
        <v>395</v>
      </c>
      <c r="B79" s="13" t="s">
        <v>394</v>
      </c>
      <c r="C79" s="13">
        <v>117</v>
      </c>
      <c r="D79" s="13">
        <v>187</v>
      </c>
      <c r="E79" s="13">
        <v>10</v>
      </c>
      <c r="F79" s="13" t="s">
        <v>387</v>
      </c>
      <c r="G79" s="14" t="s">
        <v>196</v>
      </c>
      <c r="H79" s="13" t="s">
        <v>106</v>
      </c>
      <c r="I79" s="13" t="s">
        <v>386</v>
      </c>
    </row>
    <row r="80" spans="1:9" ht="21.95" customHeight="1">
      <c r="A80" s="12" t="s">
        <v>395</v>
      </c>
      <c r="B80" s="13" t="s">
        <v>394</v>
      </c>
      <c r="C80" s="13">
        <v>117</v>
      </c>
      <c r="D80" s="13">
        <v>187</v>
      </c>
      <c r="E80" s="13">
        <v>10</v>
      </c>
      <c r="F80" s="13" t="s">
        <v>388</v>
      </c>
      <c r="G80" s="14" t="s">
        <v>167</v>
      </c>
      <c r="H80" s="13" t="s">
        <v>106</v>
      </c>
      <c r="I80" s="13" t="s">
        <v>390</v>
      </c>
    </row>
    <row r="81" spans="1:9" ht="21.95" customHeight="1">
      <c r="A81" s="12" t="s">
        <v>395</v>
      </c>
      <c r="B81" s="13" t="s">
        <v>394</v>
      </c>
      <c r="C81" s="13">
        <v>117</v>
      </c>
      <c r="D81" s="13">
        <v>187</v>
      </c>
      <c r="E81" s="13">
        <v>10</v>
      </c>
      <c r="F81" s="13" t="s">
        <v>389</v>
      </c>
      <c r="G81" s="14" t="s">
        <v>301</v>
      </c>
      <c r="H81" s="13" t="s">
        <v>265</v>
      </c>
      <c r="I81" s="13" t="s">
        <v>386</v>
      </c>
    </row>
    <row r="82" spans="1:9" ht="21.95" customHeight="1">
      <c r="A82" s="12" t="s">
        <v>396</v>
      </c>
      <c r="B82" s="13" t="s">
        <v>384</v>
      </c>
      <c r="C82" s="13">
        <v>22</v>
      </c>
      <c r="D82" s="13">
        <v>49</v>
      </c>
      <c r="E82" s="13">
        <v>9</v>
      </c>
      <c r="F82" s="13" t="s">
        <v>385</v>
      </c>
      <c r="G82" s="14" t="s">
        <v>136</v>
      </c>
      <c r="H82" s="13" t="s">
        <v>106</v>
      </c>
      <c r="I82" s="13" t="s">
        <v>386</v>
      </c>
    </row>
    <row r="83" spans="1:9" ht="21.95" customHeight="1">
      <c r="A83" s="12" t="s">
        <v>396</v>
      </c>
      <c r="B83" s="13" t="s">
        <v>384</v>
      </c>
      <c r="C83" s="13">
        <v>22</v>
      </c>
      <c r="D83" s="13">
        <v>49</v>
      </c>
      <c r="E83" s="13">
        <v>9</v>
      </c>
      <c r="F83" s="13" t="s">
        <v>387</v>
      </c>
      <c r="G83" s="14" t="s">
        <v>233</v>
      </c>
      <c r="H83" s="13" t="s">
        <v>203</v>
      </c>
      <c r="I83" s="13" t="s">
        <v>390</v>
      </c>
    </row>
    <row r="84" spans="1:9" ht="21.95" customHeight="1">
      <c r="A84" s="12" t="s">
        <v>396</v>
      </c>
      <c r="B84" s="13" t="s">
        <v>384</v>
      </c>
      <c r="C84" s="13">
        <v>22</v>
      </c>
      <c r="D84" s="13">
        <v>49</v>
      </c>
      <c r="E84" s="13">
        <v>9</v>
      </c>
      <c r="F84" s="13" t="s">
        <v>388</v>
      </c>
      <c r="G84" s="14" t="s">
        <v>190</v>
      </c>
      <c r="H84" s="13" t="s">
        <v>106</v>
      </c>
      <c r="I84" s="13" t="s">
        <v>386</v>
      </c>
    </row>
    <row r="85" spans="1:9" ht="21.95" customHeight="1">
      <c r="A85" s="12" t="s">
        <v>396</v>
      </c>
      <c r="B85" s="13" t="s">
        <v>384</v>
      </c>
      <c r="C85" s="13">
        <v>22</v>
      </c>
      <c r="D85" s="13">
        <v>49</v>
      </c>
      <c r="E85" s="13">
        <v>9</v>
      </c>
      <c r="F85" s="13" t="s">
        <v>389</v>
      </c>
      <c r="G85" s="14" t="s">
        <v>352</v>
      </c>
      <c r="H85" s="13" t="s">
        <v>345</v>
      </c>
      <c r="I85" s="13" t="s">
        <v>386</v>
      </c>
    </row>
    <row r="86" spans="1:9" ht="21.95" customHeight="1">
      <c r="A86" s="12" t="s">
        <v>396</v>
      </c>
      <c r="B86" s="13" t="s">
        <v>384</v>
      </c>
      <c r="C86" s="13">
        <v>22</v>
      </c>
      <c r="D86" s="13">
        <v>49</v>
      </c>
      <c r="E86" s="13">
        <v>10</v>
      </c>
      <c r="F86" s="13" t="s">
        <v>385</v>
      </c>
      <c r="G86" s="14" t="s">
        <v>130</v>
      </c>
      <c r="H86" s="13" t="s">
        <v>106</v>
      </c>
      <c r="I86" s="13" t="s">
        <v>390</v>
      </c>
    </row>
    <row r="87" spans="1:9" ht="21.95" customHeight="1">
      <c r="A87" s="12" t="s">
        <v>396</v>
      </c>
      <c r="B87" s="13" t="s">
        <v>384</v>
      </c>
      <c r="C87" s="13">
        <v>22</v>
      </c>
      <c r="D87" s="13">
        <v>49</v>
      </c>
      <c r="E87" s="13">
        <v>10</v>
      </c>
      <c r="F87" s="13" t="s">
        <v>387</v>
      </c>
      <c r="G87" s="14" t="s">
        <v>93</v>
      </c>
      <c r="H87" s="13" t="s">
        <v>57</v>
      </c>
      <c r="I87" s="13" t="s">
        <v>386</v>
      </c>
    </row>
    <row r="88" spans="1:9" ht="21.95" customHeight="1">
      <c r="A88" s="12" t="s">
        <v>396</v>
      </c>
      <c r="B88" s="13" t="s">
        <v>384</v>
      </c>
      <c r="C88" s="13">
        <v>22</v>
      </c>
      <c r="D88" s="13">
        <v>49</v>
      </c>
      <c r="E88" s="13">
        <v>10</v>
      </c>
      <c r="F88" s="13" t="s">
        <v>388</v>
      </c>
      <c r="G88" s="14" t="s">
        <v>172</v>
      </c>
      <c r="H88" s="13" t="s">
        <v>106</v>
      </c>
      <c r="I88" s="13" t="s">
        <v>386</v>
      </c>
    </row>
    <row r="89" spans="1:9" ht="21.95" customHeight="1">
      <c r="A89" s="12" t="s">
        <v>396</v>
      </c>
      <c r="B89" s="13" t="s">
        <v>384</v>
      </c>
      <c r="C89" s="13">
        <v>22</v>
      </c>
      <c r="D89" s="13">
        <v>49</v>
      </c>
      <c r="E89" s="13">
        <v>10</v>
      </c>
      <c r="F89" s="13" t="s">
        <v>389</v>
      </c>
      <c r="G89" s="14" t="s">
        <v>283</v>
      </c>
      <c r="H89" s="13" t="s">
        <v>265</v>
      </c>
      <c r="I89" s="13" t="s">
        <v>386</v>
      </c>
    </row>
    <row r="90" spans="1:9" ht="21.95" customHeight="1">
      <c r="A90" s="12" t="s">
        <v>396</v>
      </c>
      <c r="B90" s="13" t="s">
        <v>391</v>
      </c>
      <c r="C90" s="13">
        <v>58</v>
      </c>
      <c r="D90" s="13">
        <v>85</v>
      </c>
      <c r="E90" s="13">
        <v>9</v>
      </c>
      <c r="F90" s="13" t="s">
        <v>385</v>
      </c>
      <c r="G90" s="14" t="s">
        <v>87</v>
      </c>
      <c r="H90" s="13" t="s">
        <v>57</v>
      </c>
      <c r="I90" s="13" t="s">
        <v>390</v>
      </c>
    </row>
    <row r="91" spans="1:9" ht="21.95" customHeight="1">
      <c r="A91" s="12" t="s">
        <v>396</v>
      </c>
      <c r="B91" s="13" t="s">
        <v>391</v>
      </c>
      <c r="C91" s="13">
        <v>58</v>
      </c>
      <c r="D91" s="13">
        <v>85</v>
      </c>
      <c r="E91" s="13">
        <v>9</v>
      </c>
      <c r="F91" s="13" t="s">
        <v>387</v>
      </c>
      <c r="G91" s="14" t="s">
        <v>118</v>
      </c>
      <c r="H91" s="13" t="s">
        <v>106</v>
      </c>
      <c r="I91" s="13" t="s">
        <v>386</v>
      </c>
    </row>
    <row r="92" spans="1:9" ht="21.95" customHeight="1">
      <c r="A92" s="12" t="s">
        <v>396</v>
      </c>
      <c r="B92" s="13" t="s">
        <v>391</v>
      </c>
      <c r="C92" s="13">
        <v>58</v>
      </c>
      <c r="D92" s="13">
        <v>85</v>
      </c>
      <c r="E92" s="13">
        <v>9</v>
      </c>
      <c r="F92" s="13" t="s">
        <v>388</v>
      </c>
      <c r="G92" s="14" t="s">
        <v>149</v>
      </c>
      <c r="H92" s="13" t="s">
        <v>106</v>
      </c>
      <c r="I92" s="13" t="s">
        <v>386</v>
      </c>
    </row>
    <row r="93" spans="1:9" ht="21.95" customHeight="1">
      <c r="A93" s="12" t="s">
        <v>396</v>
      </c>
      <c r="B93" s="13" t="s">
        <v>391</v>
      </c>
      <c r="C93" s="13">
        <v>58</v>
      </c>
      <c r="D93" s="13">
        <v>85</v>
      </c>
      <c r="E93" s="13">
        <v>9</v>
      </c>
      <c r="F93" s="13" t="s">
        <v>389</v>
      </c>
      <c r="G93" s="14" t="s">
        <v>45</v>
      </c>
      <c r="H93" s="13" t="s">
        <v>19</v>
      </c>
      <c r="I93" s="13" t="s">
        <v>386</v>
      </c>
    </row>
    <row r="94" spans="1:9" ht="21.95" customHeight="1">
      <c r="A94" s="12" t="s">
        <v>396</v>
      </c>
      <c r="B94" s="13" t="s">
        <v>391</v>
      </c>
      <c r="C94" s="13">
        <v>58</v>
      </c>
      <c r="D94" s="13">
        <v>85</v>
      </c>
      <c r="E94" s="13">
        <v>10</v>
      </c>
      <c r="F94" s="13" t="s">
        <v>385</v>
      </c>
      <c r="G94" s="14" t="s">
        <v>178</v>
      </c>
      <c r="H94" s="13" t="s">
        <v>106</v>
      </c>
      <c r="I94" s="13" t="s">
        <v>386</v>
      </c>
    </row>
    <row r="95" spans="1:9" ht="21.95" customHeight="1">
      <c r="A95" s="12" t="s">
        <v>396</v>
      </c>
      <c r="B95" s="13" t="s">
        <v>391</v>
      </c>
      <c r="C95" s="13">
        <v>58</v>
      </c>
      <c r="D95" s="13">
        <v>85</v>
      </c>
      <c r="E95" s="13">
        <v>10</v>
      </c>
      <c r="F95" s="13" t="s">
        <v>387</v>
      </c>
      <c r="G95" s="14" t="s">
        <v>301</v>
      </c>
      <c r="H95" s="13" t="s">
        <v>265</v>
      </c>
      <c r="I95" s="13" t="s">
        <v>386</v>
      </c>
    </row>
    <row r="96" spans="1:9" ht="21.95" customHeight="1">
      <c r="A96" s="12" t="s">
        <v>396</v>
      </c>
      <c r="B96" s="13" t="s">
        <v>391</v>
      </c>
      <c r="C96" s="13">
        <v>58</v>
      </c>
      <c r="D96" s="13">
        <v>85</v>
      </c>
      <c r="E96" s="13">
        <v>10</v>
      </c>
      <c r="F96" s="13" t="s">
        <v>388</v>
      </c>
      <c r="G96" s="14" t="s">
        <v>105</v>
      </c>
      <c r="H96" s="13" t="s">
        <v>106</v>
      </c>
      <c r="I96" s="13" t="s">
        <v>386</v>
      </c>
    </row>
    <row r="97" spans="1:9" ht="21.95" customHeight="1">
      <c r="A97" s="12" t="s">
        <v>396</v>
      </c>
      <c r="B97" s="13" t="s">
        <v>391</v>
      </c>
      <c r="C97" s="13">
        <v>58</v>
      </c>
      <c r="D97" s="13">
        <v>85</v>
      </c>
      <c r="E97" s="13">
        <v>10</v>
      </c>
      <c r="F97" s="13" t="s">
        <v>389</v>
      </c>
      <c r="G97" s="14" t="s">
        <v>56</v>
      </c>
      <c r="H97" s="13" t="s">
        <v>57</v>
      </c>
      <c r="I97" s="13" t="s">
        <v>390</v>
      </c>
    </row>
    <row r="98" spans="1:9" ht="21.95" customHeight="1">
      <c r="A98" s="12" t="s">
        <v>396</v>
      </c>
      <c r="B98" s="13" t="s">
        <v>392</v>
      </c>
      <c r="C98" s="13">
        <v>94</v>
      </c>
      <c r="D98" s="13">
        <v>121</v>
      </c>
      <c r="E98" s="13">
        <v>9</v>
      </c>
      <c r="F98" s="13" t="s">
        <v>385</v>
      </c>
      <c r="G98" s="14" t="s">
        <v>320</v>
      </c>
      <c r="H98" s="13" t="s">
        <v>314</v>
      </c>
      <c r="I98" s="13" t="s">
        <v>386</v>
      </c>
    </row>
    <row r="99" spans="1:9" ht="21.95" customHeight="1">
      <c r="A99" s="12" t="s">
        <v>396</v>
      </c>
      <c r="B99" s="13" t="s">
        <v>392</v>
      </c>
      <c r="C99" s="13">
        <v>94</v>
      </c>
      <c r="D99" s="13">
        <v>121</v>
      </c>
      <c r="E99" s="13">
        <v>9</v>
      </c>
      <c r="F99" s="13" t="s">
        <v>387</v>
      </c>
      <c r="G99" s="14" t="s">
        <v>202</v>
      </c>
      <c r="H99" s="13" t="s">
        <v>203</v>
      </c>
      <c r="I99" s="13" t="s">
        <v>386</v>
      </c>
    </row>
    <row r="100" spans="1:9" ht="21.95" customHeight="1">
      <c r="A100" s="12" t="s">
        <v>396</v>
      </c>
      <c r="B100" s="13" t="s">
        <v>392</v>
      </c>
      <c r="C100" s="13">
        <v>94</v>
      </c>
      <c r="D100" s="13">
        <v>121</v>
      </c>
      <c r="E100" s="13">
        <v>9</v>
      </c>
      <c r="F100" s="13" t="s">
        <v>388</v>
      </c>
      <c r="G100" s="14" t="s">
        <v>271</v>
      </c>
      <c r="H100" s="13" t="s">
        <v>265</v>
      </c>
      <c r="I100" s="13" t="s">
        <v>386</v>
      </c>
    </row>
    <row r="101" spans="1:9" ht="21.95" customHeight="1">
      <c r="A101" s="12" t="s">
        <v>396</v>
      </c>
      <c r="B101" s="13" t="s">
        <v>392</v>
      </c>
      <c r="C101" s="13">
        <v>94</v>
      </c>
      <c r="D101" s="13">
        <v>121</v>
      </c>
      <c r="E101" s="13">
        <v>9</v>
      </c>
      <c r="F101" s="13" t="s">
        <v>389</v>
      </c>
      <c r="G101" s="14" t="s">
        <v>210</v>
      </c>
      <c r="H101" s="13" t="s">
        <v>203</v>
      </c>
      <c r="I101" s="13" t="s">
        <v>390</v>
      </c>
    </row>
    <row r="102" spans="1:9" ht="21.95" customHeight="1">
      <c r="A102" s="12" t="s">
        <v>396</v>
      </c>
      <c r="B102" s="13" t="s">
        <v>392</v>
      </c>
      <c r="C102" s="13">
        <v>94</v>
      </c>
      <c r="D102" s="13">
        <v>121</v>
      </c>
      <c r="E102" s="13">
        <v>10</v>
      </c>
      <c r="F102" s="13" t="s">
        <v>385</v>
      </c>
      <c r="G102" s="14" t="s">
        <v>38</v>
      </c>
      <c r="H102" s="13" t="s">
        <v>19</v>
      </c>
      <c r="I102" s="13" t="s">
        <v>386</v>
      </c>
    </row>
    <row r="103" spans="1:9" ht="21.95" customHeight="1">
      <c r="A103" s="12" t="s">
        <v>396</v>
      </c>
      <c r="B103" s="13" t="s">
        <v>392</v>
      </c>
      <c r="C103" s="13">
        <v>94</v>
      </c>
      <c r="D103" s="13">
        <v>121</v>
      </c>
      <c r="E103" s="13">
        <v>10</v>
      </c>
      <c r="F103" s="13" t="s">
        <v>387</v>
      </c>
      <c r="G103" s="14" t="s">
        <v>352</v>
      </c>
      <c r="H103" s="13" t="s">
        <v>345</v>
      </c>
      <c r="I103" s="13" t="s">
        <v>386</v>
      </c>
    </row>
    <row r="104" spans="1:9" ht="21.95" customHeight="1">
      <c r="A104" s="12" t="s">
        <v>396</v>
      </c>
      <c r="B104" s="13" t="s">
        <v>392</v>
      </c>
      <c r="C104" s="13">
        <v>94</v>
      </c>
      <c r="D104" s="13">
        <v>121</v>
      </c>
      <c r="E104" s="13">
        <v>10</v>
      </c>
      <c r="F104" s="13" t="s">
        <v>388</v>
      </c>
      <c r="G104" s="14" t="s">
        <v>357</v>
      </c>
      <c r="H104" s="13" t="s">
        <v>345</v>
      </c>
      <c r="I104" s="13" t="s">
        <v>386</v>
      </c>
    </row>
    <row r="105" spans="1:9" ht="21.95" customHeight="1">
      <c r="A105" s="12" t="s">
        <v>396</v>
      </c>
      <c r="B105" s="13" t="s">
        <v>392</v>
      </c>
      <c r="C105" s="13">
        <v>94</v>
      </c>
      <c r="D105" s="13">
        <v>121</v>
      </c>
      <c r="E105" s="13">
        <v>10</v>
      </c>
      <c r="F105" s="13" t="s">
        <v>389</v>
      </c>
      <c r="G105" s="14" t="s">
        <v>93</v>
      </c>
      <c r="H105" s="13" t="s">
        <v>57</v>
      </c>
      <c r="I105" s="13" t="s">
        <v>390</v>
      </c>
    </row>
    <row r="106" spans="1:9" ht="21.95" customHeight="1">
      <c r="A106" s="12" t="s">
        <v>396</v>
      </c>
      <c r="B106" s="13" t="s">
        <v>393</v>
      </c>
      <c r="C106" s="13">
        <v>130</v>
      </c>
      <c r="D106" s="13">
        <v>157</v>
      </c>
      <c r="E106" s="13">
        <v>9</v>
      </c>
      <c r="F106" s="13" t="s">
        <v>385</v>
      </c>
      <c r="G106" s="14" t="s">
        <v>149</v>
      </c>
      <c r="H106" s="13" t="s">
        <v>106</v>
      </c>
      <c r="I106" s="13" t="s">
        <v>386</v>
      </c>
    </row>
    <row r="107" spans="1:9" ht="21.95" customHeight="1">
      <c r="A107" s="12" t="s">
        <v>396</v>
      </c>
      <c r="B107" s="13" t="s">
        <v>393</v>
      </c>
      <c r="C107" s="13">
        <v>130</v>
      </c>
      <c r="D107" s="13">
        <v>157</v>
      </c>
      <c r="E107" s="13">
        <v>9</v>
      </c>
      <c r="F107" s="13" t="s">
        <v>387</v>
      </c>
      <c r="G107" s="14" t="s">
        <v>69</v>
      </c>
      <c r="H107" s="13" t="s">
        <v>57</v>
      </c>
      <c r="I107" s="13" t="s">
        <v>386</v>
      </c>
    </row>
    <row r="108" spans="1:9" ht="21.95" customHeight="1">
      <c r="A108" s="12" t="s">
        <v>396</v>
      </c>
      <c r="B108" s="13" t="s">
        <v>393</v>
      </c>
      <c r="C108" s="13">
        <v>130</v>
      </c>
      <c r="D108" s="13">
        <v>157</v>
      </c>
      <c r="E108" s="13">
        <v>9</v>
      </c>
      <c r="F108" s="13" t="s">
        <v>388</v>
      </c>
      <c r="G108" s="14" t="s">
        <v>167</v>
      </c>
      <c r="H108" s="13" t="s">
        <v>106</v>
      </c>
      <c r="I108" s="13" t="s">
        <v>386</v>
      </c>
    </row>
    <row r="109" spans="1:9" ht="21.95" customHeight="1">
      <c r="A109" s="12" t="s">
        <v>396</v>
      </c>
      <c r="B109" s="13" t="s">
        <v>393</v>
      </c>
      <c r="C109" s="13">
        <v>130</v>
      </c>
      <c r="D109" s="13">
        <v>157</v>
      </c>
      <c r="E109" s="13">
        <v>9</v>
      </c>
      <c r="F109" s="13" t="s">
        <v>389</v>
      </c>
      <c r="G109" s="14" t="s">
        <v>32</v>
      </c>
      <c r="H109" s="13" t="s">
        <v>19</v>
      </c>
      <c r="I109" s="13" t="s">
        <v>390</v>
      </c>
    </row>
    <row r="110" spans="1:9" ht="21.95" customHeight="1">
      <c r="A110" s="12" t="s">
        <v>396</v>
      </c>
      <c r="B110" s="13" t="s">
        <v>393</v>
      </c>
      <c r="C110" s="13">
        <v>130</v>
      </c>
      <c r="D110" s="13">
        <v>157</v>
      </c>
      <c r="E110" s="13">
        <v>10</v>
      </c>
      <c r="F110" s="13" t="s">
        <v>385</v>
      </c>
      <c r="G110" s="14" t="s">
        <v>56</v>
      </c>
      <c r="H110" s="13" t="s">
        <v>57</v>
      </c>
      <c r="I110" s="13" t="s">
        <v>390</v>
      </c>
    </row>
    <row r="111" spans="1:9" ht="21.95" customHeight="1">
      <c r="A111" s="12" t="s">
        <v>396</v>
      </c>
      <c r="B111" s="13" t="s">
        <v>393</v>
      </c>
      <c r="C111" s="13">
        <v>130</v>
      </c>
      <c r="D111" s="13">
        <v>157</v>
      </c>
      <c r="E111" s="13">
        <v>10</v>
      </c>
      <c r="F111" s="13" t="s">
        <v>387</v>
      </c>
      <c r="G111" s="14" t="s">
        <v>216</v>
      </c>
      <c r="H111" s="13" t="s">
        <v>203</v>
      </c>
      <c r="I111" s="13" t="s">
        <v>386</v>
      </c>
    </row>
    <row r="112" spans="1:9" ht="21.95" customHeight="1">
      <c r="A112" s="12" t="s">
        <v>396</v>
      </c>
      <c r="B112" s="13" t="s">
        <v>393</v>
      </c>
      <c r="C112" s="13">
        <v>130</v>
      </c>
      <c r="D112" s="13">
        <v>157</v>
      </c>
      <c r="E112" s="13">
        <v>10</v>
      </c>
      <c r="F112" s="13" t="s">
        <v>388</v>
      </c>
      <c r="G112" s="14" t="s">
        <v>172</v>
      </c>
      <c r="H112" s="13" t="s">
        <v>106</v>
      </c>
      <c r="I112" s="13" t="s">
        <v>386</v>
      </c>
    </row>
    <row r="113" spans="1:9" ht="21.95" customHeight="1">
      <c r="A113" s="12" t="s">
        <v>396</v>
      </c>
      <c r="B113" s="13" t="s">
        <v>393</v>
      </c>
      <c r="C113" s="13">
        <v>130</v>
      </c>
      <c r="D113" s="13">
        <v>157</v>
      </c>
      <c r="E113" s="13">
        <v>10</v>
      </c>
      <c r="F113" s="13" t="s">
        <v>389</v>
      </c>
      <c r="G113" s="14" t="s">
        <v>352</v>
      </c>
      <c r="H113" s="13" t="s">
        <v>345</v>
      </c>
      <c r="I113" s="13" t="s">
        <v>386</v>
      </c>
    </row>
    <row r="114" spans="1:9" ht="21.95" customHeight="1">
      <c r="A114" s="12" t="s">
        <v>396</v>
      </c>
      <c r="B114" s="13" t="s">
        <v>394</v>
      </c>
      <c r="C114" s="13">
        <v>166</v>
      </c>
      <c r="D114" s="13">
        <v>193</v>
      </c>
      <c r="E114" s="13">
        <v>9</v>
      </c>
      <c r="F114" s="13" t="s">
        <v>385</v>
      </c>
      <c r="G114" s="14" t="s">
        <v>283</v>
      </c>
      <c r="H114" s="13" t="s">
        <v>265</v>
      </c>
      <c r="I114" s="13" t="s">
        <v>386</v>
      </c>
    </row>
    <row r="115" spans="1:9" ht="21.95" customHeight="1">
      <c r="A115" s="12" t="s">
        <v>396</v>
      </c>
      <c r="B115" s="13" t="s">
        <v>394</v>
      </c>
      <c r="C115" s="13">
        <v>166</v>
      </c>
      <c r="D115" s="13">
        <v>193</v>
      </c>
      <c r="E115" s="13">
        <v>9</v>
      </c>
      <c r="F115" s="13" t="s">
        <v>387</v>
      </c>
      <c r="G115" s="14" t="s">
        <v>363</v>
      </c>
      <c r="H115" s="13" t="s">
        <v>364</v>
      </c>
      <c r="I115" s="13" t="s">
        <v>386</v>
      </c>
    </row>
    <row r="116" spans="1:9" ht="21.95" customHeight="1">
      <c r="A116" s="12" t="s">
        <v>396</v>
      </c>
      <c r="B116" s="13" t="s">
        <v>394</v>
      </c>
      <c r="C116" s="13">
        <v>166</v>
      </c>
      <c r="D116" s="13">
        <v>193</v>
      </c>
      <c r="E116" s="13">
        <v>9</v>
      </c>
      <c r="F116" s="13" t="s">
        <v>388</v>
      </c>
      <c r="G116" s="14" t="s">
        <v>69</v>
      </c>
      <c r="H116" s="13" t="s">
        <v>57</v>
      </c>
      <c r="I116" s="13" t="s">
        <v>386</v>
      </c>
    </row>
    <row r="117" spans="1:9" ht="21.95" customHeight="1">
      <c r="A117" s="12" t="s">
        <v>396</v>
      </c>
      <c r="B117" s="13" t="s">
        <v>394</v>
      </c>
      <c r="C117" s="13">
        <v>166</v>
      </c>
      <c r="D117" s="13">
        <v>193</v>
      </c>
      <c r="E117" s="13">
        <v>9</v>
      </c>
      <c r="F117" s="13" t="s">
        <v>389</v>
      </c>
      <c r="G117" s="14" t="s">
        <v>162</v>
      </c>
      <c r="H117" s="13" t="s">
        <v>106</v>
      </c>
      <c r="I117" s="13" t="s">
        <v>390</v>
      </c>
    </row>
    <row r="118" spans="1:9" ht="21.95" customHeight="1">
      <c r="A118" s="12" t="s">
        <v>396</v>
      </c>
      <c r="B118" s="13" t="s">
        <v>394</v>
      </c>
      <c r="C118" s="13">
        <v>166</v>
      </c>
      <c r="D118" s="13">
        <v>193</v>
      </c>
      <c r="E118" s="13">
        <v>10</v>
      </c>
      <c r="F118" s="13" t="s">
        <v>385</v>
      </c>
      <c r="G118" s="14" t="s">
        <v>143</v>
      </c>
      <c r="H118" s="13" t="s">
        <v>106</v>
      </c>
      <c r="I118" s="13" t="s">
        <v>390</v>
      </c>
    </row>
    <row r="119" spans="1:9" ht="21.95" customHeight="1">
      <c r="A119" s="12" t="s">
        <v>396</v>
      </c>
      <c r="B119" s="13" t="s">
        <v>394</v>
      </c>
      <c r="C119" s="13">
        <v>166</v>
      </c>
      <c r="D119" s="13">
        <v>193</v>
      </c>
      <c r="E119" s="13">
        <v>10</v>
      </c>
      <c r="F119" s="13" t="s">
        <v>387</v>
      </c>
      <c r="G119" s="14" t="s">
        <v>271</v>
      </c>
      <c r="H119" s="13" t="s">
        <v>265</v>
      </c>
      <c r="I119" s="13" t="s">
        <v>386</v>
      </c>
    </row>
    <row r="120" spans="1:9" ht="21.95" customHeight="1">
      <c r="A120" s="12" t="s">
        <v>396</v>
      </c>
      <c r="B120" s="13" t="s">
        <v>394</v>
      </c>
      <c r="C120" s="13">
        <v>166</v>
      </c>
      <c r="D120" s="13">
        <v>193</v>
      </c>
      <c r="E120" s="13">
        <v>10</v>
      </c>
      <c r="F120" s="13" t="s">
        <v>388</v>
      </c>
      <c r="G120" s="14" t="s">
        <v>38</v>
      </c>
      <c r="H120" s="13" t="s">
        <v>19</v>
      </c>
      <c r="I120" s="13" t="s">
        <v>386</v>
      </c>
    </row>
    <row r="121" spans="1:9" ht="21.95" customHeight="1">
      <c r="A121" s="12" t="s">
        <v>396</v>
      </c>
      <c r="B121" s="13" t="s">
        <v>394</v>
      </c>
      <c r="C121" s="13">
        <v>166</v>
      </c>
      <c r="D121" s="13">
        <v>193</v>
      </c>
      <c r="E121" s="13">
        <v>10</v>
      </c>
      <c r="F121" s="13" t="s">
        <v>389</v>
      </c>
      <c r="G121" s="14" t="s">
        <v>81</v>
      </c>
      <c r="H121" s="13" t="s">
        <v>57</v>
      </c>
      <c r="I121" s="13" t="s">
        <v>386</v>
      </c>
    </row>
    <row r="122" spans="1:9" ht="21.95" customHeight="1">
      <c r="A122" s="12" t="s">
        <v>396</v>
      </c>
      <c r="B122" s="13" t="s">
        <v>397</v>
      </c>
      <c r="C122" s="13">
        <v>202</v>
      </c>
      <c r="D122" s="13">
        <v>229</v>
      </c>
      <c r="E122" s="13">
        <v>9</v>
      </c>
      <c r="F122" s="13" t="s">
        <v>385</v>
      </c>
      <c r="G122" s="14" t="s">
        <v>167</v>
      </c>
      <c r="H122" s="13" t="s">
        <v>106</v>
      </c>
      <c r="I122" s="13" t="s">
        <v>386</v>
      </c>
    </row>
    <row r="123" spans="1:9" ht="21.95" customHeight="1">
      <c r="A123" s="12" t="s">
        <v>396</v>
      </c>
      <c r="B123" s="13" t="s">
        <v>397</v>
      </c>
      <c r="C123" s="13">
        <v>202</v>
      </c>
      <c r="D123" s="13">
        <v>229</v>
      </c>
      <c r="E123" s="13">
        <v>9</v>
      </c>
      <c r="F123" s="13" t="s">
        <v>387</v>
      </c>
      <c r="G123" s="14" t="s">
        <v>252</v>
      </c>
      <c r="H123" s="13" t="s">
        <v>246</v>
      </c>
      <c r="I123" s="13" t="s">
        <v>386</v>
      </c>
    </row>
    <row r="124" spans="1:9" ht="21.95" customHeight="1">
      <c r="A124" s="12" t="s">
        <v>396</v>
      </c>
      <c r="B124" s="13" t="s">
        <v>397</v>
      </c>
      <c r="C124" s="13">
        <v>202</v>
      </c>
      <c r="D124" s="13">
        <v>229</v>
      </c>
      <c r="E124" s="13">
        <v>9</v>
      </c>
      <c r="F124" s="13" t="s">
        <v>388</v>
      </c>
      <c r="G124" s="14" t="s">
        <v>326</v>
      </c>
      <c r="H124" s="13" t="s">
        <v>314</v>
      </c>
      <c r="I124" s="13" t="s">
        <v>390</v>
      </c>
    </row>
    <row r="125" spans="1:9" ht="21.95" customHeight="1">
      <c r="A125" s="12" t="s">
        <v>396</v>
      </c>
      <c r="B125" s="13" t="s">
        <v>397</v>
      </c>
      <c r="C125" s="13">
        <v>202</v>
      </c>
      <c r="D125" s="13">
        <v>229</v>
      </c>
      <c r="E125" s="13">
        <v>9</v>
      </c>
      <c r="F125" s="13" t="s">
        <v>389</v>
      </c>
      <c r="G125" s="14" t="s">
        <v>124</v>
      </c>
      <c r="H125" s="13" t="s">
        <v>106</v>
      </c>
      <c r="I125" s="13" t="s">
        <v>386</v>
      </c>
    </row>
    <row r="126" spans="1:9" ht="21.95" customHeight="1">
      <c r="A126" s="12" t="s">
        <v>396</v>
      </c>
      <c r="B126" s="13" t="s">
        <v>397</v>
      </c>
      <c r="C126" s="13">
        <v>202</v>
      </c>
      <c r="D126" s="13">
        <v>229</v>
      </c>
      <c r="E126" s="13">
        <v>10</v>
      </c>
      <c r="F126" s="13" t="s">
        <v>385</v>
      </c>
      <c r="G126" s="14" t="s">
        <v>50</v>
      </c>
      <c r="H126" s="13" t="s">
        <v>19</v>
      </c>
      <c r="I126" s="13" t="s">
        <v>386</v>
      </c>
    </row>
    <row r="127" spans="1:9" ht="21.95" customHeight="1">
      <c r="A127" s="12" t="s">
        <v>396</v>
      </c>
      <c r="B127" s="13" t="s">
        <v>397</v>
      </c>
      <c r="C127" s="13">
        <v>202</v>
      </c>
      <c r="D127" s="13">
        <v>229</v>
      </c>
      <c r="E127" s="13">
        <v>10</v>
      </c>
      <c r="F127" s="13" t="s">
        <v>387</v>
      </c>
      <c r="G127" s="14" t="s">
        <v>190</v>
      </c>
      <c r="H127" s="13" t="s">
        <v>106</v>
      </c>
      <c r="I127" s="13" t="s">
        <v>386</v>
      </c>
    </row>
    <row r="128" spans="1:9" ht="21.95" customHeight="1">
      <c r="A128" s="12" t="s">
        <v>396</v>
      </c>
      <c r="B128" s="13" t="s">
        <v>397</v>
      </c>
      <c r="C128" s="13">
        <v>202</v>
      </c>
      <c r="D128" s="13">
        <v>229</v>
      </c>
      <c r="E128" s="13">
        <v>10</v>
      </c>
      <c r="F128" s="13" t="s">
        <v>388</v>
      </c>
      <c r="G128" s="14" t="s">
        <v>172</v>
      </c>
      <c r="H128" s="13" t="s">
        <v>106</v>
      </c>
      <c r="I128" s="13" t="s">
        <v>386</v>
      </c>
    </row>
    <row r="129" spans="1:9" ht="21.95" customHeight="1">
      <c r="A129" s="15" t="s">
        <v>396</v>
      </c>
      <c r="B129" s="16" t="s">
        <v>397</v>
      </c>
      <c r="C129" s="16">
        <v>202</v>
      </c>
      <c r="D129" s="16">
        <v>229</v>
      </c>
      <c r="E129" s="16">
        <v>10</v>
      </c>
      <c r="F129" s="16" t="s">
        <v>389</v>
      </c>
      <c r="G129" s="17" t="s">
        <v>289</v>
      </c>
      <c r="H129" s="16" t="s">
        <v>265</v>
      </c>
      <c r="I129" s="16" t="s">
        <v>390</v>
      </c>
    </row>
  </sheetData>
  <phoneticPr fontId="10" type="noConversion"/>
  <conditionalFormatting sqref="A2:I129">
    <cfRule type="expression" dxfId="12" priority="1">
      <formula>$I2="정답"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workbookViewId="0"/>
  </sheetViews>
  <sheetFormatPr defaultRowHeight="14.25"/>
  <cols>
    <col min="1" max="1" width="22" customWidth="1"/>
    <col min="2" max="2" width="34" customWidth="1"/>
    <col min="3" max="3" width="42" customWidth="1"/>
    <col min="4" max="5" width="14" customWidth="1"/>
    <col min="6" max="6" width="45" customWidth="1"/>
  </cols>
  <sheetData>
    <row r="1" spans="1:6" ht="33.950000000000003" customHeight="1">
      <c r="A1" s="25" t="s">
        <v>398</v>
      </c>
      <c r="B1" s="25"/>
      <c r="C1" s="25"/>
      <c r="D1" s="25"/>
      <c r="E1" s="25"/>
      <c r="F1" s="25"/>
    </row>
    <row r="2" spans="1:6" ht="27.95" customHeight="1">
      <c r="A2" s="26" t="s">
        <v>399</v>
      </c>
      <c r="B2" s="26"/>
      <c r="C2" s="26"/>
      <c r="D2" s="26"/>
      <c r="E2" s="26"/>
      <c r="F2" s="26"/>
    </row>
    <row r="3" spans="1:6" ht="18">
      <c r="A3" s="1"/>
      <c r="B3" s="1"/>
      <c r="C3" s="1"/>
      <c r="D3" s="1"/>
      <c r="E3" s="1"/>
      <c r="F3" s="1"/>
    </row>
    <row r="4" spans="1:6" ht="18">
      <c r="A4" s="1"/>
      <c r="B4" s="1"/>
      <c r="C4" s="1"/>
      <c r="D4" s="1"/>
      <c r="E4" s="1"/>
      <c r="F4" s="1"/>
    </row>
    <row r="5" spans="1:6" ht="16.5">
      <c r="A5" s="18" t="s">
        <v>9</v>
      </c>
      <c r="B5" s="18" t="s">
        <v>400</v>
      </c>
      <c r="C5" s="18" t="s">
        <v>401</v>
      </c>
      <c r="D5" s="18" t="s">
        <v>402</v>
      </c>
      <c r="E5" s="18" t="s">
        <v>403</v>
      </c>
      <c r="F5" s="18" t="s">
        <v>404</v>
      </c>
    </row>
    <row r="6" spans="1:6" ht="48" customHeight="1">
      <c r="A6" s="2" t="s">
        <v>19</v>
      </c>
      <c r="B6" s="3" t="s">
        <v>405</v>
      </c>
      <c r="C6" s="3" t="s">
        <v>406</v>
      </c>
      <c r="D6" s="4">
        <f>COUNTIF('접속사 통합'!$B$6:$B$63,A6)</f>
        <v>6</v>
      </c>
      <c r="E6" s="4">
        <f>COUNTIF('문항별 보기'!$H$2:$H$129,A6)</f>
        <v>14</v>
      </c>
      <c r="F6" s="3" t="s">
        <v>407</v>
      </c>
    </row>
    <row r="7" spans="1:6" ht="48" customHeight="1">
      <c r="A7" s="5" t="s">
        <v>57</v>
      </c>
      <c r="B7" s="6" t="s">
        <v>408</v>
      </c>
      <c r="C7" s="6" t="s">
        <v>409</v>
      </c>
      <c r="D7" s="7">
        <f>COUNTIF('접속사 통합'!$B$6:$B$63,A7)</f>
        <v>8</v>
      </c>
      <c r="E7" s="7">
        <f>COUNTIF('문항별 보기'!$H$2:$H$129,A7)</f>
        <v>15</v>
      </c>
      <c r="F7" s="6" t="s">
        <v>410</v>
      </c>
    </row>
    <row r="8" spans="1:6" ht="48" customHeight="1">
      <c r="A8" s="5" t="s">
        <v>106</v>
      </c>
      <c r="B8" s="6" t="s">
        <v>411</v>
      </c>
      <c r="C8" s="6" t="s">
        <v>412</v>
      </c>
      <c r="D8" s="7">
        <f>COUNTIF('접속사 통합'!$B$6:$B$63,A8)</f>
        <v>16</v>
      </c>
      <c r="E8" s="7">
        <f>COUNTIF('문항별 보기'!$H$2:$H$129,A8)</f>
        <v>41</v>
      </c>
      <c r="F8" s="6" t="s">
        <v>413</v>
      </c>
    </row>
    <row r="9" spans="1:6" ht="48" customHeight="1">
      <c r="A9" s="5" t="s">
        <v>203</v>
      </c>
      <c r="B9" s="6" t="s">
        <v>414</v>
      </c>
      <c r="C9" s="6" t="s">
        <v>415</v>
      </c>
      <c r="D9" s="7">
        <f>COUNTIF('접속사 통합'!$B$6:$B$63,A9)</f>
        <v>7</v>
      </c>
      <c r="E9" s="7">
        <f>COUNTIF('문항별 보기'!$H$2:$H$129,A9)</f>
        <v>15</v>
      </c>
      <c r="F9" s="6" t="s">
        <v>416</v>
      </c>
    </row>
    <row r="10" spans="1:6" ht="48" customHeight="1">
      <c r="A10" s="5" t="s">
        <v>246</v>
      </c>
      <c r="B10" s="6" t="s">
        <v>417</v>
      </c>
      <c r="C10" s="6" t="s">
        <v>418</v>
      </c>
      <c r="D10" s="7">
        <f>COUNTIF('접속사 통합'!$B$6:$B$63,A10)</f>
        <v>3</v>
      </c>
      <c r="E10" s="7">
        <f>COUNTIF('문항별 보기'!$H$2:$H$129,A10)</f>
        <v>8</v>
      </c>
      <c r="F10" s="6" t="s">
        <v>419</v>
      </c>
    </row>
    <row r="11" spans="1:6" ht="48" customHeight="1">
      <c r="A11" s="5" t="s">
        <v>265</v>
      </c>
      <c r="B11" s="6" t="s">
        <v>420</v>
      </c>
      <c r="C11" s="6" t="s">
        <v>421</v>
      </c>
      <c r="D11" s="7">
        <f>COUNTIF('접속사 통합'!$B$6:$B$63,A11)</f>
        <v>8</v>
      </c>
      <c r="E11" s="7">
        <f>COUNTIF('문항별 보기'!$H$2:$H$129,A11)</f>
        <v>15</v>
      </c>
      <c r="F11" s="6" t="s">
        <v>422</v>
      </c>
    </row>
    <row r="12" spans="1:6" ht="48" customHeight="1">
      <c r="A12" s="5" t="s">
        <v>314</v>
      </c>
      <c r="B12" s="6" t="s">
        <v>423</v>
      </c>
      <c r="C12" s="6" t="s">
        <v>424</v>
      </c>
      <c r="D12" s="7">
        <f>COUNTIF('접속사 통합'!$B$6:$B$63,A12)</f>
        <v>5</v>
      </c>
      <c r="E12" s="7">
        <f>COUNTIF('문항별 보기'!$H$2:$H$129,A12)</f>
        <v>10</v>
      </c>
      <c r="F12" s="6" t="s">
        <v>425</v>
      </c>
    </row>
    <row r="13" spans="1:6" ht="48" customHeight="1">
      <c r="A13" s="5" t="s">
        <v>345</v>
      </c>
      <c r="B13" s="6" t="s">
        <v>426</v>
      </c>
      <c r="C13" s="6" t="s">
        <v>427</v>
      </c>
      <c r="D13" s="7">
        <f>COUNTIF('접속사 통합'!$B$6:$B$63,A13)</f>
        <v>3</v>
      </c>
      <c r="E13" s="7">
        <f>COUNTIF('문항별 보기'!$H$2:$H$129,A13)</f>
        <v>8</v>
      </c>
      <c r="F13" s="6" t="s">
        <v>428</v>
      </c>
    </row>
    <row r="14" spans="1:6" ht="48" customHeight="1">
      <c r="A14" s="19" t="s">
        <v>364</v>
      </c>
      <c r="B14" s="20" t="s">
        <v>429</v>
      </c>
      <c r="C14" s="20" t="s">
        <v>430</v>
      </c>
      <c r="D14" s="21">
        <f>COUNTIF('접속사 통합'!$B$6:$B$63,A14)</f>
        <v>2</v>
      </c>
      <c r="E14" s="21">
        <f>COUNTIF('문항별 보기'!$H$2:$H$129,A14)</f>
        <v>2</v>
      </c>
      <c r="F14" s="20" t="s">
        <v>431</v>
      </c>
    </row>
    <row r="15" spans="1:6" ht="18">
      <c r="A15" s="1"/>
      <c r="B15" s="1"/>
      <c r="C15" s="1"/>
      <c r="D15" s="1"/>
      <c r="E15" s="1"/>
      <c r="F15" s="1"/>
    </row>
    <row r="16" spans="1:6" ht="18">
      <c r="A16" s="1"/>
      <c r="B16" s="1"/>
      <c r="C16" s="1"/>
      <c r="D16" s="1"/>
      <c r="E16" s="1"/>
      <c r="F16" s="1"/>
    </row>
    <row r="17" spans="1:6" ht="21">
      <c r="A17" s="27" t="s">
        <v>432</v>
      </c>
      <c r="B17" s="27"/>
      <c r="C17" s="27"/>
      <c r="D17" s="27"/>
      <c r="E17" s="27"/>
      <c r="F17" s="27"/>
    </row>
    <row r="18" spans="1:6" ht="18">
      <c r="A18" s="22" t="s">
        <v>433</v>
      </c>
      <c r="B18" s="22" t="s">
        <v>434</v>
      </c>
      <c r="C18" s="22" t="s">
        <v>435</v>
      </c>
      <c r="D18" s="22" t="s">
        <v>436</v>
      </c>
      <c r="E18" s="1"/>
      <c r="F18" s="1"/>
    </row>
    <row r="19" spans="1:6" ht="42" customHeight="1">
      <c r="A19" s="23" t="s">
        <v>344</v>
      </c>
      <c r="B19" s="23" t="s">
        <v>352</v>
      </c>
      <c r="C19" s="24" t="s">
        <v>437</v>
      </c>
      <c r="D19" s="24" t="s">
        <v>438</v>
      </c>
      <c r="E19" s="1"/>
      <c r="F19" s="1"/>
    </row>
    <row r="20" spans="1:6" ht="42" customHeight="1">
      <c r="A20" s="23" t="s">
        <v>172</v>
      </c>
      <c r="B20" s="23" t="s">
        <v>178</v>
      </c>
      <c r="C20" s="24" t="s">
        <v>439</v>
      </c>
      <c r="D20" s="24" t="s">
        <v>440</v>
      </c>
      <c r="E20" s="1"/>
      <c r="F20" s="1"/>
    </row>
    <row r="21" spans="1:6" ht="42" customHeight="1">
      <c r="A21" s="23" t="s">
        <v>227</v>
      </c>
      <c r="B21" s="23" t="s">
        <v>210</v>
      </c>
      <c r="C21" s="24" t="s">
        <v>441</v>
      </c>
      <c r="D21" s="24" t="s">
        <v>442</v>
      </c>
      <c r="E21" s="1"/>
      <c r="F21" s="1"/>
    </row>
    <row r="22" spans="1:6" ht="42" customHeight="1">
      <c r="A22" s="23" t="s">
        <v>124</v>
      </c>
      <c r="B22" s="23" t="s">
        <v>136</v>
      </c>
      <c r="C22" s="24" t="s">
        <v>443</v>
      </c>
      <c r="D22" s="24" t="s">
        <v>444</v>
      </c>
      <c r="E22" s="1"/>
      <c r="F22" s="1"/>
    </row>
    <row r="23" spans="1:6" ht="42" customHeight="1">
      <c r="A23" s="23" t="s">
        <v>326</v>
      </c>
      <c r="B23" s="23" t="s">
        <v>332</v>
      </c>
      <c r="C23" s="24" t="s">
        <v>445</v>
      </c>
      <c r="D23" s="24" t="s">
        <v>446</v>
      </c>
      <c r="E23" s="1"/>
      <c r="F23" s="1"/>
    </row>
    <row r="24" spans="1:6" ht="42" customHeight="1">
      <c r="A24" s="23" t="s">
        <v>105</v>
      </c>
      <c r="B24" s="23" t="s">
        <v>149</v>
      </c>
      <c r="C24" s="24" t="s">
        <v>447</v>
      </c>
      <c r="D24" s="24" t="s">
        <v>448</v>
      </c>
      <c r="E24" s="1"/>
      <c r="F24" s="1"/>
    </row>
  </sheetData>
  <mergeCells count="3">
    <mergeCell ref="A1:F1"/>
    <mergeCell ref="A2:F2"/>
    <mergeCell ref="A17:F17"/>
  </mergeCells>
  <phoneticPr fontId="1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접속사 통합</vt:lpstr>
      <vt:lpstr>문항별 보기</vt:lpstr>
      <vt:lpstr>범주별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JK</cp:lastModifiedBy>
  <dcterms:modified xsi:type="dcterms:W3CDTF">2026-07-23T16:50:27Z</dcterms:modified>
</cp:coreProperties>
</file>